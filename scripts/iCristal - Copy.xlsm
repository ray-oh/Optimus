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ptimus-Prefect-Test1\scripts\"/>
    </mc:Choice>
  </mc:AlternateContent>
  <xr:revisionPtr revIDLastSave="0" documentId="13_ncr:1_{B66F195C-0E71-4664-8B7B-D3F045A92234}" xr6:coauthVersionLast="47" xr6:coauthVersionMax="47" xr10:uidLastSave="{00000000-0000-0000-0000-000000000000}"/>
  <bookViews>
    <workbookView xWindow="-120" yWindow="-120" windowWidth="29040" windowHeight="15840" tabRatio="895" activeTab="4" xr2:uid="{0D015D22-72E6-418D-80FA-246518C96D96}"/>
  </bookViews>
  <sheets>
    <sheet name="main (2)" sheetId="22" r:id="rId1"/>
    <sheet name="ReadMe" sheetId="8" r:id="rId2"/>
    <sheet name="main" sheetId="4" r:id="rId3"/>
    <sheet name="logon_OKTA" sheetId="23" r:id="rId4"/>
    <sheet name="iCristal3" sheetId="24" r:id="rId5"/>
    <sheet name="DiorOrder" sheetId="21" r:id="rId6"/>
    <sheet name="FoundationReport" sheetId="16" r:id="rId7"/>
    <sheet name="FoundationRCReport" sheetId="19" r:id="rId8"/>
    <sheet name="ServiceNow" sheetId="14" r:id="rId9"/>
    <sheet name="ServiceNow5" sheetId="20" r:id="rId10"/>
    <sheet name="ServiceNow (2)" sheetId="15" r:id="rId11"/>
    <sheet name="ServiceNow (3)" sheetId="17" r:id="rId12"/>
    <sheet name="ServiceNow (4)" sheetId="18" r:id="rId13"/>
    <sheet name="DCLICK2" sheetId="6" r:id="rId14"/>
    <sheet name="iCristal2" sheetId="7" r:id="rId15"/>
    <sheet name="DCLICK" sheetId="2" r:id="rId16"/>
    <sheet name="iCristal" sheetId="5" r:id="rId17"/>
    <sheet name="DCLICK2 (6.8)" sheetId="9" r:id="rId18"/>
    <sheet name="DCLICK (iCirstal PRD run)" sheetId="10" r:id="rId19"/>
    <sheet name="Template" sheetId="13" r:id="rId20"/>
  </sheets>
  <functionGroups builtInGroupCount="19"/>
  <externalReferences>
    <externalReference r:id="rId21"/>
  </externalReferences>
  <definedNames>
    <definedName name="const_VM">[1]CheckFiles!$AF$1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26" i="24" l="1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5" i="24"/>
  <c r="C362" i="24"/>
  <c r="C358" i="24"/>
  <c r="C357" i="24"/>
  <c r="C356" i="24"/>
  <c r="C355" i="24"/>
  <c r="C354" i="24"/>
  <c r="C353" i="24"/>
  <c r="C352" i="24"/>
  <c r="C351" i="24"/>
  <c r="C350" i="24"/>
  <c r="C345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D289" i="24"/>
  <c r="C366" i="24" s="1"/>
  <c r="D288" i="24"/>
  <c r="D287" i="24"/>
  <c r="C364" i="24" s="1"/>
  <c r="D286" i="24"/>
  <c r="C363" i="24" s="1"/>
  <c r="D285" i="24"/>
  <c r="D284" i="24"/>
  <c r="C361" i="24" s="1"/>
  <c r="D283" i="24"/>
  <c r="C360" i="24" s="1"/>
  <c r="D282" i="24"/>
  <c r="C359" i="24" s="1"/>
  <c r="D281" i="24"/>
  <c r="D280" i="24"/>
  <c r="D279" i="24"/>
  <c r="D278" i="24"/>
  <c r="D273" i="24"/>
  <c r="D272" i="24"/>
  <c r="C349" i="24" s="1"/>
  <c r="D271" i="24"/>
  <c r="C348" i="24" s="1"/>
  <c r="D270" i="24"/>
  <c r="C347" i="24" s="1"/>
  <c r="D269" i="24"/>
  <c r="C346" i="24" s="1"/>
  <c r="D268" i="24"/>
  <c r="D267" i="24"/>
  <c r="C344" i="24" s="1"/>
  <c r="D266" i="24"/>
  <c r="C343" i="24" s="1"/>
  <c r="C222" i="24"/>
  <c r="C221" i="24"/>
  <c r="C220" i="24"/>
  <c r="C210" i="24"/>
  <c r="C209" i="24"/>
  <c r="C208" i="24"/>
  <c r="C198" i="24"/>
  <c r="C197" i="24"/>
  <c r="C196" i="24"/>
  <c r="C186" i="24"/>
  <c r="C185" i="24"/>
  <c r="C184" i="24"/>
  <c r="C174" i="24"/>
  <c r="C173" i="24"/>
  <c r="C172" i="24"/>
  <c r="C162" i="24"/>
  <c r="C161" i="24"/>
  <c r="C160" i="24"/>
  <c r="C157" i="24"/>
  <c r="C154" i="24"/>
  <c r="C231" i="24" s="1"/>
  <c r="C153" i="24"/>
  <c r="C230" i="24" s="1"/>
  <c r="C152" i="24"/>
  <c r="C229" i="24" s="1"/>
  <c r="C151" i="24"/>
  <c r="C228" i="24" s="1"/>
  <c r="C150" i="24"/>
  <c r="C227" i="24" s="1"/>
  <c r="C149" i="24"/>
  <c r="C226" i="24" s="1"/>
  <c r="C148" i="24"/>
  <c r="C225" i="24" s="1"/>
  <c r="C147" i="24"/>
  <c r="C224" i="24" s="1"/>
  <c r="C146" i="24"/>
  <c r="C223" i="24" s="1"/>
  <c r="C145" i="24"/>
  <c r="C144" i="24"/>
  <c r="C143" i="24"/>
  <c r="C142" i="24"/>
  <c r="C219" i="24" s="1"/>
  <c r="C141" i="24"/>
  <c r="C218" i="24" s="1"/>
  <c r="C140" i="24"/>
  <c r="C217" i="24" s="1"/>
  <c r="C139" i="24"/>
  <c r="C216" i="24" s="1"/>
  <c r="C138" i="24"/>
  <c r="C215" i="24" s="1"/>
  <c r="C137" i="24"/>
  <c r="C214" i="24" s="1"/>
  <c r="C136" i="24"/>
  <c r="C213" i="24" s="1"/>
  <c r="C135" i="24"/>
  <c r="C212" i="24" s="1"/>
  <c r="C134" i="24"/>
  <c r="C211" i="24" s="1"/>
  <c r="C133" i="24"/>
  <c r="C132" i="24"/>
  <c r="C131" i="24"/>
  <c r="C130" i="24"/>
  <c r="C207" i="24" s="1"/>
  <c r="C129" i="24"/>
  <c r="C206" i="24" s="1"/>
  <c r="C128" i="24"/>
  <c r="C205" i="24" s="1"/>
  <c r="C127" i="24"/>
  <c r="C204" i="24" s="1"/>
  <c r="C126" i="24"/>
  <c r="C203" i="24" s="1"/>
  <c r="C125" i="24"/>
  <c r="C202" i="24" s="1"/>
  <c r="C124" i="24"/>
  <c r="C201" i="24" s="1"/>
  <c r="C123" i="24"/>
  <c r="C200" i="24" s="1"/>
  <c r="C122" i="24"/>
  <c r="C199" i="24" s="1"/>
  <c r="C121" i="24"/>
  <c r="C120" i="24"/>
  <c r="C119" i="24"/>
  <c r="C118" i="24"/>
  <c r="C195" i="24" s="1"/>
  <c r="C117" i="24"/>
  <c r="C194" i="24" s="1"/>
  <c r="C116" i="24"/>
  <c r="C193" i="24" s="1"/>
  <c r="C115" i="24"/>
  <c r="C192" i="24" s="1"/>
  <c r="C114" i="24"/>
  <c r="C191" i="24" s="1"/>
  <c r="C113" i="24"/>
  <c r="C190" i="24" s="1"/>
  <c r="C112" i="24"/>
  <c r="C189" i="24" s="1"/>
  <c r="C111" i="24"/>
  <c r="C188" i="24" s="1"/>
  <c r="C110" i="24"/>
  <c r="C187" i="24" s="1"/>
  <c r="C109" i="24"/>
  <c r="C108" i="24"/>
  <c r="C107" i="24"/>
  <c r="C106" i="24"/>
  <c r="C183" i="24" s="1"/>
  <c r="C105" i="24"/>
  <c r="C182" i="24" s="1"/>
  <c r="C104" i="24"/>
  <c r="C181" i="24" s="1"/>
  <c r="C103" i="24"/>
  <c r="C180" i="24" s="1"/>
  <c r="C102" i="24"/>
  <c r="C179" i="24" s="1"/>
  <c r="C101" i="24"/>
  <c r="C178" i="24" s="1"/>
  <c r="C100" i="24"/>
  <c r="C177" i="24" s="1"/>
  <c r="C99" i="24"/>
  <c r="C176" i="24" s="1"/>
  <c r="C98" i="24"/>
  <c r="C175" i="24" s="1"/>
  <c r="C97" i="24"/>
  <c r="C96" i="24"/>
  <c r="C95" i="24"/>
  <c r="C94" i="24"/>
  <c r="C171" i="24" s="1"/>
  <c r="C93" i="24"/>
  <c r="C170" i="24" s="1"/>
  <c r="C92" i="24"/>
  <c r="C169" i="24" s="1"/>
  <c r="C91" i="24"/>
  <c r="C168" i="24" s="1"/>
  <c r="C90" i="24"/>
  <c r="C167" i="24" s="1"/>
  <c r="C89" i="24"/>
  <c r="C166" i="24" s="1"/>
  <c r="C88" i="24"/>
  <c r="C165" i="24" s="1"/>
  <c r="C87" i="24"/>
  <c r="C164" i="24" s="1"/>
  <c r="C86" i="24"/>
  <c r="C163" i="24" s="1"/>
  <c r="C85" i="24"/>
  <c r="C84" i="24"/>
  <c r="C83" i="24"/>
  <c r="C82" i="24"/>
  <c r="C159" i="24" s="1"/>
  <c r="C81" i="24"/>
  <c r="C158" i="24" s="1"/>
  <c r="D24" i="22" l="1"/>
  <c r="E25" i="22" s="1"/>
  <c r="D23" i="22"/>
  <c r="F25" i="22" a="1"/>
  <c r="F25" i="22" l="1"/>
  <c r="G25" i="22" s="1" a="1"/>
  <c r="G25" i="22" s="1"/>
  <c r="D25" i="22" s="1"/>
  <c r="K48" i="17"/>
  <c r="K44" i="17" s="1"/>
  <c r="I13" i="17"/>
  <c r="I12" i="17"/>
  <c r="K48" i="16"/>
  <c r="K44" i="16" s="1"/>
  <c r="I13" i="16"/>
  <c r="I12" i="16"/>
  <c r="K48" i="15"/>
  <c r="K44" i="15" s="1"/>
  <c r="I13" i="15"/>
  <c r="I12" i="15"/>
  <c r="D23" i="4" l="1"/>
  <c r="D24" i="4"/>
  <c r="E25" i="4" s="1"/>
  <c r="F25" i="4" a="1"/>
  <c r="F25" i="4" l="1"/>
  <c r="G25" i="4" s="1" a="1"/>
  <c r="G25" i="4" s="1"/>
  <c r="D25" i="4" s="1"/>
  <c r="C385" i="7" l="1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4" i="7"/>
  <c r="C363" i="7"/>
  <c r="C362" i="7"/>
  <c r="C354" i="7"/>
  <c r="C353" i="7"/>
  <c r="C352" i="7"/>
  <c r="C351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D289" i="7"/>
  <c r="C366" i="7" s="1"/>
  <c r="D288" i="7"/>
  <c r="C365" i="7" s="1"/>
  <c r="D287" i="7"/>
  <c r="D286" i="7"/>
  <c r="D285" i="7"/>
  <c r="D284" i="7"/>
  <c r="C361" i="7" s="1"/>
  <c r="D283" i="7"/>
  <c r="C360" i="7" s="1"/>
  <c r="D282" i="7"/>
  <c r="C359" i="7" s="1"/>
  <c r="D281" i="7"/>
  <c r="C358" i="7" s="1"/>
  <c r="D280" i="7"/>
  <c r="C357" i="7" s="1"/>
  <c r="D279" i="7"/>
  <c r="C356" i="7" s="1"/>
  <c r="D278" i="7"/>
  <c r="C355" i="7" s="1"/>
  <c r="D269" i="7"/>
  <c r="C346" i="7" s="1"/>
  <c r="D268" i="7"/>
  <c r="C345" i="7" s="1"/>
  <c r="D267" i="7"/>
  <c r="C344" i="7" s="1"/>
  <c r="D266" i="7"/>
  <c r="C343" i="7" s="1"/>
  <c r="D273" i="7"/>
  <c r="C350" i="7" s="1"/>
  <c r="D272" i="7"/>
  <c r="C349" i="7" s="1"/>
  <c r="D271" i="7"/>
  <c r="C348" i="7" s="1"/>
  <c r="D270" i="7"/>
  <c r="C347" i="7" s="1"/>
  <c r="K36" i="13"/>
  <c r="K34" i="13" s="1"/>
  <c r="C157" i="7"/>
  <c r="C154" i="7"/>
  <c r="C231" i="7" s="1"/>
  <c r="C153" i="7"/>
  <c r="C230" i="7" s="1"/>
  <c r="C152" i="7"/>
  <c r="C229" i="7" s="1"/>
  <c r="C151" i="7"/>
  <c r="C228" i="7" s="1"/>
  <c r="C150" i="7"/>
  <c r="C227" i="7" s="1"/>
  <c r="C149" i="7"/>
  <c r="C226" i="7" s="1"/>
  <c r="C148" i="7"/>
  <c r="C225" i="7" s="1"/>
  <c r="C147" i="7"/>
  <c r="C224" i="7" s="1"/>
  <c r="C146" i="7"/>
  <c r="C223" i="7" s="1"/>
  <c r="C145" i="7"/>
  <c r="C222" i="7" s="1"/>
  <c r="C144" i="7"/>
  <c r="C221" i="7" s="1"/>
  <c r="C143" i="7"/>
  <c r="C220" i="7" s="1"/>
  <c r="C142" i="7"/>
  <c r="C219" i="7" s="1"/>
  <c r="C141" i="7"/>
  <c r="C218" i="7" s="1"/>
  <c r="C140" i="7"/>
  <c r="C217" i="7" s="1"/>
  <c r="C139" i="7"/>
  <c r="C216" i="7" s="1"/>
  <c r="C138" i="7"/>
  <c r="C215" i="7" s="1"/>
  <c r="C137" i="7"/>
  <c r="C214" i="7" s="1"/>
  <c r="C136" i="7"/>
  <c r="C213" i="7" s="1"/>
  <c r="C135" i="7"/>
  <c r="C212" i="7" s="1"/>
  <c r="C134" i="7"/>
  <c r="C211" i="7" s="1"/>
  <c r="C133" i="7"/>
  <c r="C210" i="7" s="1"/>
  <c r="C132" i="7"/>
  <c r="C209" i="7" s="1"/>
  <c r="C131" i="7"/>
  <c r="C208" i="7" s="1"/>
  <c r="C130" i="7"/>
  <c r="C207" i="7" s="1"/>
  <c r="C129" i="7"/>
  <c r="C206" i="7" s="1"/>
  <c r="C128" i="7"/>
  <c r="C205" i="7" s="1"/>
  <c r="C127" i="7"/>
  <c r="C204" i="7" s="1"/>
  <c r="C126" i="7"/>
  <c r="C203" i="7" s="1"/>
  <c r="C125" i="7"/>
  <c r="C202" i="7" s="1"/>
  <c r="C124" i="7"/>
  <c r="C201" i="7" s="1"/>
  <c r="C123" i="7"/>
  <c r="C200" i="7" s="1"/>
  <c r="C122" i="7"/>
  <c r="C199" i="7" s="1"/>
  <c r="C121" i="7"/>
  <c r="C198" i="7" s="1"/>
  <c r="C120" i="7"/>
  <c r="C197" i="7" s="1"/>
  <c r="C119" i="7"/>
  <c r="C196" i="7" s="1"/>
  <c r="C118" i="7"/>
  <c r="C195" i="7" s="1"/>
  <c r="C117" i="7"/>
  <c r="C194" i="7" s="1"/>
  <c r="C116" i="7"/>
  <c r="C193" i="7" s="1"/>
  <c r="C115" i="7"/>
  <c r="C192" i="7" s="1"/>
  <c r="C114" i="7"/>
  <c r="C191" i="7" s="1"/>
  <c r="C113" i="7"/>
  <c r="C190" i="7" s="1"/>
  <c r="C112" i="7"/>
  <c r="C189" i="7" s="1"/>
  <c r="C111" i="7"/>
  <c r="C188" i="7" s="1"/>
  <c r="C110" i="7"/>
  <c r="C187" i="7" s="1"/>
  <c r="C109" i="7"/>
  <c r="C186" i="7" s="1"/>
  <c r="C108" i="7"/>
  <c r="C185" i="7" s="1"/>
  <c r="C107" i="7"/>
  <c r="C184" i="7" s="1"/>
  <c r="C106" i="7"/>
  <c r="C183" i="7" s="1"/>
  <c r="C105" i="7"/>
  <c r="C182" i="7" s="1"/>
  <c r="C104" i="7"/>
  <c r="C181" i="7" s="1"/>
  <c r="C103" i="7"/>
  <c r="C180" i="7" s="1"/>
  <c r="C102" i="7"/>
  <c r="C179" i="7" s="1"/>
  <c r="C101" i="7"/>
  <c r="C178" i="7" s="1"/>
  <c r="C100" i="7"/>
  <c r="C177" i="7" s="1"/>
  <c r="C99" i="7"/>
  <c r="C176" i="7" s="1"/>
  <c r="C98" i="7"/>
  <c r="C175" i="7" s="1"/>
  <c r="C97" i="7"/>
  <c r="C174" i="7" s="1"/>
  <c r="C96" i="7"/>
  <c r="C173" i="7" s="1"/>
  <c r="C95" i="7"/>
  <c r="C172" i="7" s="1"/>
  <c r="C94" i="7"/>
  <c r="C171" i="7" s="1"/>
  <c r="C93" i="7"/>
  <c r="C170" i="7" s="1"/>
  <c r="C92" i="7"/>
  <c r="C169" i="7" s="1"/>
  <c r="C91" i="7"/>
  <c r="C168" i="7" s="1"/>
  <c r="C90" i="7"/>
  <c r="C167" i="7" s="1"/>
  <c r="C89" i="7"/>
  <c r="C166" i="7" s="1"/>
  <c r="C88" i="7"/>
  <c r="C165" i="7" s="1"/>
  <c r="C87" i="7"/>
  <c r="C164" i="7" s="1"/>
  <c r="C86" i="7"/>
  <c r="C163" i="7" s="1"/>
  <c r="C85" i="7"/>
  <c r="C162" i="7" s="1"/>
  <c r="C84" i="7"/>
  <c r="C161" i="7" s="1"/>
  <c r="C83" i="7"/>
  <c r="C160" i="7" s="1"/>
  <c r="C82" i="7"/>
  <c r="C159" i="7" s="1"/>
  <c r="C81" i="7"/>
  <c r="C158" i="7" s="1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A123" i="10"/>
  <c r="A124" i="10" s="1"/>
  <c r="B122" i="10"/>
  <c r="B123" i="10" s="1"/>
  <c r="B124" i="10" s="1"/>
  <c r="A122" i="10"/>
  <c r="B121" i="10"/>
  <c r="A121" i="10"/>
  <c r="B120" i="10"/>
  <c r="A120" i="10"/>
  <c r="B119" i="10"/>
  <c r="A119" i="10"/>
  <c r="A118" i="10"/>
  <c r="B117" i="10"/>
  <c r="B118" i="10" s="1"/>
  <c r="A117" i="10"/>
  <c r="B116" i="10"/>
  <c r="A116" i="10"/>
  <c r="B115" i="10"/>
  <c r="A115" i="10"/>
  <c r="B96" i="10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A96" i="10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B95" i="10"/>
  <c r="A95" i="10"/>
  <c r="B94" i="10"/>
  <c r="A94" i="10"/>
  <c r="B84" i="10"/>
  <c r="B85" i="10" s="1"/>
  <c r="B86" i="10" s="1"/>
  <c r="B87" i="10" s="1"/>
  <c r="B88" i="10" s="1"/>
  <c r="B89" i="10" s="1"/>
  <c r="B90" i="10" s="1"/>
  <c r="B91" i="10" s="1"/>
  <c r="B92" i="10" s="1"/>
  <c r="B93" i="10" s="1"/>
  <c r="A84" i="10"/>
  <c r="A85" i="10" s="1"/>
  <c r="A86" i="10" s="1"/>
  <c r="A87" i="10" s="1"/>
  <c r="A88" i="10" s="1"/>
  <c r="A89" i="10" s="1"/>
  <c r="A90" i="10" s="1"/>
  <c r="A91" i="10" s="1"/>
  <c r="A92" i="10" s="1"/>
  <c r="A93" i="10" s="1"/>
  <c r="B83" i="10"/>
  <c r="A83" i="10"/>
  <c r="B81" i="10"/>
  <c r="B82" i="10" s="1"/>
  <c r="B79" i="10"/>
  <c r="A79" i="10"/>
  <c r="A81" i="10" s="1"/>
  <c r="A82" i="10" s="1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67" i="10"/>
  <c r="B68" i="10" s="1"/>
  <c r="B69" i="10" s="1"/>
  <c r="B70" i="10" s="1"/>
  <c r="B71" i="10" s="1"/>
  <c r="B66" i="10"/>
  <c r="A66" i="10"/>
  <c r="A67" i="10" s="1"/>
  <c r="A68" i="10" s="1"/>
  <c r="A69" i="10" s="1"/>
  <c r="A70" i="10" s="1"/>
  <c r="A71" i="10" s="1"/>
  <c r="B65" i="10"/>
  <c r="A65" i="10"/>
  <c r="B64" i="10"/>
  <c r="A64" i="10"/>
  <c r="B63" i="10"/>
  <c r="A63" i="10"/>
  <c r="B55" i="10"/>
  <c r="B56" i="10" s="1"/>
  <c r="B57" i="10" s="1"/>
  <c r="B58" i="10" s="1"/>
  <c r="B59" i="10" s="1"/>
  <c r="B60" i="10" s="1"/>
  <c r="B61" i="10" s="1"/>
  <c r="B62" i="10" s="1"/>
  <c r="B54" i="10"/>
  <c r="A54" i="10"/>
  <c r="A55" i="10" s="1"/>
  <c r="A56" i="10" s="1"/>
  <c r="A57" i="10" s="1"/>
  <c r="A58" i="10" s="1"/>
  <c r="A59" i="10" s="1"/>
  <c r="A60" i="10" s="1"/>
  <c r="A61" i="10" s="1"/>
  <c r="A62" i="10" s="1"/>
  <c r="B51" i="10"/>
  <c r="B52" i="10" s="1"/>
  <c r="B53" i="10" s="1"/>
  <c r="A51" i="10"/>
  <c r="A52" i="10" s="1"/>
  <c r="A53" i="10" s="1"/>
  <c r="B50" i="10"/>
  <c r="A50" i="10"/>
  <c r="B49" i="10"/>
  <c r="A49" i="10"/>
  <c r="B45" i="10"/>
  <c r="B46" i="10" s="1"/>
  <c r="B47" i="10" s="1"/>
  <c r="B48" i="10" s="1"/>
  <c r="A45" i="10"/>
  <c r="A46" i="10" s="1"/>
  <c r="A47" i="10" s="1"/>
  <c r="A48" i="10" s="1"/>
  <c r="B44" i="10"/>
  <c r="A44" i="10"/>
  <c r="B43" i="10"/>
  <c r="A43" i="10"/>
  <c r="B42" i="10"/>
  <c r="A42" i="10"/>
  <c r="B37" i="10"/>
  <c r="B38" i="10" s="1"/>
  <c r="B39" i="10" s="1"/>
  <c r="B40" i="10" s="1"/>
  <c r="B41" i="10" s="1"/>
  <c r="B36" i="10"/>
  <c r="A36" i="10"/>
  <c r="A37" i="10" s="1"/>
  <c r="A38" i="10" s="1"/>
  <c r="A39" i="10" s="1"/>
  <c r="A40" i="10" s="1"/>
  <c r="A41" i="10" s="1"/>
  <c r="B33" i="10"/>
  <c r="B34" i="10" s="1"/>
  <c r="B35" i="10" s="1"/>
  <c r="A33" i="10"/>
  <c r="A34" i="10" s="1"/>
  <c r="A35" i="10" s="1"/>
  <c r="B32" i="10"/>
  <c r="A32" i="10"/>
  <c r="B31" i="10"/>
  <c r="A31" i="10"/>
  <c r="M30" i="10"/>
  <c r="M28" i="10" s="1"/>
  <c r="B30" i="10"/>
  <c r="A30" i="10"/>
  <c r="A24" i="10"/>
  <c r="A25" i="10" s="1"/>
  <c r="A26" i="10" s="1"/>
  <c r="A27" i="10" s="1"/>
  <c r="A28" i="10" s="1"/>
  <c r="A29" i="10" s="1"/>
  <c r="A23" i="10"/>
  <c r="B22" i="10"/>
  <c r="B23" i="10" s="1"/>
  <c r="B24" i="10" s="1"/>
  <c r="B25" i="10" s="1"/>
  <c r="B26" i="10" s="1"/>
  <c r="B27" i="10" s="1"/>
  <c r="B28" i="10" s="1"/>
  <c r="B29" i="10" s="1"/>
  <c r="A22" i="10"/>
  <c r="B21" i="10"/>
  <c r="A21" i="10"/>
  <c r="B20" i="10"/>
  <c r="A20" i="10"/>
  <c r="B18" i="10"/>
  <c r="B19" i="10" s="1"/>
  <c r="A18" i="10"/>
  <c r="A19" i="10" s="1"/>
  <c r="A17" i="10"/>
  <c r="A16" i="10"/>
  <c r="A15" i="10"/>
  <c r="B14" i="10"/>
  <c r="B15" i="10" s="1"/>
  <c r="B16" i="10" s="1"/>
  <c r="B17" i="10" s="1"/>
  <c r="A14" i="10"/>
  <c r="B13" i="10"/>
  <c r="A13" i="10"/>
  <c r="B12" i="10"/>
  <c r="A12" i="10"/>
  <c r="L9" i="10"/>
  <c r="I9" i="10"/>
  <c r="L8" i="10"/>
  <c r="I8" i="10"/>
  <c r="L7" i="10"/>
  <c r="I7" i="10"/>
  <c r="L6" i="10"/>
  <c r="I6" i="10"/>
  <c r="L5" i="10"/>
  <c r="I5" i="10"/>
  <c r="L4" i="10"/>
  <c r="I4" i="10"/>
  <c r="L3" i="10"/>
  <c r="I3" i="10"/>
  <c r="L2" i="10"/>
  <c r="I2" i="10"/>
  <c r="B2" i="10"/>
  <c r="B3" i="10" s="1"/>
  <c r="B4" i="10" s="1"/>
  <c r="B5" i="10" s="1"/>
  <c r="B6" i="10" s="1"/>
  <c r="B7" i="10" s="1"/>
  <c r="B8" i="10" s="1"/>
  <c r="B9" i="10" s="1"/>
  <c r="B10" i="10" s="1"/>
  <c r="B11" i="10" s="1"/>
  <c r="A2" i="10"/>
  <c r="A3" i="10" s="1"/>
  <c r="A4" i="10" s="1"/>
  <c r="A5" i="10" s="1"/>
  <c r="A6" i="10" s="1"/>
  <c r="A7" i="10" s="1"/>
  <c r="A8" i="10" s="1"/>
  <c r="A9" i="10" s="1"/>
  <c r="A10" i="10" s="1"/>
  <c r="A11" i="10" s="1"/>
  <c r="K53" i="9" l="1"/>
  <c r="K51" i="9" s="1"/>
  <c r="J9" i="9"/>
  <c r="G9" i="9"/>
  <c r="J8" i="9"/>
  <c r="G8" i="9"/>
  <c r="J7" i="9"/>
  <c r="G7" i="9"/>
  <c r="J6" i="9"/>
  <c r="G6" i="9"/>
  <c r="J5" i="9"/>
  <c r="G5" i="9"/>
  <c r="J4" i="9"/>
  <c r="G4" i="9"/>
  <c r="J3" i="9"/>
  <c r="G3" i="9"/>
  <c r="J2" i="9"/>
  <c r="G2" i="9"/>
  <c r="J9" i="6"/>
  <c r="G9" i="6"/>
  <c r="J8" i="6"/>
  <c r="G8" i="6"/>
  <c r="J7" i="6"/>
  <c r="G7" i="6"/>
  <c r="J6" i="6"/>
  <c r="G6" i="6"/>
  <c r="J5" i="6"/>
  <c r="G5" i="6"/>
  <c r="J4" i="6"/>
  <c r="G4" i="6"/>
  <c r="J3" i="6"/>
  <c r="G3" i="6"/>
  <c r="J2" i="6"/>
  <c r="G2" i="6"/>
  <c r="K70" i="6"/>
  <c r="K68" i="6" s="1"/>
  <c r="B27" i="2"/>
  <c r="A27" i="2"/>
  <c r="A19" i="2"/>
  <c r="A20" i="2" s="1"/>
  <c r="A21" i="2" s="1"/>
  <c r="A22" i="2" s="1"/>
  <c r="A23" i="2" s="1"/>
  <c r="A24" i="2" s="1"/>
  <c r="A25" i="2" s="1"/>
  <c r="A26" i="2" s="1"/>
  <c r="B18" i="2"/>
  <c r="B19" i="2" s="1"/>
  <c r="B20" i="2" s="1"/>
  <c r="B21" i="2" s="1"/>
  <c r="B22" i="2" s="1"/>
  <c r="B23" i="2" s="1"/>
  <c r="B24" i="2" s="1"/>
  <c r="B25" i="2" s="1"/>
  <c r="B26" i="2" s="1"/>
  <c r="A18" i="2"/>
  <c r="B17" i="2"/>
  <c r="A17" i="2"/>
  <c r="B16" i="2"/>
  <c r="A16" i="2"/>
  <c r="B15" i="2"/>
  <c r="A15" i="2"/>
  <c r="B14" i="2"/>
  <c r="A14" i="2"/>
  <c r="B28" i="2"/>
  <c r="A28" i="2"/>
  <c r="B11" i="2"/>
  <c r="B12" i="2" s="1"/>
  <c r="B13" i="2" s="1"/>
  <c r="A11" i="2"/>
  <c r="A12" i="2" s="1"/>
  <c r="A13" i="2" s="1"/>
  <c r="B10" i="2"/>
  <c r="A10" i="2"/>
  <c r="B76" i="5"/>
  <c r="A76" i="5"/>
  <c r="B75" i="5"/>
  <c r="A75" i="5"/>
  <c r="A69" i="5"/>
  <c r="A70" i="5" s="1"/>
  <c r="A71" i="5" s="1"/>
  <c r="A72" i="5" s="1"/>
  <c r="A73" i="5" s="1"/>
  <c r="A74" i="5" s="1"/>
  <c r="B67" i="5"/>
  <c r="B68" i="5" s="1"/>
  <c r="B69" i="5" s="1"/>
  <c r="B70" i="5" s="1"/>
  <c r="B71" i="5" s="1"/>
  <c r="B72" i="5" s="1"/>
  <c r="B73" i="5" s="1"/>
  <c r="B74" i="5" s="1"/>
  <c r="A67" i="5"/>
  <c r="A68" i="5" s="1"/>
  <c r="B66" i="5"/>
  <c r="A66" i="5"/>
  <c r="B81" i="5"/>
  <c r="B82" i="5" s="1"/>
  <c r="B83" i="5" s="1"/>
  <c r="B84" i="5" s="1"/>
  <c r="B85" i="5" s="1"/>
  <c r="B86" i="5" s="1"/>
  <c r="B87" i="5" s="1"/>
  <c r="B88" i="5" s="1"/>
  <c r="B89" i="5" s="1"/>
  <c r="A81" i="5"/>
  <c r="A82" i="5" s="1"/>
  <c r="A83" i="5" s="1"/>
  <c r="A84" i="5" s="1"/>
  <c r="A85" i="5" s="1"/>
  <c r="A86" i="5" s="1"/>
  <c r="A87" i="5" s="1"/>
  <c r="A88" i="5" s="1"/>
  <c r="A89" i="5" s="1"/>
  <c r="B78" i="5"/>
  <c r="B79" i="5" s="1"/>
  <c r="B80" i="5" s="1"/>
  <c r="A78" i="5"/>
  <c r="A79" i="5" s="1"/>
  <c r="A80" i="5" s="1"/>
  <c r="B77" i="5"/>
  <c r="A77" i="5"/>
  <c r="B65" i="5"/>
  <c r="A65" i="5"/>
  <c r="B64" i="5"/>
  <c r="A64" i="5"/>
  <c r="B377" i="5"/>
  <c r="A377" i="5"/>
  <c r="B376" i="5"/>
  <c r="A376" i="5"/>
  <c r="B375" i="5"/>
  <c r="A375" i="5"/>
  <c r="B374" i="5"/>
  <c r="A374" i="5"/>
  <c r="B373" i="5"/>
  <c r="A373" i="5"/>
  <c r="B372" i="5"/>
  <c r="A372" i="5"/>
  <c r="B371" i="5"/>
  <c r="A371" i="5"/>
  <c r="B370" i="5"/>
  <c r="A370" i="5"/>
  <c r="B369" i="5"/>
  <c r="A369" i="5"/>
  <c r="B368" i="5"/>
  <c r="A368" i="5"/>
  <c r="B367" i="5"/>
  <c r="A367" i="5"/>
  <c r="B366" i="5"/>
  <c r="A366" i="5"/>
  <c r="B365" i="5"/>
  <c r="A365" i="5"/>
  <c r="B364" i="5"/>
  <c r="A364" i="5"/>
  <c r="B363" i="5"/>
  <c r="A363" i="5"/>
  <c r="B362" i="5"/>
  <c r="A362" i="5"/>
  <c r="B361" i="5"/>
  <c r="A361" i="5"/>
  <c r="B360" i="5"/>
  <c r="A360" i="5"/>
  <c r="B359" i="5"/>
  <c r="A359" i="5"/>
  <c r="B358" i="5"/>
  <c r="A358" i="5"/>
  <c r="B357" i="5"/>
  <c r="A357" i="5"/>
  <c r="B356" i="5"/>
  <c r="A356" i="5"/>
  <c r="B355" i="5"/>
  <c r="A355" i="5"/>
  <c r="B354" i="5"/>
  <c r="A354" i="5"/>
  <c r="B353" i="5"/>
  <c r="A353" i="5"/>
  <c r="B352" i="5"/>
  <c r="A352" i="5"/>
  <c r="B351" i="5"/>
  <c r="A351" i="5"/>
  <c r="B350" i="5"/>
  <c r="A350" i="5"/>
  <c r="B349" i="5"/>
  <c r="A349" i="5"/>
  <c r="B348" i="5"/>
  <c r="A348" i="5"/>
  <c r="B347" i="5"/>
  <c r="A347" i="5"/>
  <c r="B346" i="5"/>
  <c r="A346" i="5"/>
  <c r="B345" i="5"/>
  <c r="A345" i="5"/>
  <c r="B344" i="5"/>
  <c r="A344" i="5"/>
  <c r="B343" i="5"/>
  <c r="A343" i="5"/>
  <c r="B342" i="5"/>
  <c r="A342" i="5"/>
  <c r="B341" i="5"/>
  <c r="A341" i="5"/>
  <c r="B340" i="5"/>
  <c r="A340" i="5"/>
  <c r="B339" i="5"/>
  <c r="A339" i="5"/>
  <c r="B338" i="5"/>
  <c r="A338" i="5"/>
  <c r="B337" i="5"/>
  <c r="A337" i="5"/>
  <c r="B336" i="5"/>
  <c r="A336" i="5"/>
  <c r="B335" i="5"/>
  <c r="A335" i="5"/>
  <c r="B334" i="5"/>
  <c r="A334" i="5"/>
  <c r="B333" i="5"/>
  <c r="A333" i="5"/>
  <c r="B332" i="5"/>
  <c r="A332" i="5"/>
  <c r="B331" i="5"/>
  <c r="A331" i="5"/>
  <c r="B330" i="5"/>
  <c r="A330" i="5"/>
  <c r="B329" i="5"/>
  <c r="A329" i="5"/>
  <c r="B328" i="5"/>
  <c r="A328" i="5"/>
  <c r="B327" i="5"/>
  <c r="A327" i="5"/>
  <c r="B326" i="5"/>
  <c r="A326" i="5"/>
  <c r="B325" i="5"/>
  <c r="A325" i="5"/>
  <c r="B324" i="5"/>
  <c r="A324" i="5"/>
  <c r="B323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B305" i="5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A305" i="5"/>
  <c r="B304" i="5"/>
  <c r="A304" i="5"/>
  <c r="B301" i="5"/>
  <c r="B302" i="5" s="1"/>
  <c r="B303" i="5" s="1"/>
  <c r="A301" i="5"/>
  <c r="A302" i="5" s="1"/>
  <c r="A303" i="5" s="1"/>
  <c r="B300" i="5"/>
  <c r="A300" i="5"/>
  <c r="B299" i="5"/>
  <c r="A299" i="5"/>
  <c r="B298" i="5"/>
  <c r="A298" i="5"/>
  <c r="B297" i="5"/>
  <c r="A297" i="5"/>
  <c r="B296" i="5"/>
  <c r="A296" i="5"/>
  <c r="B295" i="5"/>
  <c r="A295" i="5"/>
  <c r="B294" i="5"/>
  <c r="A294" i="5"/>
  <c r="B293" i="5"/>
  <c r="A293" i="5"/>
  <c r="B292" i="5"/>
  <c r="A292" i="5"/>
  <c r="B291" i="5"/>
  <c r="A291" i="5"/>
  <c r="B290" i="5"/>
  <c r="A290" i="5"/>
  <c r="B289" i="5"/>
  <c r="A289" i="5"/>
  <c r="B288" i="5"/>
  <c r="A288" i="5"/>
  <c r="B287" i="5"/>
  <c r="A287" i="5"/>
  <c r="B286" i="5"/>
  <c r="A286" i="5"/>
  <c r="B285" i="5"/>
  <c r="A285" i="5"/>
  <c r="B284" i="5"/>
  <c r="A284" i="5"/>
  <c r="B283" i="5"/>
  <c r="A283" i="5"/>
  <c r="B282" i="5"/>
  <c r="A282" i="5"/>
  <c r="B281" i="5"/>
  <c r="A281" i="5"/>
  <c r="B280" i="5"/>
  <c r="A280" i="5"/>
  <c r="B279" i="5"/>
  <c r="A279" i="5"/>
  <c r="B278" i="5"/>
  <c r="A278" i="5"/>
  <c r="B277" i="5"/>
  <c r="A277" i="5"/>
  <c r="B276" i="5"/>
  <c r="A276" i="5"/>
  <c r="B275" i="5"/>
  <c r="A275" i="5"/>
  <c r="B274" i="5"/>
  <c r="A274" i="5"/>
  <c r="B273" i="5"/>
  <c r="A273" i="5"/>
  <c r="B272" i="5"/>
  <c r="A272" i="5"/>
  <c r="B271" i="5"/>
  <c r="A271" i="5"/>
  <c r="B270" i="5"/>
  <c r="A270" i="5"/>
  <c r="B269" i="5"/>
  <c r="A269" i="5"/>
  <c r="B268" i="5"/>
  <c r="A268" i="5"/>
  <c r="B267" i="5"/>
  <c r="A267" i="5"/>
  <c r="B266" i="5"/>
  <c r="A266" i="5"/>
  <c r="B265" i="5"/>
  <c r="A265" i="5"/>
  <c r="B264" i="5"/>
  <c r="A264" i="5"/>
  <c r="B263" i="5"/>
  <c r="A263" i="5"/>
  <c r="B262" i="5"/>
  <c r="A262" i="5"/>
  <c r="B253" i="5"/>
  <c r="B254" i="5" s="1"/>
  <c r="B255" i="5" s="1"/>
  <c r="B256" i="5" s="1"/>
  <c r="B257" i="5" s="1"/>
  <c r="B258" i="5" s="1"/>
  <c r="B259" i="5" s="1"/>
  <c r="B260" i="5" s="1"/>
  <c r="B261" i="5" s="1"/>
  <c r="A253" i="5"/>
  <c r="A254" i="5" s="1"/>
  <c r="A255" i="5" s="1"/>
  <c r="A256" i="5" s="1"/>
  <c r="A257" i="5" s="1"/>
  <c r="A258" i="5" s="1"/>
  <c r="A259" i="5" s="1"/>
  <c r="A260" i="5" s="1"/>
  <c r="A261" i="5" s="1"/>
  <c r="B251" i="5"/>
  <c r="B252" i="5" s="1"/>
  <c r="A251" i="5"/>
  <c r="A252" i="5" s="1"/>
  <c r="B203" i="5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A203" i="5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B202" i="5"/>
  <c r="A202" i="5"/>
  <c r="B201" i="5"/>
  <c r="A201" i="5"/>
  <c r="B153" i="5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A153" i="5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B152" i="5"/>
  <c r="A152" i="5"/>
  <c r="B151" i="5"/>
  <c r="A151" i="5"/>
  <c r="B150" i="5"/>
  <c r="A150" i="5"/>
  <c r="B149" i="5"/>
  <c r="A149" i="5"/>
  <c r="B148" i="5"/>
  <c r="A148" i="5"/>
  <c r="B145" i="5"/>
  <c r="B146" i="5" s="1"/>
  <c r="B147" i="5" s="1"/>
  <c r="A145" i="5"/>
  <c r="A146" i="5" s="1"/>
  <c r="A147" i="5" s="1"/>
  <c r="B144" i="5"/>
  <c r="A144" i="5"/>
  <c r="B143" i="5"/>
  <c r="A143" i="5"/>
  <c r="B142" i="5"/>
  <c r="A142" i="5"/>
  <c r="B140" i="5"/>
  <c r="B141" i="5" s="1"/>
  <c r="A140" i="5"/>
  <c r="A141" i="5" s="1"/>
  <c r="B139" i="5"/>
  <c r="A139" i="5"/>
  <c r="B138" i="5"/>
  <c r="A138" i="5"/>
  <c r="B122" i="5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A122" i="5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B121" i="5"/>
  <c r="A121" i="5"/>
  <c r="B110" i="5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A110" i="5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B106" i="5"/>
  <c r="B107" i="5" s="1"/>
  <c r="B108" i="5" s="1"/>
  <c r="B109" i="5" s="1"/>
  <c r="A106" i="5"/>
  <c r="A107" i="5" s="1"/>
  <c r="A108" i="5" s="1"/>
  <c r="A109" i="5" s="1"/>
  <c r="B105" i="5"/>
  <c r="A105" i="5"/>
  <c r="B104" i="5"/>
  <c r="A104" i="5"/>
  <c r="B103" i="5"/>
  <c r="A103" i="5"/>
  <c r="B102" i="5"/>
  <c r="A102" i="5"/>
  <c r="B101" i="5"/>
  <c r="A101" i="5"/>
  <c r="B100" i="5"/>
  <c r="A100" i="5"/>
  <c r="B99" i="5"/>
  <c r="A99" i="5"/>
  <c r="B93" i="5"/>
  <c r="B94" i="5" s="1"/>
  <c r="B95" i="5" s="1"/>
  <c r="B96" i="5" s="1"/>
  <c r="B97" i="5" s="1"/>
  <c r="B98" i="5" s="1"/>
  <c r="A93" i="5"/>
  <c r="A94" i="5" s="1"/>
  <c r="A95" i="5" s="1"/>
  <c r="A96" i="5" s="1"/>
  <c r="A97" i="5" s="1"/>
  <c r="A98" i="5" s="1"/>
  <c r="B91" i="5"/>
  <c r="B92" i="5" s="1"/>
  <c r="A91" i="5"/>
  <c r="A92" i="5" s="1"/>
  <c r="B90" i="5"/>
  <c r="A90" i="5"/>
  <c r="B58" i="5"/>
  <c r="B59" i="5" s="1"/>
  <c r="B60" i="5" s="1"/>
  <c r="B61" i="5" s="1"/>
  <c r="B62" i="5" s="1"/>
  <c r="B63" i="5" s="1"/>
  <c r="A58" i="5"/>
  <c r="A59" i="5" s="1"/>
  <c r="A60" i="5" s="1"/>
  <c r="A61" i="5" s="1"/>
  <c r="A62" i="5" s="1"/>
  <c r="A63" i="5" s="1"/>
  <c r="B54" i="5"/>
  <c r="B55" i="5" s="1"/>
  <c r="B56" i="5" s="1"/>
  <c r="B57" i="5" s="1"/>
  <c r="A54" i="5"/>
  <c r="A55" i="5" s="1"/>
  <c r="A56" i="5" s="1"/>
  <c r="A57" i="5" s="1"/>
  <c r="B53" i="5"/>
  <c r="A53" i="5"/>
  <c r="B52" i="5"/>
  <c r="A52" i="5"/>
  <c r="B31" i="5"/>
  <c r="B32" i="5" s="1"/>
  <c r="B33" i="5" s="1"/>
  <c r="B48" i="5" s="1"/>
  <c r="B49" i="5" s="1"/>
  <c r="B50" i="5" s="1"/>
  <c r="B51" i="5" s="1"/>
  <c r="A31" i="5"/>
  <c r="A32" i="5" s="1"/>
  <c r="A33" i="5" s="1"/>
  <c r="A48" i="5" s="1"/>
  <c r="A49" i="5" s="1"/>
  <c r="A50" i="5" s="1"/>
  <c r="A51" i="5" s="1"/>
  <c r="B30" i="5"/>
  <c r="A30" i="5"/>
  <c r="B28" i="5"/>
  <c r="B29" i="5" s="1"/>
  <c r="A28" i="5"/>
  <c r="A29" i="5" s="1"/>
  <c r="B27" i="5"/>
  <c r="A27" i="5"/>
  <c r="B10" i="5"/>
  <c r="A10" i="5"/>
  <c r="E301" i="5"/>
  <c r="E300" i="5"/>
  <c r="E299" i="5"/>
  <c r="E298" i="5"/>
  <c r="E297" i="5"/>
  <c r="E296" i="5"/>
  <c r="E295" i="5"/>
  <c r="E294" i="5"/>
  <c r="E293" i="5"/>
  <c r="E292" i="5"/>
  <c r="E291" i="5"/>
  <c r="E290" i="5"/>
  <c r="E289" i="5"/>
  <c r="E288" i="5"/>
  <c r="E287" i="5"/>
  <c r="E286" i="5"/>
  <c r="E285" i="5"/>
  <c r="E284" i="5"/>
  <c r="E283" i="5"/>
  <c r="E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M52" i="5"/>
  <c r="M50" i="5" s="1"/>
  <c r="L9" i="5"/>
  <c r="I9" i="5"/>
  <c r="L8" i="5"/>
  <c r="I8" i="5"/>
  <c r="L7" i="5"/>
  <c r="I7" i="5"/>
  <c r="L6" i="5"/>
  <c r="I6" i="5"/>
  <c r="L5" i="5"/>
  <c r="I5" i="5"/>
  <c r="L4" i="5"/>
  <c r="I4" i="5"/>
  <c r="L3" i="5"/>
  <c r="I3" i="5"/>
  <c r="L2" i="5"/>
  <c r="I2" i="5"/>
  <c r="B2" i="5"/>
  <c r="B3" i="5" s="1"/>
  <c r="B4" i="5" s="1"/>
  <c r="B5" i="5" s="1"/>
  <c r="B6" i="5" s="1"/>
  <c r="B7" i="5" s="1"/>
  <c r="B8" i="5" s="1"/>
  <c r="B9" i="5" s="1"/>
  <c r="A2" i="5"/>
  <c r="A3" i="5" s="1"/>
  <c r="A4" i="5" s="1"/>
  <c r="A5" i="5" s="1"/>
  <c r="A6" i="5" s="1"/>
  <c r="A7" i="5" s="1"/>
  <c r="A8" i="5" s="1"/>
  <c r="A9" i="5" s="1"/>
  <c r="M27" i="2"/>
  <c r="B29" i="2"/>
  <c r="B30" i="2" s="1"/>
  <c r="B31" i="2" s="1"/>
  <c r="B32" i="2" s="1"/>
  <c r="A29" i="2"/>
  <c r="A30" i="2" s="1"/>
  <c r="A31" i="2" s="1"/>
  <c r="A32" i="2" s="1"/>
  <c r="B92" i="2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A92" i="2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B91" i="2"/>
  <c r="A91" i="2"/>
  <c r="B76" i="2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A76" i="2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B75" i="2"/>
  <c r="A75" i="2"/>
  <c r="B74" i="2"/>
  <c r="A74" i="2"/>
  <c r="B181" i="2"/>
  <c r="A181" i="2"/>
  <c r="B180" i="2"/>
  <c r="A180" i="2"/>
  <c r="B179" i="2"/>
  <c r="A179" i="2"/>
  <c r="B178" i="2"/>
  <c r="A178" i="2"/>
  <c r="B177" i="2"/>
  <c r="A177" i="2"/>
  <c r="B176" i="2"/>
  <c r="A176" i="2"/>
  <c r="B175" i="2"/>
  <c r="A175" i="2"/>
  <c r="B174" i="2"/>
  <c r="A174" i="2"/>
  <c r="B173" i="2"/>
  <c r="A173" i="2"/>
  <c r="B172" i="2"/>
  <c r="A172" i="2"/>
  <c r="B171" i="2"/>
  <c r="A171" i="2"/>
  <c r="B170" i="2"/>
  <c r="A170" i="2"/>
  <c r="B169" i="2"/>
  <c r="A169" i="2"/>
  <c r="B168" i="2"/>
  <c r="A168" i="2"/>
  <c r="B167" i="2"/>
  <c r="A167" i="2"/>
  <c r="B166" i="2"/>
  <c r="A166" i="2"/>
  <c r="B165" i="2"/>
  <c r="A165" i="2"/>
  <c r="B164" i="2"/>
  <c r="A164" i="2"/>
  <c r="B163" i="2"/>
  <c r="A163" i="2"/>
  <c r="B162" i="2"/>
  <c r="A162" i="2"/>
  <c r="B161" i="2"/>
  <c r="A161" i="2"/>
  <c r="B160" i="2"/>
  <c r="A160" i="2"/>
  <c r="B159" i="2"/>
  <c r="A159" i="2"/>
  <c r="B158" i="2"/>
  <c r="A158" i="2"/>
  <c r="B157" i="2"/>
  <c r="A157" i="2"/>
  <c r="B156" i="2"/>
  <c r="A156" i="2"/>
  <c r="B155" i="2"/>
  <c r="A155" i="2"/>
  <c r="B154" i="2"/>
  <c r="A154" i="2"/>
  <c r="B153" i="2"/>
  <c r="A153" i="2"/>
  <c r="B152" i="2"/>
  <c r="A152" i="2"/>
  <c r="B151" i="2"/>
  <c r="A151" i="2"/>
  <c r="B150" i="2"/>
  <c r="A150" i="2"/>
  <c r="B149" i="2"/>
  <c r="A149" i="2"/>
  <c r="B148" i="2"/>
  <c r="A148" i="2"/>
  <c r="B147" i="2"/>
  <c r="A147" i="2"/>
  <c r="B146" i="2"/>
  <c r="A146" i="2"/>
  <c r="B145" i="2"/>
  <c r="A145" i="2"/>
  <c r="B144" i="2"/>
  <c r="A144" i="2"/>
  <c r="B143" i="2"/>
  <c r="A143" i="2"/>
  <c r="B142" i="2"/>
  <c r="A142" i="2"/>
  <c r="B141" i="2"/>
  <c r="A141" i="2"/>
  <c r="B140" i="2"/>
  <c r="A140" i="2"/>
  <c r="B139" i="2"/>
  <c r="A139" i="2"/>
  <c r="B138" i="2"/>
  <c r="A138" i="2"/>
  <c r="B137" i="2"/>
  <c r="A137" i="2"/>
  <c r="B136" i="2"/>
  <c r="A136" i="2"/>
  <c r="B135" i="2"/>
  <c r="A135" i="2"/>
  <c r="B134" i="2"/>
  <c r="A134" i="2"/>
  <c r="B133" i="2"/>
  <c r="A133" i="2"/>
  <c r="B132" i="2"/>
  <c r="A132" i="2"/>
  <c r="B131" i="2"/>
  <c r="A131" i="2"/>
  <c r="B130" i="2"/>
  <c r="A130" i="2"/>
  <c r="B129" i="2"/>
  <c r="A129" i="2"/>
  <c r="B128" i="2"/>
  <c r="A128" i="2"/>
  <c r="B127" i="2"/>
  <c r="A127" i="2"/>
  <c r="B126" i="2"/>
  <c r="A126" i="2"/>
  <c r="B125" i="2"/>
  <c r="A125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5" i="2"/>
  <c r="B116" i="2" s="1"/>
  <c r="B117" i="2" s="1"/>
  <c r="A115" i="2"/>
  <c r="A116" i="2" s="1"/>
  <c r="A117" i="2" s="1"/>
  <c r="B114" i="2"/>
  <c r="A114" i="2"/>
  <c r="B113" i="2"/>
  <c r="A113" i="2"/>
  <c r="B112" i="2"/>
  <c r="A112" i="2"/>
  <c r="B110" i="2"/>
  <c r="B111" i="2" s="1"/>
  <c r="A110" i="2"/>
  <c r="A111" i="2" s="1"/>
  <c r="B109" i="2"/>
  <c r="A109" i="2"/>
  <c r="B108" i="2"/>
  <c r="A108" i="2"/>
  <c r="B73" i="2"/>
  <c r="A73" i="2"/>
  <c r="B72" i="2"/>
  <c r="A72" i="2"/>
  <c r="B71" i="2"/>
  <c r="A71" i="2"/>
  <c r="B70" i="2"/>
  <c r="A70" i="2"/>
  <c r="B69" i="2"/>
  <c r="A69" i="2"/>
  <c r="B63" i="2"/>
  <c r="B64" i="2" s="1"/>
  <c r="B65" i="2" s="1"/>
  <c r="B66" i="2" s="1"/>
  <c r="B67" i="2" s="1"/>
  <c r="B68" i="2" s="1"/>
  <c r="A63" i="2"/>
  <c r="A64" i="2" s="1"/>
  <c r="A65" i="2" s="1"/>
  <c r="A66" i="2" s="1"/>
  <c r="A67" i="2" s="1"/>
  <c r="A68" i="2" s="1"/>
  <c r="B61" i="2"/>
  <c r="B62" i="2" s="1"/>
  <c r="A61" i="2"/>
  <c r="A62" i="2" s="1"/>
  <c r="B60" i="2"/>
  <c r="A60" i="2"/>
  <c r="B51" i="2"/>
  <c r="B52" i="2" s="1"/>
  <c r="B53" i="2" s="1"/>
  <c r="B54" i="2" s="1"/>
  <c r="B55" i="2" s="1"/>
  <c r="B56" i="2" s="1"/>
  <c r="B57" i="2" s="1"/>
  <c r="B58" i="2" s="1"/>
  <c r="B59" i="2" s="1"/>
  <c r="A51" i="2"/>
  <c r="A52" i="2" s="1"/>
  <c r="A53" i="2" s="1"/>
  <c r="A54" i="2" s="1"/>
  <c r="A55" i="2" s="1"/>
  <c r="A56" i="2" s="1"/>
  <c r="A57" i="2" s="1"/>
  <c r="A58" i="2" s="1"/>
  <c r="A59" i="2" s="1"/>
  <c r="B48" i="2"/>
  <c r="B49" i="2" s="1"/>
  <c r="B50" i="2" s="1"/>
  <c r="A48" i="2"/>
  <c r="A49" i="2" s="1"/>
  <c r="A50" i="2" s="1"/>
  <c r="B47" i="2"/>
  <c r="A47" i="2"/>
  <c r="B46" i="2"/>
  <c r="A46" i="2"/>
  <c r="B42" i="2"/>
  <c r="B43" i="2" s="1"/>
  <c r="B44" i="2" s="1"/>
  <c r="B45" i="2" s="1"/>
  <c r="A42" i="2"/>
  <c r="A43" i="2" s="1"/>
  <c r="A44" i="2" s="1"/>
  <c r="A45" i="2" s="1"/>
  <c r="B41" i="2"/>
  <c r="A41" i="2"/>
  <c r="B40" i="2"/>
  <c r="A40" i="2"/>
  <c r="B39" i="2"/>
  <c r="A39" i="2"/>
  <c r="B33" i="2"/>
  <c r="B34" i="2" s="1"/>
  <c r="B35" i="2" s="1"/>
  <c r="B36" i="2" s="1"/>
  <c r="B37" i="2" s="1"/>
  <c r="B38" i="2" s="1"/>
  <c r="A33" i="2"/>
  <c r="A34" i="2" s="1"/>
  <c r="A35" i="2" s="1"/>
  <c r="A36" i="2" s="1"/>
  <c r="A37" i="2" s="1"/>
  <c r="A38" i="2" s="1"/>
  <c r="L9" i="2"/>
  <c r="I9" i="2"/>
  <c r="L8" i="2"/>
  <c r="I8" i="2"/>
  <c r="L7" i="2"/>
  <c r="I7" i="2"/>
  <c r="L6" i="2"/>
  <c r="I6" i="2"/>
  <c r="L5" i="2"/>
  <c r="I5" i="2"/>
  <c r="L4" i="2"/>
  <c r="I4" i="2"/>
  <c r="L3" i="2"/>
  <c r="I3" i="2"/>
  <c r="L2" i="2"/>
  <c r="I2" i="2"/>
  <c r="B226" i="2"/>
  <c r="A226" i="2"/>
  <c r="B225" i="2"/>
  <c r="A225" i="2"/>
  <c r="B224" i="2"/>
  <c r="A224" i="2"/>
  <c r="B223" i="2"/>
  <c r="A223" i="2"/>
  <c r="B222" i="2"/>
  <c r="A222" i="2"/>
  <c r="B221" i="2"/>
  <c r="A221" i="2"/>
  <c r="B220" i="2"/>
  <c r="A220" i="2"/>
  <c r="B219" i="2"/>
  <c r="A219" i="2"/>
  <c r="B218" i="2"/>
  <c r="A218" i="2"/>
  <c r="B217" i="2"/>
  <c r="A217" i="2"/>
  <c r="B216" i="2"/>
  <c r="A216" i="2"/>
  <c r="B215" i="2"/>
  <c r="A215" i="2"/>
  <c r="B214" i="2"/>
  <c r="A214" i="2"/>
  <c r="B213" i="2"/>
  <c r="A213" i="2"/>
  <c r="B212" i="2"/>
  <c r="A212" i="2"/>
  <c r="B211" i="2"/>
  <c r="A211" i="2"/>
  <c r="B210" i="2"/>
  <c r="A210" i="2"/>
  <c r="B209" i="2"/>
  <c r="A209" i="2"/>
  <c r="B208" i="2"/>
  <c r="A208" i="2"/>
  <c r="B207" i="2"/>
  <c r="A207" i="2"/>
  <c r="B206" i="2"/>
  <c r="A206" i="2"/>
  <c r="B205" i="2"/>
  <c r="A205" i="2"/>
  <c r="B204" i="2"/>
  <c r="A204" i="2"/>
  <c r="B203" i="2"/>
  <c r="A203" i="2"/>
  <c r="B202" i="2"/>
  <c r="A202" i="2"/>
  <c r="B201" i="2"/>
  <c r="A201" i="2"/>
  <c r="B200" i="2"/>
  <c r="A200" i="2"/>
  <c r="B199" i="2"/>
  <c r="A199" i="2"/>
  <c r="B198" i="2"/>
  <c r="A198" i="2"/>
  <c r="B197" i="2"/>
  <c r="A197" i="2"/>
  <c r="B196" i="2"/>
  <c r="A196" i="2"/>
  <c r="B195" i="2"/>
  <c r="A195" i="2"/>
  <c r="B194" i="2"/>
  <c r="A194" i="2"/>
  <c r="B193" i="2"/>
  <c r="A193" i="2"/>
  <c r="B192" i="2"/>
  <c r="A192" i="2"/>
  <c r="B191" i="2"/>
  <c r="A191" i="2"/>
  <c r="B190" i="2"/>
  <c r="A190" i="2"/>
  <c r="B189" i="2"/>
  <c r="A189" i="2"/>
  <c r="B188" i="2"/>
  <c r="A188" i="2"/>
  <c r="B187" i="2"/>
  <c r="A187" i="2"/>
  <c r="B186" i="2"/>
  <c r="A186" i="2"/>
  <c r="B185" i="2"/>
  <c r="A185" i="2"/>
  <c r="B184" i="2"/>
  <c r="A184" i="2"/>
  <c r="B183" i="2"/>
  <c r="A183" i="2"/>
  <c r="B182" i="2"/>
  <c r="A182" i="2"/>
  <c r="A2" i="2"/>
  <c r="A3" i="2" s="1"/>
  <c r="A4" i="2" s="1"/>
  <c r="A5" i="2" s="1"/>
  <c r="A6" i="2" s="1"/>
  <c r="A7" i="2" s="1"/>
  <c r="A8" i="2" s="1"/>
  <c r="A9" i="2" s="1"/>
  <c r="B2" i="2"/>
  <c r="B3" i="2" s="1"/>
  <c r="B4" i="2" s="1"/>
  <c r="B5" i="2" s="1"/>
  <c r="B6" i="2" s="1"/>
  <c r="B7" i="2" s="1"/>
  <c r="B8" i="2" s="1"/>
  <c r="B9" i="2" s="1"/>
  <c r="M25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<sst xmlns="http://schemas.openxmlformats.org/spreadsheetml/2006/main" count="4779" uniqueCount="923">
  <si>
    <t>logon_OKTA</t>
  </si>
  <si>
    <t>wait:15</t>
  </si>
  <si>
    <t>//button[@title="Navigation"]</t>
  </si>
  <si>
    <t>Download as</t>
  </si>
  <si>
    <t>Image</t>
  </si>
  <si>
    <t>Export</t>
  </si>
  <si>
    <t>Click here to download</t>
  </si>
  <si>
    <t>okta-signin-submit</t>
  </si>
  <si>
    <t>Comments</t>
  </si>
  <si>
    <t>URL</t>
  </si>
  <si>
    <t>Value</t>
  </si>
  <si>
    <t>Key</t>
  </si>
  <si>
    <t>Parameter</t>
  </si>
  <si>
    <t>Index</t>
  </si>
  <si>
    <t>Type</t>
  </si>
  <si>
    <t>key</t>
  </si>
  <si>
    <t>list</t>
  </si>
  <si>
    <t>DownloadImage</t>
  </si>
  <si>
    <t>Object</t>
  </si>
  <si>
    <t>OKTA</t>
  </si>
  <si>
    <t>https://okta.lvmh.com</t>
  </si>
  <si>
    <t>url:OKTA</t>
  </si>
  <si>
    <t>read:checkUserName=okta-signin-username</t>
  </si>
  <si>
    <t>https://qliksense.eu.dior.fashion</t>
  </si>
  <si>
    <t>wait:5</t>
  </si>
  <si>
    <t>main</t>
  </si>
  <si>
    <t>ifBlockCode</t>
  </si>
  <si>
    <t>exit:</t>
  </si>
  <si>
    <t>URL_Dclick_Pages</t>
  </si>
  <si>
    <t>urls:URL_Dclick_Pages</t>
  </si>
  <si>
    <t>print:****MAIN******</t>
  </si>
  <si>
    <t>iterate:URL_Dclick_Pages:openPages</t>
  </si>
  <si>
    <t>openPages</t>
  </si>
  <si>
    <t>print:****openPages******</t>
  </si>
  <si>
    <t>checkVariable:checkUserName</t>
  </si>
  <si>
    <t>globalParameters</t>
  </si>
  <si>
    <t>browserDisable</t>
  </si>
  <si>
    <t>print:****ifBlockCode******</t>
  </si>
  <si>
    <t>if:condition:run code</t>
  </si>
  <si>
    <t>if:tmpObj["checkUserName"]!="":ifBlockCode</t>
  </si>
  <si>
    <t>https://qliksense.eu.dior.fashion/sense/app/70c92b52-3e94-4802-994c-5cfdec371d4a/sheet/d211dec2-7e00-48a1-966e-a1aa2e1cb876/state/analysis/bookmark/cfb2b141-1c26-4fa4-aac0-4bf60597e6a4</t>
  </si>
  <si>
    <t>https://qliksense.eu.dior.fashion/sense/app/70c92b52-3e94-4802-994c-5cfdec371d4a/sheet/d211dec2-7e00-48a1-966e-a1aa2e1cb876/state/analysis/bookmark/7315a640-58b6-4a7e-93d6-92bb860acfca</t>
  </si>
  <si>
    <t>wRTW</t>
  </si>
  <si>
    <t>wBags</t>
  </si>
  <si>
    <t>https://qliksense.eu.dior.fashion/sense/app/70c92b52-3e94-4802-994c-5cfdec371d4a/sheet/d211dec2-7e00-48a1-966e-a1aa2e1cb876/state/analysis/bookmark/b9aea633-da9b-41d5-8551-551262d83235</t>
  </si>
  <si>
    <t>wShoes</t>
  </si>
  <si>
    <t>https://qliksense.eu.dior.fashion/sense/app/70c92b52-3e94-4802-994c-5cfdec371d4a/sheet/d211dec2-7e00-48a1-966e-a1aa2e1cb876/state/analysis/bookmark/a8d71ea4-b798-48d4-b91d-da2392f34576</t>
  </si>
  <si>
    <t>wAccessories</t>
  </si>
  <si>
    <t>https://qliksense.eu.dior.fashion/sense/app/70c92b52-3e94-4802-994c-5cfdec371d4a/sheet/d211dec2-7e00-48a1-966e-a1aa2e1cb876/state/analysis/bookmark/8a8d41ea-555d-40eb-9774-8e6c7ad27cfc</t>
  </si>
  <si>
    <t>JewelleryAndWatches</t>
  </si>
  <si>
    <t>Mens</t>
  </si>
  <si>
    <t>Baby</t>
  </si>
  <si>
    <t>https://qliksense.eu.dior.fashion/sense/app/70c92b52-3e94-4802-994c-5cfdec371d4a/sheet/d211dec2-7e00-48a1-966e-a1aa2e1cb876/state/analysis/bookmark/107b5ca2-ddfc-455c-bd61-df8f894edfec</t>
  </si>
  <si>
    <t>https://qliksense.eu.dior.fashion/sense/app/70c92b52-3e94-4802-994c-5cfdec371d4a/sheet/d211dec2-7e00-48a1-966e-a1aa2e1cb876/state/analysis/bookmark/d549a5dd-7e2a-4a28-8c4a-621df080856c</t>
  </si>
  <si>
    <t>https://qliksense.eu.dior.fashion/sense/app/70c92b52-3e94-4802-994c-5cfdec371d4a/sheet/16897da2-544e-4fe0-9916-ce673f535c15/state/analysis/bookmark/3f3d5377-9f0b-404a-9c21-e306827fa766</t>
  </si>
  <si>
    <t>ALL</t>
  </si>
  <si>
    <t>clkNetSales</t>
  </si>
  <si>
    <t>clkCurrent</t>
  </si>
  <si>
    <t>clkUnits</t>
  </si>
  <si>
    <t>//button[text()="Units"]</t>
  </si>
  <si>
    <t>//button[text()="Net Sales"]</t>
  </si>
  <si>
    <t>//button[text()="Current"]</t>
  </si>
  <si>
    <t>wait:150://div[@title="Values"]</t>
  </si>
  <si>
    <t>rclkValues</t>
  </si>
  <si>
    <t>saveName,saveName_suffix,sourcePath,targetPath,fileExtension,withinLastSec</t>
  </si>
  <si>
    <t>rem:wait:2</t>
  </si>
  <si>
    <t>imagelist</t>
  </si>
  <si>
    <t>pageTitles</t>
  </si>
  <si>
    <t>Overview</t>
  </si>
  <si>
    <t>Histogram Nationality YTD</t>
  </si>
  <si>
    <t>main_temp</t>
  </si>
  <si>
    <t>createPDF:imagelist,outputPath,saveFileName</t>
  </si>
  <si>
    <t>createPDF:imagelist,./Output/Images/,./Output/APAC_Daily_Sales.pdf</t>
  </si>
  <si>
    <t>rem:updatePDFTitles:createPDF:imagelist,./Output/Images/,./Output/APAC_Daily_Sales.pdf</t>
  </si>
  <si>
    <t>renameRecentDownloadFile:,_NetSales,,./Output/Images/,png,120</t>
  </si>
  <si>
    <t>renameRecentDownloadFile:,_Units,,./Output/Images/,png,120</t>
  </si>
  <si>
    <t>wBags_NetSales.png</t>
  </si>
  <si>
    <t>wBags_Units.png</t>
  </si>
  <si>
    <t>wRTW_NetSales.png</t>
  </si>
  <si>
    <t>wShoes_NetSales.png</t>
  </si>
  <si>
    <t>wAccessories_NetSales.png</t>
  </si>
  <si>
    <t>JewelleryAndWatches_NetSales.png</t>
  </si>
  <si>
    <t>Mens_NetSales.png</t>
  </si>
  <si>
    <t>Baby_NetSales.png</t>
  </si>
  <si>
    <t>ALL_NetSales.png</t>
  </si>
  <si>
    <t>wRTW_Units.png</t>
  </si>
  <si>
    <t>wShoes_Units.png</t>
  </si>
  <si>
    <t>wAccessories_Units.png</t>
  </si>
  <si>
    <t>JewelleryAndWatches_Units.png</t>
  </si>
  <si>
    <t>Mens_Units.png</t>
  </si>
  <si>
    <t>Baby_Units.png</t>
  </si>
  <si>
    <t>ALL_Units.png</t>
  </si>
  <si>
    <t xml:space="preserve"> </t>
  </si>
  <si>
    <t>DCLICK</t>
  </si>
  <si>
    <t>url:DCLICK</t>
  </si>
  <si>
    <t>logon_DCLICK</t>
  </si>
  <si>
    <t>Click Image</t>
  </si>
  <si>
    <t>Click Download as</t>
  </si>
  <si>
    <t>wait : time_sec : identifier</t>
  </si>
  <si>
    <t>Select Current</t>
  </si>
  <si>
    <t>Select Net Sales</t>
  </si>
  <si>
    <t>Select Units</t>
  </si>
  <si>
    <t>Right Click Values</t>
  </si>
  <si>
    <t>Open OKTA url</t>
  </si>
  <si>
    <t>Clear pop up</t>
  </si>
  <si>
    <t>read:variable=identifier value</t>
  </si>
  <si>
    <t>print to console variable result</t>
  </si>
  <si>
    <t>logon_OKTA2</t>
  </si>
  <si>
    <t>split logon OKTA into step 1 and step 2</t>
  </si>
  <si>
    <t>wait : timeout_sec : for identifier to appear : run code if identifier does not appear</t>
  </si>
  <si>
    <t>Click submit</t>
  </si>
  <si>
    <t>Wait for OKTA dashboard to appear, else repeat logon_OKTA</t>
  </si>
  <si>
    <t>wait:30:dashboard-my-apps-title:logon_OKTA</t>
  </si>
  <si>
    <t>wait:30:LVMH Group - Sign In:logon_OKTA</t>
  </si>
  <si>
    <t>logon_DCLICK2</t>
  </si>
  <si>
    <t>Wait for DCLICK hub page to appear, else repeat logon_DCLICK</t>
  </si>
  <si>
    <t>iterate over : list of URLS : code to run over each iteration</t>
  </si>
  <si>
    <t>list of URLs to loop over each iteration</t>
  </si>
  <si>
    <t>openPages2</t>
  </si>
  <si>
    <t>wait:60://button[@title="Navigation"]:openPages</t>
  </si>
  <si>
    <t>qs-toolbar__toggle-touch-switch</t>
  </si>
  <si>
    <t>//button[text()="Continue"]</t>
  </si>
  <si>
    <t>CheckIfTouchOff</t>
  </si>
  <si>
    <t>wait:30:touch-off:disableTouchOn</t>
  </si>
  <si>
    <t>disableTouchOn</t>
  </si>
  <si>
    <t>wait:30://button[@title="Navigation"]</t>
  </si>
  <si>
    <t>Ensure page fully loaded - navigation icon appear</t>
  </si>
  <si>
    <t>Touch must be Off for good image download layout.  Else disableTouchOn</t>
  </si>
  <si>
    <t>Ensure navigation button exist</t>
  </si>
  <si>
    <t>wait:1</t>
  </si>
  <si>
    <t>wait:30:touch-off:CheckIfTouchOff</t>
  </si>
  <si>
    <t>Toggle Touch On to Touch Off</t>
  </si>
  <si>
    <t>Confirm continue</t>
  </si>
  <si>
    <t>If not Touch Off, repeat CheckIfTouchOff</t>
  </si>
  <si>
    <t>exitProgram</t>
  </si>
  <si>
    <t>wait:30://button[@title="Navigation"]:exitProgram</t>
  </si>
  <si>
    <t>List of images to create PDF</t>
  </si>
  <si>
    <t>remark - to comment off code</t>
  </si>
  <si>
    <t>DownloadImage2</t>
  </si>
  <si>
    <t>wait:150:Download as:DownloadImage</t>
  </si>
  <si>
    <t>wait:150:Image:DownloadImage</t>
  </si>
  <si>
    <t>wait:150:Export:DownloadImage</t>
  </si>
  <si>
    <t>wait:150:Click here to download:DownloadImage</t>
  </si>
  <si>
    <t>reset any open dialog boxes in case repeating process</t>
  </si>
  <si>
    <t>Right click for context menu</t>
  </si>
  <si>
    <t>Clear dialog box</t>
  </si>
  <si>
    <t>Wait 5 sec for download to complete</t>
  </si>
  <si>
    <t>generatePDF</t>
  </si>
  <si>
    <t>main = first block of code that is run</t>
  </si>
  <si>
    <t>createPDF:imagelist,./Output/Images/,./Output/APAC_Daily_Sales_&lt;yesterdayYYYYMMDD&gt;.pdf</t>
  </si>
  <si>
    <t>copyFile:source,dest</t>
  </si>
  <si>
    <t>copyFile:./Output/APAC_Daily_Sales_&lt;yesterdayYYYYMMDD&gt;.pdf,D:/OneDrive-Sync/Christian Dior Couture/APAC Management - Reports - Reports/DClick/APAC_Daily_Sales_&lt;yesterdayYYYYMMDD&gt;.pdf</t>
  </si>
  <si>
    <t>Disable browser activation for RPA: True/False</t>
  </si>
  <si>
    <t>iCristal</t>
  </si>
  <si>
    <t>https://qliksense.eu.dior.fashion/okta/extensions/icristal/index.html#/home</t>
  </si>
  <si>
    <t>logon_iCristal</t>
  </si>
  <si>
    <t>url:iCristal</t>
  </si>
  <si>
    <t>Grid (ALL) - DAY</t>
  </si>
  <si>
    <t>Grid (ALL) - WTD</t>
  </si>
  <si>
    <t>Grid (ALL) - MTD</t>
  </si>
  <si>
    <t>Grid (ALL) - YTD</t>
  </si>
  <si>
    <t>Grid (W Bags) - DAY</t>
  </si>
  <si>
    <t>Grid (W Bags) - WTD</t>
  </si>
  <si>
    <t>Grid (W Bags) - MTD</t>
  </si>
  <si>
    <t>Grid (W Bags) - YTD</t>
  </si>
  <si>
    <t>Grid (W SLG) - DAY</t>
  </si>
  <si>
    <t>Grid (W SLG) - WTD</t>
  </si>
  <si>
    <t>Grid (W SLG) - MTD</t>
  </si>
  <si>
    <t>Grid (W SLG) - YTD</t>
  </si>
  <si>
    <t>Grid (W RTW) - DAY</t>
  </si>
  <si>
    <t>Grid (W RTW) - WTD</t>
  </si>
  <si>
    <t>Grid (W RTW) - MTD</t>
  </si>
  <si>
    <t>Grid (W RTW) - YTD</t>
  </si>
  <si>
    <t>Grid (W SHOES) - DAY</t>
  </si>
  <si>
    <t>Grid (W SHOES) - WTD</t>
  </si>
  <si>
    <t>Grid (W SHOES) - MTD</t>
  </si>
  <si>
    <t>Grid (W SHOES) - YTD</t>
  </si>
  <si>
    <t>Grid (W ACC) - DAY</t>
  </si>
  <si>
    <t>Grid (W ACC) - WTD</t>
  </si>
  <si>
    <t>Grid (W ACC) - MTD</t>
  </si>
  <si>
    <t>Grid (W ACC) - YTD</t>
  </si>
  <si>
    <t>Grid (MENS) - DAY</t>
  </si>
  <si>
    <t>Grid (MENS) - WTD</t>
  </si>
  <si>
    <t>Grid (MENS) - MTD</t>
  </si>
  <si>
    <t>Grid (MENS) - YTD</t>
  </si>
  <si>
    <t>Grid (BABY) - DAY</t>
  </si>
  <si>
    <t>Grid (BABY) - WTD</t>
  </si>
  <si>
    <t>Grid (BABY) - MTD</t>
  </si>
  <si>
    <t>Grid (BABY) - YTD</t>
  </si>
  <si>
    <t>Grid (STORE) - DAY</t>
  </si>
  <si>
    <t>Grid (STORE) - WTD</t>
  </si>
  <si>
    <t>Grid (STORE) - MTD</t>
  </si>
  <si>
    <t>Grid (STORE) - YTD</t>
  </si>
  <si>
    <t>Grid (Business Unit) - DAY</t>
  </si>
  <si>
    <t>Grid (Business Unit) - WTD</t>
  </si>
  <si>
    <t>Grid (Business Unit) - MTD</t>
  </si>
  <si>
    <t>Grid (Business Unit) - YTD</t>
  </si>
  <si>
    <t>Top Products - DAY</t>
  </si>
  <si>
    <t>Top Products - WTD</t>
  </si>
  <si>
    <t>Top Products - MTD</t>
  </si>
  <si>
    <t>Top Products - YTD</t>
  </si>
  <si>
    <t>Histogram (Country) YTD</t>
  </si>
  <si>
    <t>Histogram (Nationality) YTD</t>
  </si>
  <si>
    <t>Histogram (Business Unit) YTD</t>
  </si>
  <si>
    <t>overview.png</t>
  </si>
  <si>
    <t>grid_country_Day.png</t>
  </si>
  <si>
    <t>grid_country_WTD.png</t>
  </si>
  <si>
    <t>grid_country_MTD.png</t>
  </si>
  <si>
    <t>grid_country_YTD.png</t>
  </si>
  <si>
    <t>grid_Day_WHB.png</t>
  </si>
  <si>
    <t>grid_WTD_WHB.png</t>
  </si>
  <si>
    <t>grid_MTD_WHB.png</t>
  </si>
  <si>
    <t>grid_YTD_WHB.png</t>
  </si>
  <si>
    <t>grid_Day_WSLG.png</t>
  </si>
  <si>
    <t>grid_WTD_WSLG.png</t>
  </si>
  <si>
    <t>grid_MTD_WSLG.png</t>
  </si>
  <si>
    <t>grid_YTD_WSLG.png</t>
  </si>
  <si>
    <t>grid_Day_WRTW.png</t>
  </si>
  <si>
    <t>grid_WTD_WRTW.png</t>
  </si>
  <si>
    <t>grid_MTD_WRTW.png</t>
  </si>
  <si>
    <t>grid_YTD_WRTW.png</t>
  </si>
  <si>
    <t>grid_Day_WSHOES.png</t>
  </si>
  <si>
    <t>grid_WTD_WSHOES.png</t>
  </si>
  <si>
    <t>grid_MTD_WSHOES.png</t>
  </si>
  <si>
    <t>grid_YTD_WSHOES.png</t>
  </si>
  <si>
    <t>grid_Day_WACC.png</t>
  </si>
  <si>
    <t>grid_WTD_WACC.png</t>
  </si>
  <si>
    <t>grid_MTD_WACC.png</t>
  </si>
  <si>
    <t>grid_YTD_WACC.png</t>
  </si>
  <si>
    <t>grid_Day_MENS.png</t>
  </si>
  <si>
    <t>grid_WTD_MENS.png</t>
  </si>
  <si>
    <t>grid_MTD_MENS.png</t>
  </si>
  <si>
    <t>grid_YTD_MENS.png</t>
  </si>
  <si>
    <t>grid_Day_BABY.png</t>
  </si>
  <si>
    <t>grid_WTD_BABY.png</t>
  </si>
  <si>
    <t>grid_MTD_BABY.png</t>
  </si>
  <si>
    <t>grid_YTD_BABY.png</t>
  </si>
  <si>
    <t>grid_Day_STORE.png</t>
  </si>
  <si>
    <t>grid_WTD_STORE.png</t>
  </si>
  <si>
    <t>grid_MTD_STORE.png</t>
  </si>
  <si>
    <t>grid_YTD_STORE.png</t>
  </si>
  <si>
    <t>grid_Day_BusinessUnit.png</t>
  </si>
  <si>
    <t>grid_WTD_BusinessUnit.png</t>
  </si>
  <si>
    <t>grid_MTD_BusinessUnit.png</t>
  </si>
  <si>
    <t>grid_YTD_BusinessUnit.png</t>
  </si>
  <si>
    <t>grid_Day_TopProducts.png</t>
  </si>
  <si>
    <t>grid_WTD_TopProducts.png</t>
  </si>
  <si>
    <t>grid_MTD_TopProducts.png</t>
  </si>
  <si>
    <t>grid_YTD_TopProducts.png</t>
  </si>
  <si>
    <t>histogram_YTD.png</t>
  </si>
  <si>
    <t>histogram_Nationality_YTD.png</t>
  </si>
  <si>
    <t>histogram_BU_YTD.png</t>
  </si>
  <si>
    <t>saveFile</t>
  </si>
  <si>
    <t>https://qliksense.eu.dior.fashion/okta/extensions/icristal/index.html#/home/overview</t>
  </si>
  <si>
    <t>https://qliksense.eu.dior.fashion/okta/extensions/icristal/index.html#/home/grid</t>
  </si>
  <si>
    <t>['Day', clkSelectionIcon, clkSelectionIcon_Country]</t>
  </si>
  <si>
    <t>WSLG</t>
  </si>
  <si>
    <t>Day</t>
  </si>
  <si>
    <t>WTD</t>
  </si>
  <si>
    <t>MTD</t>
  </si>
  <si>
    <t>YTD</t>
  </si>
  <si>
    <t>WRTW</t>
  </si>
  <si>
    <t>WSHOES</t>
  </si>
  <si>
    <t>WACC</t>
  </si>
  <si>
    <t>WnJ</t>
  </si>
  <si>
    <t>MENS</t>
  </si>
  <si>
    <t>BABY</t>
  </si>
  <si>
    <t>STORE</t>
  </si>
  <si>
    <t>BusinessUnit</t>
  </si>
  <si>
    <t>https://qliksense.eu.dior.fashion/okta/extensions/icristal/index.html#/home/top-products</t>
  </si>
  <si>
    <t>TopProducts</t>
  </si>
  <si>
    <t>https://qliksense.eu.dior.fashion/okta/extensions/icristal/index.html#/home/histogram</t>
  </si>
  <si>
    <t>clkSelectionIcon</t>
  </si>
  <si>
    <t>clkSelectionIcon_Store_Grouping</t>
  </si>
  <si>
    <t>clkSelectionIcon_Country</t>
  </si>
  <si>
    <t>clkZONE</t>
  </si>
  <si>
    <t>clkBusinessUnit_ALL</t>
  </si>
  <si>
    <t>clkExpandWomenUniverse</t>
  </si>
  <si>
    <t>clkBackWBags</t>
  </si>
  <si>
    <t>clkBackWSLG</t>
  </si>
  <si>
    <t>clkBackWRTW</t>
  </si>
  <si>
    <t>clkBackWShoes</t>
  </si>
  <si>
    <t>clkBackWJ</t>
  </si>
  <si>
    <t>clkMens</t>
  </si>
  <si>
    <t>clkBackMens</t>
  </si>
  <si>
    <t>clkBaby</t>
  </si>
  <si>
    <t>clkCloseLabel</t>
  </si>
  <si>
    <t>//*[@class="mat-focus-indicator mat-menu-trigger flatten-button mat-button mat-button-base ng-star-inserted"]</t>
  </si>
  <si>
    <t>//*[span="Store grouping"]</t>
  </si>
  <si>
    <t>//*[span="Country"]</t>
  </si>
  <si>
    <t>//div[text()="ZONE"]</t>
  </si>
  <si>
    <t>//div[div=" ALL "][2]/div[2]</t>
  </si>
  <si>
    <t>//div[div=" Women Universe "]/div[@class="clickable-zone"]/div[2]</t>
  </si>
  <si>
    <t>//div[text()="W Bags"]</t>
  </si>
  <si>
    <t>//div[text()="Women SLG"]</t>
  </si>
  <si>
    <t>//div[text()="W RTW"]</t>
  </si>
  <si>
    <t>//div[text()="W Shoes"]</t>
  </si>
  <si>
    <t>//div[text()="Jewellery &amp; Watches"]</t>
  </si>
  <si>
    <t>//div[text()=" Men Universe "]</t>
  </si>
  <si>
    <t>//div[text()="Men Universe"]</t>
  </si>
  <si>
    <t>//div[text()=" Baby "]</t>
  </si>
  <si>
    <t>//div[@class="close-label"]</t>
  </si>
  <si>
    <t>read:strSearch=Last data was imported at</t>
  </si>
  <si>
    <t>checkVariable:strSearch</t>
  </si>
  <si>
    <t>Close</t>
  </si>
  <si>
    <t>checkLastDataUpdate</t>
  </si>
  <si>
    <t>wait:10:Last data available:logon_iCristal</t>
  </si>
  <si>
    <t>rem:regexSearch:PACIFIC.ASIA.(..........),&lt;strSearch&gt;,lastDataUpdate</t>
  </si>
  <si>
    <t>rem:checkVariable:lastDataUpdate</t>
  </si>
  <si>
    <t>url:overview</t>
  </si>
  <si>
    <t>printiCristalPage</t>
  </si>
  <si>
    <t>chromeZoom:+,3</t>
  </si>
  <si>
    <t>listClick:parameterlist</t>
  </si>
  <si>
    <t>snap:page,&lt;saveFile&gt;</t>
  </si>
  <si>
    <t>addPageNumbers:saveFile,pageTitles</t>
  </si>
  <si>
    <t>createPDF:imagelist,</t>
  </si>
  <si>
    <t>finalprocess</t>
  </si>
  <si>
    <t>plus</t>
  </si>
  <si>
    <t>Zoom</t>
  </si>
  <si>
    <t>parameterlist</t>
  </si>
  <si>
    <t>minus</t>
  </si>
  <si>
    <t>['WTD']</t>
  </si>
  <si>
    <t>['MTD']</t>
  </si>
  <si>
    <t>['YTD']</t>
  </si>
  <si>
    <t>['Day', clkBusinessUnit_ALL, clkExpandWomenUniverse, 'W Bags']</t>
  </si>
  <si>
    <t>['Day', 'W Bags', clkBackWBags, 'W SLG']</t>
  </si>
  <si>
    <t>['Day', 'Women SLG', clkBackWSLG, 'W RTW']</t>
  </si>
  <si>
    <t>['Day', 'W RTW', clkBackWRTW, 'W Shoes']</t>
  </si>
  <si>
    <t>['Day', 'W Shoes', clkBackWShoes, 'W Accessories']</t>
  </si>
  <si>
    <t>['Day', 'W Accessories', 'Back to ALL', 'Jewellery &amp; Watches']</t>
  </si>
  <si>
    <t>['Day', 'Jewellery &amp; Watches', clkBackWJ, clkMens]</t>
  </si>
  <si>
    <t>['Day', clkMens, clkBackMens, clkBaby]</t>
  </si>
  <si>
    <t>['Day', clkBaby, 'Back to ALL', clkCloseLabel, clkSelectionIcon, clkSelectionIcon_Store_Grouping]</t>
  </si>
  <si>
    <t>['Day', 'BUSINESS UNIT']</t>
  </si>
  <si>
    <t>['Day']</t>
  </si>
  <si>
    <t>['YTD', clkZone_ALL, clkExpandPacificAsia, clkZONE]</t>
  </si>
  <si>
    <t>['YTD', 'NATIONALITY']</t>
  </si>
  <si>
    <t>['YTD', 'BUSINESS UNIT']</t>
  </si>
  <si>
    <t>keyboard:[enter]</t>
  </si>
  <si>
    <t>keyboard:[esc][esc]</t>
  </si>
  <si>
    <t>keyboard:[esc]</t>
  </si>
  <si>
    <t>rclick://div[@title="Values"]</t>
  </si>
  <si>
    <t>wait:30,LVMH Group - Sign In,logon_OKTA</t>
  </si>
  <si>
    <t>wait : timeout_sec , for identifier to appear , run code if identifier does not appear</t>
  </si>
  <si>
    <t>wait:30,dashboard-my-apps-title,logon_OKTA</t>
  </si>
  <si>
    <t>wait:150,hub-nav-button,logon_DCLICK</t>
  </si>
  <si>
    <t>wait:60,//button[@title="Navigation"],openPages</t>
  </si>
  <si>
    <t>wait:30,//button[@title="Navigation"]</t>
  </si>
  <si>
    <t>wait:30,touch-off,disableTouchOn</t>
  </si>
  <si>
    <t>wait:30,//button[@title="Navigation"],exitProgram</t>
  </si>
  <si>
    <t>wait:30,touch-off,CheckIfTouchOff</t>
  </si>
  <si>
    <t>wait:150,//div[@title="Values"]</t>
  </si>
  <si>
    <t>wait:150,Download as,DownloadImage</t>
  </si>
  <si>
    <t>wait:150,Image,DownloadImage</t>
  </si>
  <si>
    <t>wait : time_sec , identifier</t>
  </si>
  <si>
    <t>wait:150,Export,DownloadImage</t>
  </si>
  <si>
    <t>wait:150,Click here to download,DownloadImage</t>
  </si>
  <si>
    <t>constants</t>
  </si>
  <si>
    <t>./Output/Images/</t>
  </si>
  <si>
    <t>outputFolder</t>
  </si>
  <si>
    <t>APAC_Daily_Sales</t>
  </si>
  <si>
    <t>./Output/</t>
  </si>
  <si>
    <t>D:/OneDrive-Sync/Christian Dior Couture/APAC Management - Reports - Reports/DClick/</t>
  </si>
  <si>
    <t>copyFile:&lt;outputFolder&gt;&lt;saveFile&gt;_&lt;yesterdayYYYYMMDD&gt;.pdf,&lt;oneDriveFolder&gt;&lt;saveFile&gt;_&lt;yesterdayYYYYMMDD&gt;.pdf</t>
  </si>
  <si>
    <t>oneDriveFolder</t>
  </si>
  <si>
    <t>createPDF:imagelist,&lt;imageFolder&gt;,&lt;outputFolder&gt;&lt;saveFile&gt;_&lt;yesterdayYYYYMMDD&gt;.pdf</t>
  </si>
  <si>
    <t>imageFolder</t>
  </si>
  <si>
    <t>renameRecentDownloadFile:,_NetSales,,&lt;imageFolder&gt;,png,120</t>
  </si>
  <si>
    <t>renameRecentDownloadFile:,_Units,,&lt;imageFolder&gt;,png,120</t>
  </si>
  <si>
    <t>iterate: URL_Dclick_Pages , openPages</t>
  </si>
  <si>
    <t>iterate over : list of URLS ,  code to run over each iteration</t>
  </si>
  <si>
    <t>print:****MAIN******&lt;URL:key&gt;</t>
  </si>
  <si>
    <t>testopenPages</t>
  </si>
  <si>
    <t>rem:iterate: URL_Dclick_Pages , testopenPages</t>
  </si>
  <si>
    <t>rem:print:****MAIN******&lt;URL_Dclick_Pages:value&gt;</t>
  </si>
  <si>
    <t>wait:35</t>
  </si>
  <si>
    <t>Download</t>
  </si>
  <si>
    <t>DownloadData</t>
  </si>
  <si>
    <t>//span[@title="Data"]</t>
  </si>
  <si>
    <t>Click Data</t>
  </si>
  <si>
    <t>ctr+shift+i to activate developer tools in chrome browser to check tag</t>
  </si>
  <si>
    <t>wait:150,Download as,Download</t>
  </si>
  <si>
    <t>wait:150,Image,Download</t>
  </si>
  <si>
    <t>wait:150,Export,Download</t>
  </si>
  <si>
    <t>wait:150,Click here to download,Download</t>
  </si>
  <si>
    <t>Clear dialog box.  Alternative: //button[text()="Close"]</t>
  </si>
  <si>
    <t>yesterdayDDMMYYYY</t>
  </si>
  <si>
    <t>yesterdayYYYYMMDD</t>
  </si>
  <si>
    <t>Constants provided by system.  Accessed by wrapping &lt; &gt; e.g. &lt;todayDDMMYYYY&gt;</t>
  </si>
  <si>
    <t>todayDDMMYYYY</t>
  </si>
  <si>
    <t>todayYYYYMMDD</t>
  </si>
  <si>
    <t>iterationCount</t>
  </si>
  <si>
    <t>default = 0</t>
  </si>
  <si>
    <t>Parameter:key</t>
  </si>
  <si>
    <t>Parameter:value</t>
  </si>
  <si>
    <t>e.g. URL:key - result based on iterationCount</t>
  </si>
  <si>
    <t>e.g. URL:value - result based on iterationCount</t>
  </si>
  <si>
    <t>Open OKTA url.  url:objKey to lookup URL value</t>
  </si>
  <si>
    <t>url:&lt;URL_Dclick_Pages:key&gt;</t>
  </si>
  <si>
    <t>print:****openPages****** &lt;iterationCount&gt;</t>
  </si>
  <si>
    <t>renameRecentDownloadFile:&lt;URL_Dclick_Pages:key&gt;,_NetSales,,&lt;imageFolder&gt;,png,120</t>
  </si>
  <si>
    <t>renameRecentDownloadFile:&lt;URL_Dclick_Pages:key&gt;,_Units,,&lt;imageFolder&gt;,png,120</t>
  </si>
  <si>
    <t>main3</t>
  </si>
  <si>
    <t>regexSearch:PACIFIC.ASIA.(..........),&lt;strSearch&gt;,lastDataUpdate</t>
  </si>
  <si>
    <t>variables</t>
  </si>
  <si>
    <t>checkUserName</t>
  </si>
  <si>
    <t>lastDataUpdate</t>
  </si>
  <si>
    <t>wait:30,Last data available,logon_iCristal</t>
  </si>
  <si>
    <t>strSearch</t>
  </si>
  <si>
    <t>checkVariable:lastDataUpdate</t>
  </si>
  <si>
    <t>ifMissingAuthCredentials</t>
  </si>
  <si>
    <t>if:variables["checkUserName"]=="":ifMissingAuthCredentials</t>
  </si>
  <si>
    <t>if:variables["lastDataUpdate"]!="&lt;yesterdayDD_MM_YYYY&gt;":ifInCorrectDate</t>
  </si>
  <si>
    <t>ifInCorrectDate</t>
  </si>
  <si>
    <t>print:Report is  not up to date!</t>
  </si>
  <si>
    <t>URL_pages</t>
  </si>
  <si>
    <t>iterate: URL_pages , openPages</t>
  </si>
  <si>
    <t>url:&lt;URL_pages:key&gt;</t>
  </si>
  <si>
    <t>wait:30, //paper-icon-button, openPages</t>
  </si>
  <si>
    <t>zoom_settings</t>
  </si>
  <si>
    <t>clickLists</t>
  </si>
  <si>
    <t>chromeZoom:&lt;zoom_settings:value&gt;</t>
  </si>
  <si>
    <t>print: ----openPages 2 ---- &lt;iterationCount&gt;</t>
  </si>
  <si>
    <t>overview</t>
  </si>
  <si>
    <t>codeList:&lt;clickLists:value&gt;</t>
  </si>
  <si>
    <t>print:****Maximize window******</t>
  </si>
  <si>
    <t>print:****window maximized******</t>
  </si>
  <si>
    <t>keyboard:x</t>
  </si>
  <si>
    <t>keyboard:[alt][space]</t>
  </si>
  <si>
    <t>maximizeWindow</t>
  </si>
  <si>
    <t>//button[@class="mat-focus-indicator mat-menu-trigger flatten-button mat-button mat-button-base ng-star-inserted"]</t>
  </si>
  <si>
    <t>snap:page,&lt;imageFolder&gt;&lt;URL_pages:key&gt;</t>
  </si>
  <si>
    <t>User defined parameters</t>
  </si>
  <si>
    <t>objects defined by user with key values</t>
  </si>
  <si>
    <t>print:****MAIN****** | saveFile: &lt;saveFile&gt; | iterationCount: &lt;iterationCount&gt;</t>
  </si>
  <si>
    <t>print:URL_Dclick_Pages: &lt;URL_Dclick_Pages:value&gt;</t>
  </si>
  <si>
    <t>define user defined variables to be used in automation script</t>
  </si>
  <si>
    <t>copyFile:source,dest - to OneDrive</t>
  </si>
  <si>
    <t>rem:copyFile:&lt;outputFolder&gt;&lt;saveFile&gt;_&lt;yesterdayYYYYMMDD&gt;.pdf,&lt;oneDriveFolder&gt;&lt;saveFile&gt;_&lt;yesterdayYYYYMMDD&gt;.pdf</t>
  </si>
  <si>
    <t>DownloadImage or DownloadData</t>
  </si>
  <si>
    <t>wait:30, LVMH Group - Sign In, logon_OKTA,3</t>
  </si>
  <si>
    <t>openPages3</t>
  </si>
  <si>
    <t>wait:60,//button[@title="Navigation"],openPages2</t>
  </si>
  <si>
    <t>wait:30,Download as,Download,3</t>
  </si>
  <si>
    <t>wait:30,Image,DownloadImage,2</t>
  </si>
  <si>
    <t>wait:30,Export,DownloadImage,4</t>
  </si>
  <si>
    <t>wait:30,Click here to download,Download,6</t>
  </si>
  <si>
    <t>wait:30,//div[@title="Values"]</t>
  </si>
  <si>
    <t>wait:30,hub-nav-button,logon_DCLICK</t>
  </si>
  <si>
    <t>waitDisappear:30,okta-signin-submit</t>
  </si>
  <si>
    <t>Wait for screen to change</t>
  </si>
  <si>
    <t>pushRequired</t>
  </si>
  <si>
    <t>waitDisappear:5,Send push automatically,pushRequired</t>
  </si>
  <si>
    <t>Checks if "Send push automatically" is present, if yes, terminate</t>
  </si>
  <si>
    <t>log:Not on internal network. Manual OKTA verification on phone required!!!</t>
  </si>
  <si>
    <t>log error to log file</t>
  </si>
  <si>
    <t>log:Missing user and password for OKTA authentication!</t>
  </si>
  <si>
    <r>
      <t>r</t>
    </r>
    <r>
      <rPr>
        <sz val="11"/>
        <color rgb="FFD16969"/>
        <rFont val="Consolas"/>
        <family val="3"/>
      </rPr>
      <t>'C:</t>
    </r>
    <r>
      <rPr>
        <sz val="11"/>
        <color rgb="FFD7BA7D"/>
        <rFont val="Consolas"/>
        <family val="3"/>
      </rPr>
      <t>\U</t>
    </r>
    <r>
      <rPr>
        <sz val="11"/>
        <color rgb="FFD16969"/>
        <rFont val="Consolas"/>
        <family val="3"/>
      </rPr>
      <t>sers</t>
    </r>
    <r>
      <rPr>
        <sz val="11"/>
        <color rgb="FFD7BA7D"/>
        <rFont val="Consolas"/>
        <family val="3"/>
      </rPr>
      <t>\j</t>
    </r>
    <r>
      <rPr>
        <sz val="11"/>
        <color rgb="FFD16969"/>
        <rFont val="Consolas"/>
        <family val="3"/>
      </rPr>
      <t>ay\Desktop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ythonInOffice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ython_run_macro</t>
    </r>
    <r>
      <rPr>
        <sz val="11"/>
        <color rgb="FFD7BA7D"/>
        <rFont val="Consolas"/>
        <family val="3"/>
      </rPr>
      <t>\m</t>
    </r>
    <r>
      <rPr>
        <sz val="11"/>
        <color rgb="FFD16969"/>
        <rFont val="Consolas"/>
        <family val="3"/>
      </rPr>
      <t>acro.xlsm'</t>
    </r>
  </si>
  <si>
    <t>'macro.xlsm!Module1.macro1("Jay")'</t>
  </si>
  <si>
    <t>excelTest</t>
  </si>
  <si>
    <t>excelMacro</t>
  </si>
  <si>
    <t>vba_test.xlsm!Module1.macro1</t>
  </si>
  <si>
    <t>runExcelMacro:&lt;excelTest&gt;,&lt;excelMacro&gt;</t>
  </si>
  <si>
    <t>runExcelMacro:excel,macro</t>
  </si>
  <si>
    <t>sampleMacroRun</t>
  </si>
  <si>
    <t>https://qliksense.eu.dior.fashion/sense/app/70c92b52-3e94-4802-994c-5cfdec371d4a/sheet/ac28c5b7-300f-4ac2-bf64-7e0e7d2a3faa/state/analysis/bookmark/574b6d6b-7aa4-4c70-b9f2-5b30ff7f096f</t>
  </si>
  <si>
    <t>CountryStore</t>
  </si>
  <si>
    <t>SubCategory</t>
  </si>
  <si>
    <t>https://qliksense.eu.dior.fashion/sense/app/70c92b52-3e94-4802-994c-5cfdec371d4a/sheet/bdb66e16-134e-4edd-aaac-4e0dba75a289/state/analysis/bookmark/c9f5cb71-9dce-4aef-a7d2-73495703b508</t>
  </si>
  <si>
    <t>CountryStore_NetSales.png</t>
  </si>
  <si>
    <t>CountryStore_Units.png</t>
  </si>
  <si>
    <t>SubCategory_NetSales.png</t>
  </si>
  <si>
    <t>SubCategory_Units.png</t>
  </si>
  <si>
    <t>D:\DClick\vba_test.xlsm</t>
  </si>
  <si>
    <t>https://qliksense.eu.dior.fashion/sense/app/70c92b52-3e94-4802-994c-5cfdec371d4a/sheet/d211dec2-7e00-48a1-966e-a1aa2e1cb876/state/analysis/bookmark/b2eedd58-fcee-4606-a682-11545dc4e4dc</t>
  </si>
  <si>
    <t>https://qliksense.eu.dior.fashion/sense/app/70c92b52-3e94-4802-994c-5cfdec371d4a/sheet/d211dec2-7e00-48a1-966e-a1aa2e1cb876/state/analysis/bookmark/d30efda3-dc53-43bd-b35b-9c55464d8d56</t>
  </si>
  <si>
    <t>https://qliksense.eu.dior.fashion/sense/app/70c92b52-3e94-4802-994c-5cfdec371d4a/sheet/d211dec2-7e00-48a1-966e-a1aa2e1cb876/state/analysis/bookmark/f1877644-e37f-4632-a89b-e3a72ce85487</t>
  </si>
  <si>
    <t>https://qliksense.eu.dior.fashion/sense/app/70c92b52-3e94-4802-994c-5cfdec371d4a/sheet/d211dec2-7e00-48a1-966e-a1aa2e1cb876/state/analysis/bookmark/125f1c47-7128-4468-932f-c7afbf2cc58a</t>
  </si>
  <si>
    <t>https://qliksense.eu.dior.fashion/sense/app/70c92b52-3e94-4802-994c-5cfdec371d4a/sheet/d211dec2-7e00-48a1-966e-a1aa2e1cb876/state/analysis/bookmark/3c798609-1434-4c04-9da3-25a5f53158f1</t>
  </si>
  <si>
    <t>https://qliksense.eu.dior.fashion/sense/app/70c92b52-3e94-4802-994c-5cfdec371d4a/sheet/d211dec2-7e00-48a1-966e-a1aa2e1cb876/state/analysis/bookmark/b0a1fcef-4711-4504-99d0-c6d672decb44</t>
  </si>
  <si>
    <t>https://qliksense.eu.dior.fashion/sense/app/70c92b52-3e94-4802-994c-5cfdec371d4a/sheet/d211dec2-7e00-48a1-966e-a1aa2e1cb876/state/analysis/bookmark/3c8fc6af-447c-4869-b797-fd31c65c4091</t>
  </si>
  <si>
    <t>auto_core.lib.py</t>
  </si>
  <si>
    <t>auto_helper_lib.py</t>
  </si>
  <si>
    <t>Script files</t>
  </si>
  <si>
    <t>GeneralAutomationScript.py</t>
  </si>
  <si>
    <t>Python Scripts</t>
  </si>
  <si>
    <t>requirements.txt</t>
  </si>
  <si>
    <t>readme.txt</t>
  </si>
  <si>
    <t>main.xlsx</t>
  </si>
  <si>
    <t>GeneralAutomationScript.ps1</t>
  </si>
  <si>
    <t>cleanProcesses.ps1</t>
  </si>
  <si>
    <t>runVBA_Email.ps1</t>
  </si>
  <si>
    <t>syncfiles.bat</t>
  </si>
  <si>
    <t>VBA_Email.xlsm</t>
  </si>
  <si>
    <t>Main file for sending emails</t>
  </si>
  <si>
    <t>For installation of python lib - and setting up the environment</t>
  </si>
  <si>
    <t>Instructions on how to setup virtual python environment for running program</t>
  </si>
  <si>
    <t>general purpose automation script</t>
  </si>
  <si>
    <t>user defined automation workflows to run the general purpose automation script</t>
  </si>
  <si>
    <t>Automation script to run</t>
  </si>
  <si>
    <t>Core process routines used by automation script</t>
  </si>
  <si>
    <t>Helper functions required by script</t>
  </si>
  <si>
    <t>powershell wrapper to call automation python script.  Used by taskscheduler to call python script</t>
  </si>
  <si>
    <t>For calling VBA Excel macro to send email</t>
  </si>
  <si>
    <t>Folder Structure</t>
  </si>
  <si>
    <t>Root folder</t>
  </si>
  <si>
    <t>Output</t>
  </si>
  <si>
    <t>Output\Images</t>
  </si>
  <si>
    <t>Lib</t>
  </si>
  <si>
    <t>log</t>
  </si>
  <si>
    <t>Scripts</t>
  </si>
  <si>
    <t>Scripts and programs for python, virtual environment</t>
  </si>
  <si>
    <t>Report outputs</t>
  </si>
  <si>
    <t>Image outputs</t>
  </si>
  <si>
    <t>automation script and helper libraries</t>
  </si>
  <si>
    <t>logs and error snapshots</t>
  </si>
  <si>
    <t>python libraries</t>
  </si>
  <si>
    <t>https://stackoverflow.com/questions/43658870/requirements-txt-vs-setup-py</t>
  </si>
  <si>
    <t>AddOn</t>
  </si>
  <si>
    <t>AddOn VBA or Powershell scripts that can extend the functionality of the automation script</t>
  </si>
  <si>
    <t>D:\DClick\AddOn\vba_test.xlsm</t>
  </si>
  <si>
    <t>syncFolderSource</t>
  </si>
  <si>
    <t>syncFolderDest</t>
  </si>
  <si>
    <t>D:\DClick\Output\Images</t>
  </si>
  <si>
    <t>D:\OneDrive-Sync\Christian Dior Couture\APAC Management - Reports - Reports\DClick\Images</t>
  </si>
  <si>
    <t>closeRPA:</t>
  </si>
  <si>
    <t>Initialize RPA browser</t>
  </si>
  <si>
    <t>Close RPA browser</t>
  </si>
  <si>
    <t>version</t>
  </si>
  <si>
    <t>print:***** START RPA ****** | browserDisable: &lt;browserDisable&gt; | version : &lt;version&gt;</t>
  </si>
  <si>
    <t>initializeRPA:</t>
  </si>
  <si>
    <t>print:***** COMPLETE RPA ******</t>
  </si>
  <si>
    <t>wSLG</t>
  </si>
  <si>
    <t>https://qliksense.eu.dior.fashion/sense/app/70c92b52-3e94-4802-994c-5cfdec371d4a/sheet/d211dec2-7e00-48a1-966e-a1aa2e1cb876/state/analysis/bookmark/1b5a9523-3d89-4704-9b8b-60bbeb12f46d</t>
  </si>
  <si>
    <t>wSLG_NetSales.png</t>
  </si>
  <si>
    <t>wSLG_Units.png</t>
  </si>
  <si>
    <t>https://qliksense.eu.dior.fashion/sense/app/70c92b52-3e94-4802-994c-5cfdec371d4a/sheet/97479ee0-62f4-431e-a52e-4f1910aa998f/state/analysis/bookmark/bac78d05-3da1-4319-a9f1-f0a3b0c83825</t>
  </si>
  <si>
    <t>mBags_mRTW</t>
  </si>
  <si>
    <t>mBags_mRTW_Units.png</t>
  </si>
  <si>
    <t>mBags_mRTW_NetSales.png</t>
  </si>
  <si>
    <t>https://qliksense.eu.dior.fashion/sense/app/70c92b52-3e94-4802-994c-5cfdec371d4a/sheet/97479ee0-62f4-431e-a52e-4f1910aa998f/state/analysis/bookmark/c653737b-2307-4082-aa0c-25ac6eaa91b6</t>
  </si>
  <si>
    <t>mAcc_mShoes</t>
  </si>
  <si>
    <t>mAcc_mShoes_Units.png</t>
  </si>
  <si>
    <t>mAcc_mShoes_NetSales.png</t>
  </si>
  <si>
    <t>https://qliksense.eu.dior.fashion/sense/app/70c92b52-3e94-4802-994c-5cfdec371d4a/sheet/97479ee0-62f4-431e-a52e-4f1910aa998f/state/analysis/bookmark/697e96f8-58a1-4505-8263-834ecc255558</t>
  </si>
  <si>
    <t>mSLG_mSpecial</t>
  </si>
  <si>
    <t>mSLG_mSpecial_Units.png</t>
  </si>
  <si>
    <t>mSLG_mSpecial_NetSales.png</t>
  </si>
  <si>
    <t>//tbody//span[@class="mat-button-wrapper"]</t>
  </si>
  <si>
    <t>Day, Jewellery &amp; Watches, wait:2, clkBackWJ, wait:2, clkMens</t>
  </si>
  <si>
    <t>grid_Day_WnJ.png</t>
  </si>
  <si>
    <t>grid_WTD_WnJ.png</t>
  </si>
  <si>
    <t>grid_MTD_WnJ.png</t>
  </si>
  <si>
    <t>grid_YTD_WnJ.png</t>
  </si>
  <si>
    <t>Day, clkMens, wait:2, clkBackMens, wait:2, clkBaby</t>
  </si>
  <si>
    <t>Day, clkBaby, wait:3, Back to ALL, wait:2, clkCloseLabel, wait:2, clkSelectionIcon, wait:2, clkSelectionIcon_Store_Grouping</t>
  </si>
  <si>
    <t>rem:wait:1</t>
  </si>
  <si>
    <t>Day, wait:2, clkBaby, wait:3, Back to ALL, wait:2, clkCloseLabel, wait:2, clkSelectionIcon, wait:2, clkSelectionIcon_Store_Grouping</t>
  </si>
  <si>
    <t>Day, wait:2, clkBusinessUnit_ALL, wait:3, clkExpandWomenUniverse, wait:3, W Bags</t>
  </si>
  <si>
    <t>Day, wait:2, W RTW, wait:2, clkBackWRTW, wait:2, W Shoes</t>
  </si>
  <si>
    <t>Day, wait:2, W Shoes, wait:2, clkBackWShoes, wait:2, W Accessories</t>
  </si>
  <si>
    <t>Day, wait:2, W Accessories, wait:2, Back to ALL, wait:2, Jewellery &amp; Watches</t>
  </si>
  <si>
    <t>Day, wait:2, Jewellery &amp; Watches, wait:2, clkBackWJ, wait:2, clkMens</t>
  </si>
  <si>
    <t>grid_Day_MBAGS.png</t>
  </si>
  <si>
    <t>grid_WTD_MBAGS.png</t>
  </si>
  <si>
    <t>grid_MTD_MBAGS.png</t>
  </si>
  <si>
    <t>grid_YTD_MBAGS.png</t>
  </si>
  <si>
    <t>grid_Day_MSLG.png</t>
  </si>
  <si>
    <t>grid_WTD_MSLG.png</t>
  </si>
  <si>
    <t>grid_MTD_MSLG.png</t>
  </si>
  <si>
    <t>grid_YTD_MSLG.png</t>
  </si>
  <si>
    <t>grid_Day_MRTW.png</t>
  </si>
  <si>
    <t>grid_WTD_MRTW.png</t>
  </si>
  <si>
    <t>grid_MTD_MRTW.png</t>
  </si>
  <si>
    <t>grid_YTD_MRTW.png</t>
  </si>
  <si>
    <t>grid_Day_MSHOES.png</t>
  </si>
  <si>
    <t>grid_WTD_MSHOES.png</t>
  </si>
  <si>
    <t>grid_MTD_MSHOES.png</t>
  </si>
  <si>
    <t>grid_YTD_MSHOES.png</t>
  </si>
  <si>
    <t>grid_Day_MACC.png</t>
  </si>
  <si>
    <t>grid_WTD_MACC.png</t>
  </si>
  <si>
    <t>grid_MTD_MACC.png</t>
  </si>
  <si>
    <t>grid_YTD_MACC.png</t>
  </si>
  <si>
    <t>grid_Day_MSPECIAL.png</t>
  </si>
  <si>
    <t>grid_WTD_MSPECIAL.png</t>
  </si>
  <si>
    <t>grid_MTD_MSPECIAL.png</t>
  </si>
  <si>
    <t>grid_YTD_MSPECIAL.png</t>
  </si>
  <si>
    <t>Day, wait:2, clkMBags, wait:2, clkBackMBags, wait:2, clkMSLG</t>
  </si>
  <si>
    <t>Day, wait:2, clkMRTW, wait:2, clkBackMRTW, wait:2, clkMShoes</t>
  </si>
  <si>
    <t>Day, wait:2, clkMShoes, wait:2, clkBackMShoes, wait:2, clkMACC</t>
  </si>
  <si>
    <t>Day, wait:2, clkMACC, wait:2, clkBackMACC, wait:2, clkMSpecial</t>
  </si>
  <si>
    <t>clkMBags</t>
  </si>
  <si>
    <t>clkBackMBags</t>
  </si>
  <si>
    <t>clkMSLG</t>
  </si>
  <si>
    <t>clkMRTW</t>
  </si>
  <si>
    <t>clkBackMRTW</t>
  </si>
  <si>
    <t>clkMShoes</t>
  </si>
  <si>
    <t>clkBackMShoes</t>
  </si>
  <si>
    <t>clkMACC</t>
  </si>
  <si>
    <t>clkBackMACC</t>
  </si>
  <si>
    <t>clkMSpecial</t>
  </si>
  <si>
    <t>//div[text()=" M Bags "]</t>
  </si>
  <si>
    <t>//div[text()=" M SLG "]</t>
  </si>
  <si>
    <t>//div[text()=" M RTW "]</t>
  </si>
  <si>
    <t>//div[text()=" M Shoes "]</t>
  </si>
  <si>
    <t>//div[text()=" M Special "]</t>
  </si>
  <si>
    <t>//div[text()="M Bags"]</t>
  </si>
  <si>
    <t>//div[text()="M Shoes"]</t>
  </si>
  <si>
    <t>//div[text()="M RTW"]</t>
  </si>
  <si>
    <t>//div[text()=" M Accessories "]</t>
  </si>
  <si>
    <t>//div[text()="M Accessories"]</t>
  </si>
  <si>
    <t>Day, wait:2, W Bags, wait:2, clkBackWBags, wait:2, W SLG</t>
  </si>
  <si>
    <t>Day, wait:2, clkMens, wait:2, clkMBags</t>
  </si>
  <si>
    <t>//div[text()=" Men SLG "]</t>
  </si>
  <si>
    <t>//div[text()="Men SLG"]</t>
  </si>
  <si>
    <t>clkMenSLG</t>
  </si>
  <si>
    <t>clkBackMenSLG</t>
  </si>
  <si>
    <t>Day, wait:2, clkMenSLG, wait:2, clkBackMenSLG, wait:2, clkMRTW</t>
  </si>
  <si>
    <t>clkMenSpecial</t>
  </si>
  <si>
    <t>//div[text()=" Men Special "]</t>
  </si>
  <si>
    <t>&lt;iterationCount&gt;=0</t>
  </si>
  <si>
    <t>&lt;iterationCount&gt;=1</t>
  </si>
  <si>
    <t>Day, wait:2, BUSINESS UNIT</t>
  </si>
  <si>
    <t>YTD, wait:2, clkZone_ALL, wait:2, clkExpandPacificAsia, wait:2, clkZONE</t>
  </si>
  <si>
    <t>YTD, wait:2, NATIONALITY</t>
  </si>
  <si>
    <t>YTD, wait:2, BUSINESS UNIT</t>
  </si>
  <si>
    <t>iCristalReport</t>
  </si>
  <si>
    <t>D:/OneDrive-Sync/Christian Dior Couture/APAC Management - Reports - Reports/iCristal/</t>
  </si>
  <si>
    <t>clkZone_ALL</t>
  </si>
  <si>
    <t>//div[div=" ALL "][1]/div[2]</t>
  </si>
  <si>
    <t>clkExpandPacificAsia</t>
  </si>
  <si>
    <t>//div[div=" Pacific Asia "]/div[@class="filter-option-label"]</t>
  </si>
  <si>
    <t>serviceNow</t>
  </si>
  <si>
    <t>https://christiandiorprod.service-now.com/sp</t>
  </si>
  <si>
    <t>ESERVICE</t>
  </si>
  <si>
    <t>url:ESERVICE</t>
  </si>
  <si>
    <t>Wait to confirm page is loaded, else repeat logon step 1</t>
  </si>
  <si>
    <t>logon_APP</t>
  </si>
  <si>
    <t>logon_APP2</t>
  </si>
  <si>
    <t>wait:30,Service Portal - Service Portal,logon_APP</t>
  </si>
  <si>
    <t>https://christiandiorprod.service-now.com/nav_to.do?uri=$pa_dashboard.do%3Fsysparm_dashboard%3D2a27db381b70c5908c4796809b4bcbcc%26sysparm_tab%3Deaf476d61b7485d08c4796809b4bcb13%26sysparm_cancelable%3Dtrue%26sysparm_editable%3Dfalse%26sysparm_active_panel%3Dfalse</t>
  </si>
  <si>
    <t>https://christiandiorprod.service-now.com/nav_to.do?uri=%2F$pa_dashboard.do%3Fsysparm_dashboard%3D3770f5701b9e0d50aec231dc8b4bcbd9</t>
  </si>
  <si>
    <t>APACTicketReview.png</t>
  </si>
  <si>
    <t>KrHelpdeskReview.png</t>
  </si>
  <si>
    <t>print:URL_pages: &lt;URL_pages:value&gt;</t>
  </si>
  <si>
    <t>URL_settings</t>
  </si>
  <si>
    <t>first column - confirmation of page fully loaded</t>
  </si>
  <si>
    <t>chromeZoom:&lt;URL_settings:value&gt;</t>
  </si>
  <si>
    <t>(//div[@class="highcharts-container "])[4]</t>
  </si>
  <si>
    <t>Created with Highcharts</t>
  </si>
  <si>
    <t>hideNavBar</t>
  </si>
  <si>
    <t>//button[@title="Minimize Navigator"]</t>
  </si>
  <si>
    <t>https://christiandiorprod.service-now.com/$pa_dashboard.do?sysparm_dashboard=c5f9cee01b78c1908c4796809b4bcb39&amp;sysparm_tab=e00a46241b78c1908c4796809b4bcbe9&amp;sysparm_cancelable=true&amp;sysparm_editable=undefined&amp;sysparm_active_panel=false</t>
  </si>
  <si>
    <t>SgITreview.png</t>
  </si>
  <si>
    <t>https://christiandiorprod.service-now.com/$pa_dashboard.do?sysparm_dashboard=2a27db381b70c5908c4796809b4bcbcc&amp;sysparm_tab=eaf476d61b7485d08c4796809b4bcb13&amp;sysparm_cancelable=true&amp;sysparm_editable=undefined&amp;sysparm_active_panel=false</t>
  </si>
  <si>
    <t>https://christiandiorprod.service-now.com/$pa_dashboard.do?sysparm_dashboard=3770f5701b9e0d50aec231dc8b4bcbd9&amp;sysparm_tab=489079701b9e0d50aec231dc8b4bcbda&amp;sysparm_cancelable=true&amp;sysparm_editable=undefined&amp;sysparm_active_panel=false</t>
  </si>
  <si>
    <t>rem:wait:30, //a[@id="favorites_tab"], openPages</t>
  </si>
  <si>
    <t>rem:wait:5,//button[@title="Maximize Navigator"],hideNavBar</t>
  </si>
  <si>
    <t>wait:120, &lt;URL_settings:key&gt;</t>
  </si>
  <si>
    <t>main-test</t>
  </si>
  <si>
    <t>print: ----openPages 2 ---- | iterationCount &lt;iterationCount&gt; | codeList | &lt;clickLists:key&gt; | &lt;clickLists:value&gt; |</t>
  </si>
  <si>
    <t>Day, wait:2, clkSelectionIcon, wait:3, clkSelectionIcon_Country, wait:2</t>
  </si>
  <si>
    <t>wait:2</t>
  </si>
  <si>
    <t>Grid (Watches and Jewellery) - DAY</t>
  </si>
  <si>
    <t>Grid (Watches and Jewellery) - YTD</t>
  </si>
  <si>
    <t>Grid (Watches and Jewellery) - WTD</t>
  </si>
  <si>
    <t>Grid (Watches and Jewellery) - MTD</t>
  </si>
  <si>
    <t>Grid (M RTW) - DAY</t>
  </si>
  <si>
    <t>Grid (M RTW) - WTD</t>
  </si>
  <si>
    <t>Grid (M RTW) - MTD</t>
  </si>
  <si>
    <t>Grid (M RTW) - YTD</t>
  </si>
  <si>
    <t>DAY</t>
  </si>
  <si>
    <t>M SLG</t>
  </si>
  <si>
    <t>M BAGS</t>
  </si>
  <si>
    <t>M SHOES</t>
  </si>
  <si>
    <t>M Accessories</t>
  </si>
  <si>
    <t>M Special</t>
  </si>
  <si>
    <t>addContentPDF:pageTitles,&lt;outputFolder&gt;&lt;saveFile&gt;.pdf,&lt;outputFolder&gt;&lt;saveFile&gt;_&lt;yesterdayYYYYMMDD&gt;.pdf</t>
  </si>
  <si>
    <t>createPDF:imagelist,&lt;imageFolder&gt;,&lt;outputFolder&gt;&lt;saveFile&gt;.pdf</t>
  </si>
  <si>
    <t>wait:3</t>
  </si>
  <si>
    <t>give sufficient wait for loading before snap</t>
  </si>
  <si>
    <t>rem:logon_OKTA</t>
  </si>
  <si>
    <t>moved OKTA logon to main sheet</t>
  </si>
  <si>
    <t>D:\DClick\Output\Images\DClick</t>
  </si>
  <si>
    <t>./Output/Images/Dclick/</t>
  </si>
  <si>
    <t>remember to end with /</t>
  </si>
  <si>
    <t>./Output/Images/iCristal/</t>
  </si>
  <si>
    <t>rem:maximizeWindow</t>
  </si>
  <si>
    <t>move maximize window to main sheet</t>
  </si>
  <si>
    <t>Day, wait:3, Women SLG, wait:2, clkBackWSLG, wait:2, W RTW</t>
  </si>
  <si>
    <t>addContentPDF:pageTitles,&lt;outputFolder&gt;&lt;saveFile&gt;.pdf,&lt;outputFolder&gt;&lt;saveFile&gt;.pdf</t>
  </si>
  <si>
    <t>copyFile:&lt;outputFolder&gt;&lt;saveFile&gt;.pdf,&lt;outputFolder&gt;&lt;saveFile&gt;_&lt;yesterdayYYYYMMDD&gt;.pdf</t>
  </si>
  <si>
    <t>copyFile:&lt;outputFolder&gt;&lt;saveFile&gt;_&lt;yesterdayYYYYMMDD&gt;.pdf,&lt;outputFolder&gt;&lt;saveFile&gt;.pdf</t>
  </si>
  <si>
    <t>Files to check</t>
  </si>
  <si>
    <t>Exist</t>
  </si>
  <si>
    <t>ModifiedDatetime</t>
  </si>
  <si>
    <t>Today</t>
  </si>
  <si>
    <t>NowTime</t>
  </si>
  <si>
    <t>Moved to main sheet</t>
  </si>
  <si>
    <t>snap:log,</t>
  </si>
  <si>
    <t>snap:page or log,&lt;saveFile&gt;.  log - saves a snapshot to log folder for troubleshooting</t>
  </si>
  <si>
    <t>wait:2,dashboard-my-apps-title,logon_OKTA2</t>
  </si>
  <si>
    <t>Incremental download of past 2 days</t>
  </si>
  <si>
    <t>second column - zoom setting</t>
  </si>
  <si>
    <t>URL_runprocess</t>
  </si>
  <si>
    <t>(//th/span/a[text()="Assignment group"])[1]</t>
  </si>
  <si>
    <t>set zoom level</t>
  </si>
  <si>
    <t>wait for identifier confirming page fully loaded</t>
  </si>
  <si>
    <t>capturePageScreen</t>
  </si>
  <si>
    <t>downloadCSV</t>
  </si>
  <si>
    <t>clkAssignmentGroupHeader</t>
  </si>
  <si>
    <t>rclick:clkAssignmentGroupHeader</t>
  </si>
  <si>
    <t>//div[text()="Export" and @role="menuitem"]</t>
  </si>
  <si>
    <t>//div[text()="CSV" and @role="menuitem"]</t>
  </si>
  <si>
    <t>CSV</t>
  </si>
  <si>
    <t>Assignment group header.  Values here cannot be updated/substituted again. Need to define explicitly the identifier</t>
  </si>
  <si>
    <t>codeList:&lt;URL_runprocess:key&gt;</t>
  </si>
  <si>
    <t>runs the list of commands in the variable</t>
  </si>
  <si>
    <t>Assignment group for ticket resolution</t>
  </si>
  <si>
    <t>Search</t>
  </si>
  <si>
    <t>rclick:Search</t>
  </si>
  <si>
    <t>%UserProfile%/Downloads</t>
  </si>
  <si>
    <t>rclick:./RPA/serviceNow/assignmentgroup.PNG</t>
  </si>
  <si>
    <t>./RPA/serviceNow/exportMenu.PNG</t>
  </si>
  <si>
    <t>./RPA/serviceNow/CSVmenu.PNG</t>
  </si>
  <si>
    <t>./RPA/serviceNow/downloadButton.PNG</t>
  </si>
  <si>
    <t>wait:60,./RPA/serviceNow/exportComplete.PNG</t>
  </si>
  <si>
    <t>wait:10</t>
  </si>
  <si>
    <t>%UserProfile%/Downloads/</t>
  </si>
  <si>
    <t>merged = pd.concat([df_old.reset_index(), df_new.reset_index()])</t>
  </si>
  <si>
    <t>merged = merged.drop_duplicates(["key1", "key2", "val1", "val2"]).drop_duplicates(["key1", "key2"], keep="last")</t>
  </si>
  <si>
    <r>
      <t>import</t>
    </r>
    <r>
      <rPr>
        <sz val="11"/>
        <color rgb="FF000000"/>
        <rFont val="Consolas"/>
        <family val="3"/>
      </rPr>
      <t> pandas as pd</t>
    </r>
  </si>
  <si>
    <r>
      <t>df = pd.read_csv(</t>
    </r>
    <r>
      <rPr>
        <sz val="11"/>
        <color rgb="FFA52A2A"/>
        <rFont val="Consolas"/>
        <family val="3"/>
      </rPr>
      <t>'data.csv'</t>
    </r>
    <r>
      <rPr>
        <sz val="11"/>
        <color rgb="FF000000"/>
        <rFont val="Consolas"/>
        <family val="3"/>
      </rPr>
      <t>)</t>
    </r>
  </si>
  <si>
    <r>
      <t>print</t>
    </r>
    <r>
      <rPr>
        <sz val="11"/>
        <color rgb="FF000000"/>
        <rFont val="Consolas"/>
        <family val="3"/>
      </rPr>
      <t>(df.to_string()) </t>
    </r>
  </si>
  <si>
    <t>df.to_csv(file_name, sep='\t', encoding='utf-8')</t>
  </si>
  <si>
    <t>D:\OneDrive-Sync\Christian Dior Couture\RPA Project - Report Automation\serviceNow</t>
  </si>
  <si>
    <t>D:/OneDrive-Sync/Christian Dior Couture/RPA Project - Report Automation/serviceNow/</t>
  </si>
  <si>
    <t>incrementalUpdate</t>
  </si>
  <si>
    <t>downloadCSV, wait:5, incrementalUpdate</t>
  </si>
  <si>
    <t>merge:newFile,oldFile,olderFile</t>
  </si>
  <si>
    <t>merge:&lt;oneDriveFolder&gt;incident_new.csv, &lt;oneDriveFolder&gt;incident2022.csv, &lt;oneDriveFolder&gt;incident2021.csv</t>
  </si>
  <si>
    <t>merge:mergeFilelist</t>
  </si>
  <si>
    <t>mergeFilelist</t>
  </si>
  <si>
    <t>merge: mergeFilelist, latin-1, first, deDuplicationColumnList, ./merged.csv</t>
  </si>
  <si>
    <t>deDuplicationColumnList</t>
  </si>
  <si>
    <t>number</t>
  </si>
  <si>
    <t>D:\OneDrive-Sync\Christian Dior Couture\APAC Helpdesk - Report</t>
  </si>
  <si>
    <t>D:/OneDrive-Sync/Christian Dior Couture/APAC Helpdesk - Report/</t>
  </si>
  <si>
    <t>D:/OneDrive-Sync/Christian Dior Couture/APAC Helpdesk - Report/serviceNow/</t>
  </si>
  <si>
    <t>print:****DCLICK2 MAIN****** | saveFile: &lt;saveFile&gt; | iterationCount: &lt;iterationCount&gt;</t>
  </si>
  <si>
    <t>print:****DClick2 openPages****** &lt;iterationCount&gt;</t>
  </si>
  <si>
    <t>print:****DClick2 openPages renameRecentDownload ****** &lt;iterationCount&gt; | &lt;URL_Dclick_Pages:key&gt; |  &lt;imageFolder&gt;,</t>
  </si>
  <si>
    <t>Day, wait:3, clkMenSpecial, wait:3, Back to ALL, wait:3, clkBaby</t>
  </si>
  <si>
    <t>D:/OneDrive-Sync/Christian Dior Couture/APAC Management - Reports - Reports/iCristal/Images/</t>
  </si>
  <si>
    <t>D:/OneDrive-Sync/Christian Dior Couture/APAC Management - Reports - Reports/DClick/Images/</t>
  </si>
  <si>
    <t>ForceRun</t>
  </si>
  <si>
    <t>Force Run Time</t>
  </si>
  <si>
    <t>From</t>
  </si>
  <si>
    <t>To</t>
  </si>
  <si>
    <t>incrementalUpdate_temp</t>
  </si>
  <si>
    <t>print:**** SERVICENOW MAIN****** | saveFile: &lt;saveFile&gt; | iterationCount: &lt;iterationCount&gt;</t>
  </si>
  <si>
    <t>https://christiandiorprod.service-now.com/nav_to.do?uri=$pa_dashboard.do%3Fsysparm_dashboard%3D76aaedb11b191d948c4796809b4bcb53%26sysparm_tab%3D45ba25f11b191d948c4796809b4bcb60%26sysparm_cancelable%3Dtrue%26sysparm_editable%3Dfalse%26sysparm_active_panel%3Dfalse</t>
  </si>
  <si>
    <t>https://christiandiorprod.service-now.com/nav_to.do?uri=$pa_dashboard.do%3Fsysparm_dashboard%3D76aaedb11b191d948c4796809b4bcb53%26sysparm_tab%3D6bca25f11b191d948c4796809b4bcb57%26sysparm_cancelable%3Dtrue%26sysparm_editable%3Dfalse%26sysparm_active_panel%3Dfalse</t>
  </si>
  <si>
    <t>Incidents</t>
  </si>
  <si>
    <t>ServiceRequests</t>
  </si>
  <si>
    <t>renameRecentDownloadFile:&lt;URL_pages:key&gt;,_new,./,&lt;oneDriveFolder&gt;,csv,120</t>
  </si>
  <si>
    <t>&lt;oneDriveFolder&gt;&lt;URL_pages:key&gt;_new.csv</t>
  </si>
  <si>
    <t>&lt;oneDriveFolder&gt;snow&lt;URL_pages:key&gt;.csv</t>
  </si>
  <si>
    <t>moveFile:./merged.csv,&lt;oneDriveFolder&gt;snow&lt;URL_pages:key&gt;.csv</t>
  </si>
  <si>
    <t>Disable</t>
  </si>
  <si>
    <t>rem:generatePDF</t>
  </si>
  <si>
    <t>rem:wait:15</t>
  </si>
  <si>
    <t>rem:rclick:Search</t>
  </si>
  <si>
    <t>rem:keyboard:[esc]</t>
  </si>
  <si>
    <t>merge new with old to a new file name merged in root path</t>
  </si>
  <si>
    <t>move the merged file to overwrite the Power BI file path</t>
  </si>
  <si>
    <t>back up the old Power BI file path to archive with time stamp</t>
  </si>
  <si>
    <t>now_hhmmss</t>
  </si>
  <si>
    <t>copyFile:&lt;oneDriveFolder&gt;snow&lt;URL_pages:key&gt;.csv,&lt;oneDriveFolder&gt;Archive/snow&lt;URL_pages:key&gt;_&lt;todayYYYYMMDD&gt;_&lt;now_hhmmss&gt;.csv</t>
  </si>
  <si>
    <t>print:**** FOUNDATION REPORT MAIN****** | saveFile: &lt;saveFile&gt; | iterationCount: &lt;iterationCount&gt;</t>
  </si>
  <si>
    <t>FOUNDATIONREPORT</t>
  </si>
  <si>
    <t>https://bi-retail-report-shopindior-ap-jp.eu.dior.fashion/Reports/browse/DIOR</t>
  </si>
  <si>
    <t>url:FOUNDATIONREPORT</t>
  </si>
  <si>
    <t>https://bi-retail-report-shopindior-ap-jp.eu.dior.fashion/Reports/report/DIOR/Margin%20report</t>
  </si>
  <si>
    <t>//span[text()="Hide vertex tax"]</t>
  </si>
  <si>
    <t>chooseSelections</t>
  </si>
  <si>
    <t>./RPA/foundationReport/dateSelection.PNG</t>
  </si>
  <si>
    <t>./RPA/foundationReport/last7days.PNG</t>
  </si>
  <si>
    <t>wait:30,./RPA/foundationReport/paginatedReports.PNG,logon_APP</t>
  </si>
  <si>
    <t>./RPA/foundationReport/zoneSelection.PNG</t>
  </si>
  <si>
    <t>./RPA/foundationReport/selectionClearAll.PNG</t>
  </si>
  <si>
    <t>./RPA/foundationReport/selectionApac.PNG</t>
  </si>
  <si>
    <t>./RPA/foundationReport/countrySelection.PNG</t>
  </si>
  <si>
    <t>./RPA/foundationReport/selectionKOR.PNG</t>
  </si>
  <si>
    <t>./RPA/foundationReport/selectionKDF.PNG</t>
  </si>
  <si>
    <t>./RPA/foundationReport/viewReport.PNG</t>
  </si>
  <si>
    <t>./RPA/foundationReport/saveOutput.PNG</t>
  </si>
  <si>
    <t>./RPA/foundationReport/saveExcel.PNG</t>
  </si>
  <si>
    <t>./RPA/foundationReport/legalEntitySelection.PNG</t>
  </si>
  <si>
    <t>chooseSelections, wait:5</t>
  </si>
  <si>
    <t>margin_report</t>
  </si>
  <si>
    <t>D:/OneDrive-Sync/Christian Dior Couture/RPA Project - Report Automation/FoundationReport/</t>
  </si>
  <si>
    <t>renameRecentDownloadFile:&lt;URL_pages:key&gt;,_&lt;todayYYYYMMDD&gt;_&lt;now_hhmmss&gt;,./,&lt;oneDriveFolder&gt;,xlsx,120</t>
  </si>
  <si>
    <t>&lt;oneDriveFolder&gt;&lt;URL_pages:key&gt;_new.xlsx</t>
  </si>
  <si>
    <t>&lt;oneDriveFolder&gt;snow&lt;URL_pages:key&gt;.xlsx</t>
  </si>
  <si>
    <t>moveFile:./merged.xlsx,&lt;oneDriveFolder&gt;snow&lt;URL_pages:key&gt;.xlsx</t>
  </si>
  <si>
    <t>copyFile:&lt;oneDriveFolder&gt;snow&lt;URL_pages:key&gt;.xlsx,&lt;oneDriveFolder&gt;Archive/snow&lt;URL_pages:key&gt;_&lt;todayYYYYMMDD&gt;_&lt;now_hhmmss&gt;.xlsx</t>
  </si>
  <si>
    <t>mergeExcel: mergeFilelist, latin-1, first, deDuplicationColumnList, ./merged.xlsx</t>
  </si>
  <si>
    <t>./RPA/serviceNow/Excelmenu.PNG</t>
  </si>
  <si>
    <t>renameRecentDownloadFile:&lt;URL_pages:key&gt;,_new,./,&lt;oneDriveFolder&gt;,xlsx,120</t>
  </si>
  <si>
    <t>downloadCSV, wait:5</t>
  </si>
  <si>
    <t>, incrementalUpdate</t>
  </si>
  <si>
    <t>Number</t>
  </si>
  <si>
    <t>mergeFiles: mergeFilelist, first, deDuplicationColumnList, ./merged.csv,  latin-1</t>
  </si>
  <si>
    <t>downloadFile</t>
  </si>
  <si>
    <t>Excel</t>
  </si>
  <si>
    <t>mergeFiles: mergeFilelist, last, deDuplicationColumnList, ./merged.csv,  latin-1</t>
  </si>
  <si>
    <t>Incremental file below - keep last</t>
  </si>
  <si>
    <t>master file above</t>
  </si>
  <si>
    <t>iterate: URL_pages , codeList:&lt;URL_runprocess:key&gt;</t>
  </si>
  <si>
    <t>openPages, downloadFile, wait:5, incrementalUpdate</t>
  </si>
  <si>
    <t>print:****incremental update****** &lt;iterationCount&gt;</t>
  </si>
  <si>
    <t>mergeFiles: mergeFilelist, last, deDuplicationColumnList, ./merged.xlsx,  latin-1</t>
  </si>
  <si>
    <t>Reception control</t>
  </si>
  <si>
    <t>https://bi-retail-report-shopindior-ap-jp.eu.dior.fashion/Reports/report/DIOR/Reception%20control</t>
  </si>
  <si>
    <t>Don't leave spaces in the name - its used for the output file name</t>
  </si>
  <si>
    <t>chooseSelections, wait:1</t>
  </si>
  <si>
    <t>M:/Supply Chain and Logistics/Logistics/Reception Control HK/Data</t>
  </si>
  <si>
    <t>outputTempFolder</t>
  </si>
  <si>
    <t>./Output</t>
  </si>
  <si>
    <t>wait:30, &lt;URL_settings:key&gt;</t>
  </si>
  <si>
    <t>./RPA/foundationReport/previousDay.PNG</t>
  </si>
  <si>
    <t>./RPA/foundationReport/selectionHKG.PNG</t>
  </si>
  <si>
    <t>./RPA/foundationReport/scrollDown.PNG</t>
  </si>
  <si>
    <t>./RPA/foundationReport/selectionMAC.PNG</t>
  </si>
  <si>
    <t>rem:./RPA/foundationReport/transferSelection.PNG</t>
  </si>
  <si>
    <t>rem:./RPA/foundationReport/selectionClearAll.PNG</t>
  </si>
  <si>
    <t>rem:./RPA/foundationReport/selectionBlois.PNG</t>
  </si>
  <si>
    <t>rem:keyboard:[enter]</t>
  </si>
  <si>
    <t>waitDisappear:500,./RPA/foundationReport/waitLoading.PNG</t>
  </si>
  <si>
    <t>wait for until loading to complete.  Timeout in 500 sec.</t>
  </si>
  <si>
    <t>wait:120,FILE=./|Reception*.xlsx|60</t>
  </si>
  <si>
    <t>wait:120</t>
  </si>
  <si>
    <t>wait:120,FILE=C:/Users/svc_supplychain/Downloads|Reception*.xlsx|60</t>
  </si>
  <si>
    <t>renameRecentDownloadFile:&lt;URL_pages:key&gt;,,./,&lt;outputTempFolder&gt;/,xlsx,600</t>
  </si>
  <si>
    <t>renameRecentDownloadFile:saveName,saveName_suffix,sourcePath,targetPath,fileExtension,withinLastSec</t>
  </si>
  <si>
    <t>copyFile:&lt;outputTempFolder&gt;/&lt;URL_pages:key&gt;.xlsx,&lt;outputFolder&gt;/&lt;URL_pages:key&gt;.xlsx</t>
  </si>
  <si>
    <t>copyFile:&lt;outputTempFolder&gt;/&lt;URL_pages:key&gt;.xlsx,&lt;outputFolder&gt;/&lt;URL_pages:key&gt;_&lt;todayYYYYMMDD&gt;.xlsx</t>
  </si>
  <si>
    <t>runModule:,FoundationRCReport</t>
  </si>
  <si>
    <t>main_FRC</t>
  </si>
  <si>
    <t>Zoom_setting</t>
  </si>
  <si>
    <t>print:URL_pages: &lt;URL_pages:key&gt; | &lt;URL_pages:value&gt; | &lt;URL_pages:@Zoom_setting&gt;</t>
  </si>
  <si>
    <t>//h1[@title="APAC Daily Sales vs LY - By Category  - Net Sales - ALL "]</t>
  </si>
  <si>
    <t>(//span[text()="Day Net Sales (kEUR) LY"])[1]</t>
  </si>
  <si>
    <t>wait:10, LVMH Group - Sign In, logon_OKTA,3</t>
  </si>
  <si>
    <t>wait:15,dashboard-my-apps-title,logon_OKTA</t>
  </si>
  <si>
    <t>iterate: tbl@URL_pages , codeList:&lt;tbl@URL_pages:RunProcess&gt;</t>
  </si>
  <si>
    <t>RunProcess</t>
  </si>
  <si>
    <t>url:@&lt;tbl@URL_pages:URL&gt;</t>
  </si>
  <si>
    <t>chromeZoom:&lt;tbl@URL_pages:Zoom_setting&gt;</t>
  </si>
  <si>
    <t>wait:120, &lt;tbl@URL_pages:URL_settings&gt;</t>
  </si>
  <si>
    <t>copyFile:&lt;oneDriveFolder&gt;snow&lt;tbl@URL_pages:Key&gt;.xlsx,&lt;oneDriveFolder&gt;Archive/snow&lt;tbl@URL_pages:Key&gt;_&lt;todayYYYYMMDD&gt;_&lt;now_hhmmss&gt;.xlsx</t>
  </si>
  <si>
    <t>moveFile:./merged.xlsx,&lt;oneDriveFolder&gt;snow&lt;tbl@URL_pages:Key&gt;.xlsx</t>
  </si>
  <si>
    <t>&lt;oneDriveFolder&gt;snow&lt;tbl@URL_pages:Key&gt;.xlsx</t>
  </si>
  <si>
    <t>&lt;oneDriveFolder&gt;&lt;tbl@URL_pages:Key&gt;_new.xlsx</t>
  </si>
  <si>
    <t>wait:60,exportComplete.PNG</t>
  </si>
  <si>
    <t>downloadButton.PNG</t>
  </si>
  <si>
    <t>Excelmenu.PNG</t>
  </si>
  <si>
    <t>exportMenu.PNG</t>
  </si>
  <si>
    <t>rclick:assignmentgroup.PNG</t>
  </si>
  <si>
    <t>renameRecentDownloadFile:&lt;tbl@URL_pages:Key&gt;,_new,./,&lt;oneDriveFolder&gt;,xlsx,120</t>
  </si>
  <si>
    <t>runDiorOrder</t>
  </si>
  <si>
    <t>if:&lt;runDiorOrder&gt;:runDiorOrder</t>
  </si>
  <si>
    <t>print:***** RUN DIORORDER ****** | runDiorOrder: &lt;runDiorOrder&gt; | NowTime: &lt;NowTime&gt;</t>
  </si>
  <si>
    <t>runModule:DiorOrder</t>
  </si>
  <si>
    <t>https://christiandior-prod.coupahost.com/user/requisitions</t>
  </si>
  <si>
    <t>DL_all_requested_cpx</t>
  </si>
  <si>
    <t>DL_all_requested_opx</t>
  </si>
  <si>
    <t>DL_approved_cpx</t>
  </si>
  <si>
    <t>DL_approved_opx</t>
  </si>
  <si>
    <t>DL_pendingapproval_cpx</t>
  </si>
  <si>
    <t>DL_pendingapproval_opx</t>
  </si>
  <si>
    <t>print:**** DIORORDER MAIN****** | saveFile: &lt;saveFile&gt; | iterationCount: &lt;iterationCount&gt;</t>
  </si>
  <si>
    <t>select:requisition_header_filter, &lt;URL_pages:key&gt;</t>
  </si>
  <si>
    <t>data-table-export-drop</t>
  </si>
  <si>
    <t>//*[@id="data-table-export-menu"]/li[2]/a</t>
  </si>
  <si>
    <t>https://christiandior-prod.coupahost.com/user/</t>
  </si>
  <si>
    <t>MOVE `programPath`\download.csv `reportPath`\requisitions\`today`\`options[n]`.csv</t>
  </si>
  <si>
    <t>https://christiandior-prod.coupahost.com/user/orders</t>
  </si>
  <si>
    <t>DIORORDER</t>
  </si>
  <si>
    <t>url:DIORORDER</t>
  </si>
  <si>
    <t>wait:30,requisition_header_thead,logon_APP</t>
  </si>
  <si>
    <t>break</t>
  </si>
  <si>
    <t>rem: maximizeWindow</t>
  </si>
  <si>
    <t>print:****openPages****** &lt;iterationCount&gt;, &lt;tbl@URL_pages:Key&gt;</t>
  </si>
  <si>
    <t>select:requisition_header_filter, &lt;tbl@URL_pages:Key&gt;</t>
  </si>
  <si>
    <t>print:URL_pages: &lt;URL_pages:key&gt; | &lt;URL_pages:value&gt; | &lt;URL_pages:@Zoom_setting&gt; | &lt;URL_pages:@Key&gt; | &lt;URL_pages:@RunProcess&gt;</t>
  </si>
  <si>
    <t>exportFile</t>
  </si>
  <si>
    <t>moveFile</t>
  </si>
  <si>
    <t>openPages, exportFile, moveFile</t>
  </si>
  <si>
    <t>makeDir:output/&lt;todayYYYYMMDD&gt;</t>
  </si>
  <si>
    <t>//*[@id="data-table-export-menu"]/li[3]/a</t>
  </si>
  <si>
    <t>//a[text()="Excel (current columns)"]</t>
  </si>
  <si>
    <t>renameRecentDownloadFile:&lt;tbl@URL_pages:Key&gt;,_new,./,output/&lt;todayYYYYMMDD&gt;/,xlsx,120</t>
  </si>
  <si>
    <t>dashboard-my-apps-title</t>
  </si>
  <si>
    <t>LVMH Group - Sign In</t>
  </si>
  <si>
    <t>rem: do nothing</t>
  </si>
  <si>
    <t>temp</t>
  </si>
  <si>
    <t>wait:30,OKTA_case,OKTA_case_run</t>
  </si>
  <si>
    <t>OKTA_case</t>
  </si>
  <si>
    <t>OKTA_case_run</t>
  </si>
  <si>
    <t>logon_normal_case</t>
  </si>
  <si>
    <t>wait:30,OKTA_case2,OKTA_case_run2</t>
  </si>
  <si>
    <t>OKTA_case2</t>
  </si>
  <si>
    <t>OKTA_case_run2</t>
  </si>
  <si>
    <t>Send push automatically</t>
  </si>
  <si>
    <t>logon_successful</t>
  </si>
  <si>
    <t>runModule:logon_OKTA</t>
  </si>
  <si>
    <t>if:&lt;runiCristal&gt;:runiCristal</t>
  </si>
  <si>
    <t>runiCristal</t>
  </si>
  <si>
    <t>runModule:iCristal3</t>
  </si>
  <si>
    <t>print:***** RUN iCRISTAL ****** | runiCristal: &lt;runiCristal&gt; | NowTime: &lt;NowTime&gt;</t>
  </si>
  <si>
    <t>url:&lt;URL_pages:value&gt;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</si>
</sst>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1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569CD6"/>
      <name val="Consolas"/>
      <family val="3"/>
    </font>
    <font>
      <sz val="11"/>
      <color rgb="FFD16969"/>
      <name val="Consolas"/>
      <family val="3"/>
    </font>
    <font>
      <sz val="11"/>
      <color rgb="FFD7BA7D"/>
      <name val="Consolas"/>
      <family val="3"/>
    </font>
    <font>
      <sz val="11"/>
      <color rgb="FFCE9178"/>
      <name val="Consolas"/>
      <family val="3"/>
    </font>
    <font>
      <sz val="10"/>
      <color theme="1"/>
      <name val="Inherit"/>
    </font>
    <font>
      <sz val="11"/>
      <color rgb="FF0000CD"/>
      <name val="Consolas"/>
      <family val="3"/>
    </font>
    <font>
      <sz val="11"/>
      <color rgb="FF000000"/>
      <name val="Consolas"/>
      <family val="3"/>
    </font>
    <font>
      <sz val="11"/>
      <color rgb="FFA52A2A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0" xfId="0" quotePrefix="1"/>
    <xf numFmtId="0" fontId="1" fillId="0" borderId="0" xfId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2" borderId="0" xfId="0" applyFill="1"/>
    <xf numFmtId="0" fontId="0" fillId="0" borderId="0" xfId="0" applyAlignment="1">
      <alignment horizontal="left" indent="2"/>
    </xf>
    <xf numFmtId="22" fontId="0" fillId="0" borderId="0" xfId="0" applyNumberFormat="1"/>
    <xf numFmtId="164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0" borderId="0" xfId="0" applyFont="1"/>
    <xf numFmtId="0" fontId="0" fillId="0" borderId="0" xfId="0"/>
    <xf numFmtId="0" fontId="1" fillId="0" borderId="0" xfId="1"/>
    <xf numFmtId="0" fontId="2" fillId="0" borderId="0" xfId="0" applyFont="1"/>
    <xf numFmtId="0" fontId="0" fillId="0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Click/m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CheckFiles"/>
      <sheetName val="main"/>
      <sheetName val="iCristal2"/>
      <sheetName val="DCLICK_MGT"/>
      <sheetName val="DCLICK_MGTv2"/>
      <sheetName val="DCLICK_MGT_PDF"/>
      <sheetName val="DCLICK_CAT"/>
      <sheetName val="BAK DCLICK_MGT"/>
      <sheetName val="DeleteDCLICK_MGT_CAT"/>
      <sheetName val="DCLICK2"/>
      <sheetName val="DCLICK"/>
      <sheetName val="iCristal"/>
      <sheetName val="DCLICK2 (6.8)"/>
      <sheetName val="DCLICK (iCirstal PRD run)"/>
      <sheetName val="Template"/>
    </sheetNames>
    <sheetDataSet>
      <sheetData sheetId="0" refreshError="1"/>
      <sheetData sheetId="1">
        <row r="1">
          <cell r="AF1" t="str">
            <v>VM24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stackoverflow.com/questions/43658870/requirements-txt-vs-setup-py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christiandior-prod.coupahost.com/user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s://christiandior-prod.coupahost.com/user/requisitions" TargetMode="External"/><Relationship Id="rId1" Type="http://schemas.openxmlformats.org/officeDocument/2006/relationships/hyperlink" Target="URL_Dclick_Pages" TargetMode="External"/><Relationship Id="rId6" Type="http://schemas.openxmlformats.org/officeDocument/2006/relationships/hyperlink" Target="URL_Dclick_Pages" TargetMode="External"/><Relationship Id="rId5" Type="http://schemas.openxmlformats.org/officeDocument/2006/relationships/hyperlink" Target="DCLICK" TargetMode="External"/><Relationship Id="rId4" Type="http://schemas.openxmlformats.org/officeDocument/2006/relationships/hyperlink" Target="https://christiandior-prod.coupahost.com/user/orders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bi-retail-report-shopindior-ap-jp.eu.dior.fashion/Reports/browse/DIOR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URL_Dclick_Pages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https://bi-retail-report-shopindior-ap-jp.eu.dior.fashion/Reports/report/DIOR/Margin%20report" TargetMode="External"/><Relationship Id="rId4" Type="http://schemas.openxmlformats.org/officeDocument/2006/relationships/hyperlink" Target="DCLICK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bi-retail-report-shopindior-ap-jp.eu.dior.fashion/Reports/browse/DIOR" TargetMode="External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Relationship Id="rId5" Type="http://schemas.openxmlformats.org/officeDocument/2006/relationships/printerSettings" Target="../printerSettings/printerSettings6.bin"/><Relationship Id="rId4" Type="http://schemas.openxmlformats.org/officeDocument/2006/relationships/hyperlink" Target="https://bi-retail-report-shopindior-ap-jp.eu.dior.fashion/Reports/report/DIOR/Reception%20control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s://qliksense.eu.dior.fashion/sense/app/70c92b52-3e94-4802-994c-5cfdec371d4a/sheet/d211dec2-7e00-48a1-966e-a1aa2e1cb876/state/analysis/bookmark/3c8fc6af-447c-4869-b797-fd31c65c4091" TargetMode="External"/><Relationship Id="rId3" Type="http://schemas.openxmlformats.org/officeDocument/2006/relationships/hyperlink" Target="URL_Dclick_Pages" TargetMode="External"/><Relationship Id="rId7" Type="http://schemas.openxmlformats.org/officeDocument/2006/relationships/hyperlink" Target="https://qliksense.eu.dior.fashion/sense/app/70c92b52-3e94-4802-994c-5cfdec371d4a/sheet/d211dec2-7e00-48a1-966e-a1aa2e1cb876/state/analysis/bookmark/f1877644-e37f-4632-a89b-e3a72ce85487" TargetMode="External"/><Relationship Id="rId12" Type="http://schemas.openxmlformats.org/officeDocument/2006/relationships/printerSettings" Target="../printerSettings/printerSettings12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6" Type="http://schemas.openxmlformats.org/officeDocument/2006/relationships/hyperlink" Target="https://qliksense.eu.dior.fashion/sense/app/70c92b52-3e94-4802-994c-5cfdec371d4a/sheet/d211dec2-7e00-48a1-966e-a1aa2e1cb876/state/analysis/bookmark/125f1c47-7128-4468-932f-c7afbf2cc58a" TargetMode="External"/><Relationship Id="rId11" Type="http://schemas.openxmlformats.org/officeDocument/2006/relationships/hyperlink" Target="https://qliksense.eu.dior.fashion/sense/app/70c92b52-3e94-4802-994c-5cfdec371d4a/sheet/97479ee0-62f4-431e-a52e-4f1910aa998f/state/analysis/bookmark/bac78d05-3da1-4319-a9f1-f0a3b0c83825" TargetMode="External"/><Relationship Id="rId5" Type="http://schemas.openxmlformats.org/officeDocument/2006/relationships/hyperlink" Target="https://qliksense.eu.dior.fashion/sense/app/70c92b52-3e94-4802-994c-5cfdec371d4a/sheet/d211dec2-7e00-48a1-966e-a1aa2e1cb876/state/analysis/bookmark/3c798609-1434-4c04-9da3-25a5f53158f1" TargetMode="External"/><Relationship Id="rId10" Type="http://schemas.openxmlformats.org/officeDocument/2006/relationships/hyperlink" Target="https://qliksense.eu.dior.fashion/sense/app/70c92b52-3e94-4802-994c-5cfdec371d4a/sheet/d211dec2-7e00-48a1-966e-a1aa2e1cb876/state/analysis/bookmark/d30efda3-dc53-43bd-b35b-9c55464d8d56" TargetMode="External"/><Relationship Id="rId4" Type="http://schemas.openxmlformats.org/officeDocument/2006/relationships/hyperlink" Target="https://qliksense.eu.dior.fashion/sense/app/70c92b52-3e94-4802-994c-5cfdec371d4a/sheet/d211dec2-7e00-48a1-966e-a1aa2e1cb876/state/analysis/bookmark/b0a1fcef-4711-4504-99d0-c6d672decb44" TargetMode="External"/><Relationship Id="rId9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18.bin"/><Relationship Id="rId4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CF411-28E8-4FD3-AF2F-720756578DEF}">
  <sheetPr codeName="Sheet18"/>
  <dimension ref="A1:K58"/>
  <sheetViews>
    <sheetView workbookViewId="0">
      <selection activeCell="A20" sqref="A20"/>
    </sheetView>
  </sheetViews>
  <sheetFormatPr defaultRowHeight="15"/>
  <cols>
    <col min="1" max="1" width="9.140625" style="14"/>
    <col min="2" max="2" width="21.85546875" style="14" customWidth="1"/>
    <col min="3" max="3" width="33.5703125" style="14" customWidth="1"/>
    <col min="4" max="4" width="82.140625" style="14" customWidth="1"/>
    <col min="5" max="5" width="53.28515625" style="14" customWidth="1"/>
    <col min="6" max="6" width="9.140625" style="14"/>
    <col min="7" max="7" width="17.28515625" style="14" customWidth="1"/>
    <col min="8" max="10" width="9.140625" style="14"/>
    <col min="11" max="11" width="9.7109375" style="14" bestFit="1" customWidth="1"/>
    <col min="12" max="16384" width="9.140625" style="14"/>
  </cols>
  <sheetData>
    <row r="1" spans="1:5">
      <c r="A1" s="16" t="s">
        <v>14</v>
      </c>
      <c r="B1" s="16" t="s">
        <v>18</v>
      </c>
      <c r="C1" s="16" t="s">
        <v>11</v>
      </c>
      <c r="D1" s="16" t="s">
        <v>10</v>
      </c>
      <c r="E1" s="16" t="s">
        <v>8</v>
      </c>
    </row>
    <row r="2" spans="1:5">
      <c r="A2" s="14" t="s">
        <v>16</v>
      </c>
      <c r="B2" s="14" t="s">
        <v>25</v>
      </c>
      <c r="C2" s="14" t="s">
        <v>529</v>
      </c>
    </row>
    <row r="3" spans="1:5">
      <c r="C3" s="14" t="s">
        <v>530</v>
      </c>
      <c r="E3" s="14" t="s">
        <v>526</v>
      </c>
    </row>
    <row r="4" spans="1:5">
      <c r="C4" s="14" t="s">
        <v>0</v>
      </c>
    </row>
    <row r="5" spans="1:5">
      <c r="C5" s="14" t="s">
        <v>893</v>
      </c>
    </row>
    <row r="6" spans="1:5">
      <c r="C6" s="14" t="s">
        <v>872</v>
      </c>
      <c r="E6" s="14" t="s">
        <v>38</v>
      </c>
    </row>
    <row r="7" spans="1:5">
      <c r="C7" s="14" t="s">
        <v>525</v>
      </c>
      <c r="E7" s="14" t="s">
        <v>527</v>
      </c>
    </row>
    <row r="8" spans="1:5">
      <c r="C8" s="14" t="s">
        <v>531</v>
      </c>
    </row>
    <row r="10" spans="1:5">
      <c r="A10" s="14" t="s">
        <v>16</v>
      </c>
      <c r="B10" s="14" t="s">
        <v>849</v>
      </c>
      <c r="C10" s="14" t="s">
        <v>529</v>
      </c>
    </row>
    <row r="11" spans="1:5">
      <c r="C11" s="14" t="s">
        <v>530</v>
      </c>
      <c r="E11" s="14" t="s">
        <v>526</v>
      </c>
    </row>
    <row r="12" spans="1:5">
      <c r="C12" s="14" t="s">
        <v>0</v>
      </c>
    </row>
    <row r="13" spans="1:5">
      <c r="C13" s="14" t="s">
        <v>429</v>
      </c>
    </row>
    <row r="14" spans="1:5">
      <c r="C14" s="14" t="s">
        <v>848</v>
      </c>
      <c r="E14" s="14" t="s">
        <v>38</v>
      </c>
    </row>
    <row r="15" spans="1:5">
      <c r="C15" s="14" t="s">
        <v>525</v>
      </c>
      <c r="E15" s="14" t="s">
        <v>527</v>
      </c>
    </row>
    <row r="16" spans="1:5">
      <c r="C16" s="14" t="s">
        <v>531</v>
      </c>
    </row>
    <row r="18" spans="1:11">
      <c r="A18" s="14" t="s">
        <v>16</v>
      </c>
      <c r="B18" s="14" t="s">
        <v>871</v>
      </c>
      <c r="C18" s="14" t="s">
        <v>873</v>
      </c>
    </row>
    <row r="19" spans="1:11">
      <c r="C19" s="14" t="s">
        <v>874</v>
      </c>
    </row>
    <row r="21" spans="1:11">
      <c r="A21" s="14" t="s">
        <v>15</v>
      </c>
      <c r="B21" s="16" t="s">
        <v>357</v>
      </c>
      <c r="C21" s="14" t="s">
        <v>36</v>
      </c>
      <c r="D21" s="14" t="b">
        <v>0</v>
      </c>
      <c r="E21" s="14" t="s">
        <v>152</v>
      </c>
    </row>
    <row r="22" spans="1:11">
      <c r="C22" s="14" t="s">
        <v>528</v>
      </c>
      <c r="D22" s="14">
        <v>1.1000000000000001</v>
      </c>
    </row>
    <row r="23" spans="1:11">
      <c r="C23" s="14" t="s">
        <v>697</v>
      </c>
      <c r="D23" s="9">
        <f ca="1">NOW()</f>
        <v>44868.44997361111</v>
      </c>
      <c r="E23" s="6"/>
      <c r="J23" s="14" t="s">
        <v>756</v>
      </c>
    </row>
    <row r="24" spans="1:11">
      <c r="C24" s="14" t="s">
        <v>696</v>
      </c>
      <c r="D24" s="9">
        <f ca="1">TODAY()</f>
        <v>44868</v>
      </c>
      <c r="E24" s="14" t="s">
        <v>693</v>
      </c>
      <c r="F24" s="14" t="s">
        <v>694</v>
      </c>
      <c r="G24" s="14" t="s">
        <v>695</v>
      </c>
      <c r="H24" s="14" t="s">
        <v>769</v>
      </c>
      <c r="I24" s="14" t="s">
        <v>755</v>
      </c>
      <c r="J24" s="14" t="s">
        <v>757</v>
      </c>
      <c r="K24" s="14" t="s">
        <v>758</v>
      </c>
    </row>
    <row r="25" spans="1:11">
      <c r="C25" s="14" t="s">
        <v>871</v>
      </c>
      <c r="D25" s="14" t="b">
        <f ca="1">AND(OR(NOT(G25&gt;$D$24),I25),NOT(H25))</f>
        <v>1</v>
      </c>
      <c r="E25" s="14" t="str">
        <f ca="1">D24&amp;"\iCristalReport.pdf"</f>
        <v>44868\iCristalReport.pdf</v>
      </c>
      <c r="F25" s="14" t="b" cm="1">
        <f t="array" aca="1" ref="F25" ca="1">FileExists(E25,NOW())</f>
        <v>0</v>
      </c>
      <c r="G25" s="10" cm="1">
        <f t="array" aca="1" ref="G25" ca="1">IF(F25,fileModifiedDate(E25, NOW()),0)</f>
        <v>0</v>
      </c>
      <c r="H25" s="14" t="b">
        <v>0</v>
      </c>
      <c r="I25" s="14" t="b">
        <v>1</v>
      </c>
    </row>
    <row r="27" spans="1:11">
      <c r="A27" s="14" t="s">
        <v>16</v>
      </c>
      <c r="B27" s="14" t="s">
        <v>429</v>
      </c>
      <c r="C27" s="14" t="s">
        <v>425</v>
      </c>
    </row>
    <row r="28" spans="1:11">
      <c r="C28" s="14" t="s">
        <v>428</v>
      </c>
    </row>
    <row r="29" spans="1:11">
      <c r="C29" s="14" t="s">
        <v>129</v>
      </c>
    </row>
    <row r="30" spans="1:11">
      <c r="C30" s="14" t="s">
        <v>427</v>
      </c>
    </row>
    <row r="31" spans="1:11">
      <c r="C31" s="14" t="s">
        <v>426</v>
      </c>
    </row>
    <row r="32" spans="1:11">
      <c r="K32" s="4"/>
    </row>
    <row r="33" spans="1:5">
      <c r="A33" s="14" t="s">
        <v>15</v>
      </c>
      <c r="B33" s="14" t="s">
        <v>9</v>
      </c>
      <c r="C33" s="14" t="s">
        <v>19</v>
      </c>
      <c r="D33" s="14" t="s">
        <v>20</v>
      </c>
      <c r="E33" s="16" t="s">
        <v>433</v>
      </c>
    </row>
    <row r="34" spans="1:5">
      <c r="A34" s="14" t="s">
        <v>16</v>
      </c>
      <c r="B34" s="16" t="s">
        <v>0</v>
      </c>
      <c r="C34" s="14" t="s">
        <v>21</v>
      </c>
      <c r="D34" s="15"/>
      <c r="E34" s="14" t="s">
        <v>397</v>
      </c>
    </row>
    <row r="35" spans="1:5">
      <c r="B35" s="16"/>
      <c r="C35" s="14" t="s">
        <v>679</v>
      </c>
      <c r="D35" s="15"/>
    </row>
    <row r="36" spans="1:5">
      <c r="B36" s="16"/>
      <c r="C36" s="14" t="s">
        <v>340</v>
      </c>
      <c r="D36" s="15"/>
    </row>
    <row r="37" spans="1:5">
      <c r="C37" s="14" t="s">
        <v>662</v>
      </c>
    </row>
    <row r="38" spans="1:5">
      <c r="C38" s="14" t="s">
        <v>340</v>
      </c>
      <c r="E38" s="14" t="s">
        <v>104</v>
      </c>
    </row>
    <row r="39" spans="1:5">
      <c r="C39" s="14" t="s">
        <v>701</v>
      </c>
      <c r="E39" s="14" t="s">
        <v>108</v>
      </c>
    </row>
    <row r="40" spans="1:5">
      <c r="A40" s="14" t="s">
        <v>16</v>
      </c>
      <c r="B40" s="1" t="s">
        <v>107</v>
      </c>
      <c r="C40" s="14" t="s">
        <v>340</v>
      </c>
      <c r="E40" s="1"/>
    </row>
    <row r="41" spans="1:5">
      <c r="B41" s="1"/>
      <c r="C41" s="14" t="s">
        <v>854</v>
      </c>
      <c r="E41" s="1" t="s">
        <v>343</v>
      </c>
    </row>
    <row r="42" spans="1:5">
      <c r="B42" s="1"/>
      <c r="C42" s="14" t="s">
        <v>22</v>
      </c>
      <c r="E42" s="1" t="s">
        <v>105</v>
      </c>
    </row>
    <row r="43" spans="1:5">
      <c r="C43" s="14" t="s">
        <v>34</v>
      </c>
      <c r="E43" s="14" t="s">
        <v>106</v>
      </c>
    </row>
    <row r="44" spans="1:5">
      <c r="C44" s="14" t="s">
        <v>411</v>
      </c>
      <c r="E44" s="14" t="s">
        <v>38</v>
      </c>
    </row>
    <row r="45" spans="1:5">
      <c r="C45" s="14" t="s">
        <v>7</v>
      </c>
      <c r="E45" s="14" t="s">
        <v>110</v>
      </c>
    </row>
    <row r="46" spans="1:5">
      <c r="C46" s="14" t="s">
        <v>449</v>
      </c>
      <c r="E46" s="14" t="s">
        <v>450</v>
      </c>
    </row>
    <row r="47" spans="1:5">
      <c r="C47" s="14" t="s">
        <v>452</v>
      </c>
      <c r="E47" s="14" t="s">
        <v>453</v>
      </c>
    </row>
    <row r="48" spans="1:5">
      <c r="C48" s="14" t="s">
        <v>855</v>
      </c>
      <c r="E48" s="14" t="s">
        <v>111</v>
      </c>
    </row>
    <row r="50" spans="1:5">
      <c r="A50" s="14" t="s">
        <v>16</v>
      </c>
      <c r="B50" s="14" t="s">
        <v>410</v>
      </c>
      <c r="C50" s="14" t="s">
        <v>37</v>
      </c>
    </row>
    <row r="51" spans="1:5">
      <c r="C51" s="14" t="s">
        <v>456</v>
      </c>
      <c r="E51" s="14" t="s">
        <v>455</v>
      </c>
    </row>
    <row r="52" spans="1:5">
      <c r="C52" s="14" t="s">
        <v>699</v>
      </c>
      <c r="E52" s="14" t="s">
        <v>700</v>
      </c>
    </row>
    <row r="53" spans="1:5">
      <c r="C53" s="14" t="s">
        <v>27</v>
      </c>
    </row>
    <row r="55" spans="1:5">
      <c r="A55" s="14" t="s">
        <v>16</v>
      </c>
      <c r="B55" s="14" t="s">
        <v>451</v>
      </c>
      <c r="C55" s="14" t="s">
        <v>454</v>
      </c>
      <c r="E55" s="14" t="s">
        <v>455</v>
      </c>
    </row>
    <row r="56" spans="1:5">
      <c r="C56" s="14" t="s">
        <v>699</v>
      </c>
      <c r="E56" s="14" t="s">
        <v>700</v>
      </c>
    </row>
    <row r="57" spans="1:5">
      <c r="C57" s="14" t="s">
        <v>27</v>
      </c>
    </row>
    <row r="58" spans="1:5">
      <c r="B58" s="1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EF57-2F7A-4202-B039-0F818C79A31D}">
  <sheetPr codeName="Sheet1"/>
  <dimension ref="A1:C37"/>
  <sheetViews>
    <sheetView workbookViewId="0">
      <selection activeCell="A5" sqref="A5"/>
    </sheetView>
  </sheetViews>
  <sheetFormatPr defaultRowHeight="15"/>
  <cols>
    <col min="1" max="1" width="35.140625" customWidth="1"/>
  </cols>
  <sheetData>
    <row r="1" spans="1:3">
      <c r="A1" t="s">
        <v>388</v>
      </c>
    </row>
    <row r="2" spans="1:3">
      <c r="A2" t="s">
        <v>386</v>
      </c>
    </row>
    <row r="3" spans="1:3">
      <c r="A3" t="s">
        <v>387</v>
      </c>
    </row>
    <row r="4" spans="1:3">
      <c r="A4" t="s">
        <v>389</v>
      </c>
    </row>
    <row r="5" spans="1:3">
      <c r="A5" t="s">
        <v>390</v>
      </c>
    </row>
    <row r="6" spans="1:3">
      <c r="A6" t="s">
        <v>777</v>
      </c>
    </row>
    <row r="7" spans="1:3">
      <c r="A7" t="s">
        <v>391</v>
      </c>
      <c r="C7" t="s">
        <v>392</v>
      </c>
    </row>
    <row r="8" spans="1:3">
      <c r="A8" t="s">
        <v>393</v>
      </c>
      <c r="C8" t="s">
        <v>395</v>
      </c>
    </row>
    <row r="9" spans="1:3">
      <c r="A9" t="s">
        <v>394</v>
      </c>
      <c r="C9" t="s">
        <v>396</v>
      </c>
    </row>
    <row r="12" spans="1:3">
      <c r="A12" s="3" t="s">
        <v>483</v>
      </c>
    </row>
    <row r="13" spans="1:3">
      <c r="A13" s="3" t="s">
        <v>485</v>
      </c>
    </row>
    <row r="14" spans="1:3">
      <c r="A14" t="s">
        <v>488</v>
      </c>
      <c r="B14" t="s">
        <v>498</v>
      </c>
    </row>
    <row r="15" spans="1:3">
      <c r="A15" t="s">
        <v>484</v>
      </c>
      <c r="B15" t="s">
        <v>499</v>
      </c>
    </row>
    <row r="16" spans="1:3">
      <c r="A16" t="s">
        <v>481</v>
      </c>
      <c r="B16" t="s">
        <v>500</v>
      </c>
    </row>
    <row r="17" spans="1:2">
      <c r="A17" t="s">
        <v>482</v>
      </c>
      <c r="B17" t="s">
        <v>501</v>
      </c>
    </row>
    <row r="20" spans="1:2">
      <c r="A20" t="s">
        <v>486</v>
      </c>
      <c r="B20" t="s">
        <v>495</v>
      </c>
    </row>
    <row r="21" spans="1:2">
      <c r="B21" s="2" t="s">
        <v>517</v>
      </c>
    </row>
    <row r="22" spans="1:2">
      <c r="A22" t="s">
        <v>487</v>
      </c>
      <c r="B22" t="s">
        <v>496</v>
      </c>
    </row>
    <row r="25" spans="1:2">
      <c r="A25" s="3" t="s">
        <v>504</v>
      </c>
    </row>
    <row r="26" spans="1:2">
      <c r="A26" t="s">
        <v>505</v>
      </c>
      <c r="B26" t="s">
        <v>514</v>
      </c>
    </row>
    <row r="27" spans="1:2">
      <c r="A27" t="s">
        <v>506</v>
      </c>
      <c r="B27" t="s">
        <v>512</v>
      </c>
    </row>
    <row r="28" spans="1:2">
      <c r="A28" t="s">
        <v>507</v>
      </c>
      <c r="B28" t="s">
        <v>513</v>
      </c>
    </row>
    <row r="29" spans="1:2">
      <c r="A29" t="s">
        <v>509</v>
      </c>
      <c r="B29" t="s">
        <v>515</v>
      </c>
    </row>
    <row r="30" spans="1:2">
      <c r="A30" t="s">
        <v>508</v>
      </c>
      <c r="B30" t="s">
        <v>516</v>
      </c>
    </row>
    <row r="31" spans="1:2">
      <c r="A31" t="s">
        <v>510</v>
      </c>
      <c r="B31" t="s">
        <v>511</v>
      </c>
    </row>
    <row r="32" spans="1:2">
      <c r="A32" t="s">
        <v>518</v>
      </c>
      <c r="B32" t="s">
        <v>519</v>
      </c>
    </row>
    <row r="33" spans="1:2">
      <c r="A33" s="8" t="s">
        <v>493</v>
      </c>
      <c r="B33" t="s">
        <v>494</v>
      </c>
    </row>
    <row r="34" spans="1:2">
      <c r="A34" s="8" t="s">
        <v>489</v>
      </c>
      <c r="B34" t="s">
        <v>497</v>
      </c>
    </row>
    <row r="35" spans="1:2">
      <c r="A35" s="8" t="s">
        <v>490</v>
      </c>
      <c r="B35" t="s">
        <v>502</v>
      </c>
    </row>
    <row r="36" spans="1:2">
      <c r="A36" s="8" t="s">
        <v>491</v>
      </c>
      <c r="B36" t="s">
        <v>503</v>
      </c>
    </row>
    <row r="37" spans="1:2">
      <c r="A37" s="8" t="s">
        <v>492</v>
      </c>
    </row>
  </sheetData>
  <hyperlinks>
    <hyperlink ref="B21" r:id="rId1" xr:uid="{5609076B-CFD8-4468-952C-E0F0C08BEA6F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5927A-CD09-4366-9B7E-44AF60AB7A3B}">
  <sheetPr codeName="Sheet2"/>
  <dimension ref="A1:K78"/>
  <sheetViews>
    <sheetView workbookViewId="0">
      <selection activeCell="A18" sqref="A18"/>
    </sheetView>
  </sheetViews>
  <sheetFormatPr defaultRowHeight="15"/>
  <cols>
    <col min="2" max="2" width="21.85546875" customWidth="1"/>
    <col min="3" max="3" width="33.5703125" customWidth="1"/>
    <col min="4" max="4" width="82.140625" customWidth="1"/>
    <col min="5" max="5" width="53.28515625" customWidth="1"/>
    <col min="7" max="7" width="17.28515625" customWidth="1"/>
    <col min="11" max="11" width="9.7109375" bestFit="1" customWidth="1"/>
  </cols>
  <sheetData>
    <row r="1" spans="1:11">
      <c r="A1" s="3" t="s">
        <v>14</v>
      </c>
      <c r="B1" s="3" t="s">
        <v>18</v>
      </c>
      <c r="C1" s="3" t="s">
        <v>11</v>
      </c>
      <c r="D1" s="3" t="s">
        <v>10</v>
      </c>
      <c r="E1" s="3" t="s">
        <v>8</v>
      </c>
    </row>
    <row r="2" spans="1:11">
      <c r="A2" t="s">
        <v>16</v>
      </c>
      <c r="B2" t="s">
        <v>25</v>
      </c>
      <c r="C2" t="s">
        <v>529</v>
      </c>
    </row>
    <row r="3" spans="1:11">
      <c r="C3" t="s">
        <v>530</v>
      </c>
      <c r="E3" t="s">
        <v>526</v>
      </c>
    </row>
    <row r="4" spans="1:11">
      <c r="C4" t="s">
        <v>917</v>
      </c>
    </row>
    <row r="5" spans="1:11">
      <c r="C5" t="s">
        <v>893</v>
      </c>
    </row>
    <row r="6" spans="1:11">
      <c r="C6" t="s">
        <v>918</v>
      </c>
      <c r="E6" t="s">
        <v>38</v>
      </c>
    </row>
    <row r="7" spans="1:11">
      <c r="C7" t="s">
        <v>525</v>
      </c>
      <c r="E7" t="s">
        <v>527</v>
      </c>
    </row>
    <row r="8" spans="1:11">
      <c r="C8" t="s">
        <v>531</v>
      </c>
    </row>
    <row r="9" spans="1:11" s="14" customFormat="1"/>
    <row r="10" spans="1:11">
      <c r="A10" s="14" t="s">
        <v>16</v>
      </c>
      <c r="B10" s="14" t="s">
        <v>849</v>
      </c>
      <c r="C10" s="14" t="s">
        <v>529</v>
      </c>
      <c r="D10" s="14"/>
      <c r="E10" s="14"/>
      <c r="F10" s="14"/>
      <c r="G10" s="14"/>
      <c r="H10" s="14"/>
      <c r="I10" s="14"/>
      <c r="J10" s="14"/>
      <c r="K10" s="14"/>
    </row>
    <row r="11" spans="1:11" s="14" customFormat="1">
      <c r="C11" s="14" t="s">
        <v>530</v>
      </c>
      <c r="E11" s="14" t="s">
        <v>526</v>
      </c>
    </row>
    <row r="12" spans="1:11" s="14" customFormat="1">
      <c r="C12" s="14" t="s">
        <v>0</v>
      </c>
    </row>
    <row r="13" spans="1:11" s="14" customFormat="1">
      <c r="C13" s="14" t="s">
        <v>429</v>
      </c>
    </row>
    <row r="14" spans="1:11" s="14" customFormat="1">
      <c r="C14" s="14" t="s">
        <v>848</v>
      </c>
      <c r="E14" s="14" t="s">
        <v>38</v>
      </c>
    </row>
    <row r="15" spans="1:11" s="14" customFormat="1">
      <c r="C15" s="14" t="s">
        <v>525</v>
      </c>
      <c r="E15" s="14" t="s">
        <v>527</v>
      </c>
    </row>
    <row r="16" spans="1:11" s="14" customFormat="1">
      <c r="C16" s="14" t="s">
        <v>531</v>
      </c>
    </row>
    <row r="17" spans="1:11" s="14" customFormat="1"/>
    <row r="18" spans="1:11">
      <c r="A18" t="s">
        <v>16</v>
      </c>
      <c r="B18" t="s">
        <v>919</v>
      </c>
      <c r="C18" t="s">
        <v>921</v>
      </c>
    </row>
    <row r="19" spans="1:11">
      <c r="C19" t="s">
        <v>920</v>
      </c>
    </row>
    <row r="21" spans="1:11">
      <c r="A21" t="s">
        <v>15</v>
      </c>
      <c r="B21" s="3" t="s">
        <v>357</v>
      </c>
      <c r="C21" t="s">
        <v>36</v>
      </c>
      <c r="D21" t="b">
        <v>0</v>
      </c>
      <c r="E21" t="s">
        <v>152</v>
      </c>
    </row>
    <row r="22" spans="1:11">
      <c r="C22" t="s">
        <v>528</v>
      </c>
      <c r="D22">
        <v>1.1000000000000001</v>
      </c>
    </row>
    <row r="23" spans="1:11">
      <c r="C23" t="s">
        <v>697</v>
      </c>
      <c r="D23" s="9">
        <f ca="1">NOW()</f>
        <v>44868.44997361111</v>
      </c>
      <c r="E23" s="6"/>
      <c r="J23" t="s">
        <v>756</v>
      </c>
    </row>
    <row r="24" spans="1:11">
      <c r="C24" t="s">
        <v>696</v>
      </c>
      <c r="D24" s="9">
        <f ca="1">TODAY()</f>
        <v>44868</v>
      </c>
      <c r="E24" t="s">
        <v>693</v>
      </c>
      <c r="F24" t="s">
        <v>694</v>
      </c>
      <c r="G24" t="s">
        <v>695</v>
      </c>
      <c r="H24" t="s">
        <v>769</v>
      </c>
      <c r="I24" t="s">
        <v>755</v>
      </c>
      <c r="J24" t="s">
        <v>757</v>
      </c>
      <c r="K24" t="s">
        <v>758</v>
      </c>
    </row>
    <row r="25" spans="1:11">
      <c r="C25" t="s">
        <v>871</v>
      </c>
      <c r="D25" t="b">
        <f ca="1">AND(OR(NOT(G25&gt;$D$24),I25),NOT(H25))</f>
        <v>1</v>
      </c>
      <c r="E25" t="str">
        <f ca="1">D24&amp;"\iCristalReport.pdf"</f>
        <v>44868\iCristalReport.pdf</v>
      </c>
      <c r="F25" t="b" cm="1">
        <f t="array" aca="1" ref="F25" ca="1">FileExists(E25,NOW())</f>
        <v>0</v>
      </c>
      <c r="G25" s="10" cm="1">
        <f t="array" aca="1" ref="G25" ca="1">IF(F25,fileModifiedDate(E25, NOW()),0)</f>
        <v>0</v>
      </c>
      <c r="H25" t="b">
        <v>0</v>
      </c>
      <c r="I25" t="b">
        <v>1</v>
      </c>
    </row>
    <row r="26" spans="1:11" s="14" customFormat="1">
      <c r="C26" s="14" t="s">
        <v>919</v>
      </c>
      <c r="D26" s="14" t="b">
        <v>1</v>
      </c>
      <c r="G26" s="10"/>
    </row>
    <row r="28" spans="1:11">
      <c r="A28" t="s">
        <v>16</v>
      </c>
      <c r="B28" t="s">
        <v>429</v>
      </c>
      <c r="C28" t="s">
        <v>425</v>
      </c>
    </row>
    <row r="29" spans="1:11">
      <c r="C29" t="s">
        <v>428</v>
      </c>
    </row>
    <row r="30" spans="1:11">
      <c r="C30" t="s">
        <v>129</v>
      </c>
    </row>
    <row r="31" spans="1:11">
      <c r="C31" t="s">
        <v>427</v>
      </c>
    </row>
    <row r="32" spans="1:11">
      <c r="C32" t="s">
        <v>426</v>
      </c>
    </row>
    <row r="33" spans="1:11">
      <c r="K33" s="4"/>
    </row>
    <row r="34" spans="1:11">
      <c r="A34" t="s">
        <v>15</v>
      </c>
      <c r="B34" t="s">
        <v>9</v>
      </c>
      <c r="C34" t="s">
        <v>19</v>
      </c>
      <c r="D34" t="s">
        <v>20</v>
      </c>
      <c r="E34" s="3" t="s">
        <v>433</v>
      </c>
    </row>
    <row r="35" spans="1:11">
      <c r="A35" t="s">
        <v>16</v>
      </c>
      <c r="B35" s="3" t="s">
        <v>0</v>
      </c>
      <c r="C35" t="s">
        <v>21</v>
      </c>
      <c r="D35" s="2"/>
      <c r="E35" t="s">
        <v>397</v>
      </c>
    </row>
    <row r="36" spans="1:11">
      <c r="B36" s="3"/>
      <c r="C36" t="s">
        <v>679</v>
      </c>
      <c r="D36" s="2"/>
    </row>
    <row r="37" spans="1:11">
      <c r="B37" s="3"/>
      <c r="C37" t="s">
        <v>340</v>
      </c>
      <c r="D37" s="2"/>
    </row>
    <row r="38" spans="1:11">
      <c r="C38" t="s">
        <v>662</v>
      </c>
    </row>
    <row r="39" spans="1:11">
      <c r="C39" t="s">
        <v>340</v>
      </c>
      <c r="E39" t="s">
        <v>104</v>
      </c>
    </row>
    <row r="40" spans="1:11" s="14" customFormat="1">
      <c r="C40" s="14" t="s">
        <v>908</v>
      </c>
    </row>
    <row r="41" spans="1:11">
      <c r="A41" t="s">
        <v>16</v>
      </c>
      <c r="B41" t="s">
        <v>907</v>
      </c>
      <c r="C41" t="s">
        <v>701</v>
      </c>
      <c r="E41" t="s">
        <v>108</v>
      </c>
    </row>
    <row r="42" spans="1:11" s="14" customFormat="1"/>
    <row r="43" spans="1:11" s="14" customFormat="1">
      <c r="A43" s="14" t="s">
        <v>16</v>
      </c>
      <c r="B43" s="14" t="s">
        <v>909</v>
      </c>
      <c r="C43" s="14" t="s">
        <v>905</v>
      </c>
    </row>
    <row r="44" spans="1:11" s="14" customFormat="1">
      <c r="C44" s="14" t="s">
        <v>904</v>
      </c>
    </row>
    <row r="45" spans="1:11" s="14" customFormat="1">
      <c r="A45" s="14" t="s">
        <v>16</v>
      </c>
      <c r="B45" s="14" t="s">
        <v>910</v>
      </c>
      <c r="C45" s="14" t="s">
        <v>911</v>
      </c>
    </row>
    <row r="46" spans="1:11" s="14" customFormat="1">
      <c r="C46" s="14" t="s">
        <v>916</v>
      </c>
    </row>
    <row r="47" spans="1:11" s="14" customFormat="1">
      <c r="A47" s="14" t="s">
        <v>16</v>
      </c>
      <c r="B47" s="14" t="s">
        <v>911</v>
      </c>
      <c r="C47" s="14" t="s">
        <v>22</v>
      </c>
    </row>
    <row r="48" spans="1:11" s="14" customFormat="1">
      <c r="C48" s="14" t="s">
        <v>34</v>
      </c>
    </row>
    <row r="49" spans="1:5" s="14" customFormat="1">
      <c r="C49" s="14" t="s">
        <v>411</v>
      </c>
    </row>
    <row r="50" spans="1:5" s="14" customFormat="1">
      <c r="C50" s="14" t="s">
        <v>7</v>
      </c>
    </row>
    <row r="51" spans="1:5" s="14" customFormat="1">
      <c r="C51" s="14" t="s">
        <v>912</v>
      </c>
      <c r="E51" s="14" t="s">
        <v>449</v>
      </c>
    </row>
    <row r="52" spans="1:5" s="14" customFormat="1">
      <c r="E52" s="14" t="s">
        <v>452</v>
      </c>
    </row>
    <row r="53" spans="1:5" s="14" customFormat="1">
      <c r="E53" s="14" t="s">
        <v>855</v>
      </c>
    </row>
    <row r="54" spans="1:5" s="14" customFormat="1">
      <c r="A54" s="14" t="s">
        <v>16</v>
      </c>
      <c r="B54" s="14" t="s">
        <v>916</v>
      </c>
      <c r="C54" s="14" t="s">
        <v>906</v>
      </c>
    </row>
    <row r="55" spans="1:5" s="14" customFormat="1">
      <c r="A55" s="14" t="s">
        <v>16</v>
      </c>
      <c r="B55" s="14" t="s">
        <v>913</v>
      </c>
      <c r="C55" s="14" t="s">
        <v>904</v>
      </c>
    </row>
    <row r="56" spans="1:5" s="14" customFormat="1">
      <c r="C56" s="14" t="s">
        <v>915</v>
      </c>
    </row>
    <row r="57" spans="1:5" s="14" customFormat="1">
      <c r="A57" s="14" t="s">
        <v>16</v>
      </c>
      <c r="B57" s="14" t="s">
        <v>914</v>
      </c>
      <c r="C57" s="14" t="s">
        <v>916</v>
      </c>
    </row>
    <row r="58" spans="1:5" s="14" customFormat="1">
      <c r="C58" s="14" t="s">
        <v>451</v>
      </c>
    </row>
    <row r="59" spans="1:5" s="14" customFormat="1"/>
    <row r="60" spans="1:5">
      <c r="A60" t="s">
        <v>16</v>
      </c>
      <c r="B60" s="1" t="s">
        <v>107</v>
      </c>
      <c r="C60" t="s">
        <v>340</v>
      </c>
      <c r="E60" s="1"/>
    </row>
    <row r="61" spans="1:5">
      <c r="B61" s="1"/>
      <c r="C61" t="s">
        <v>854</v>
      </c>
      <c r="E61" s="1" t="s">
        <v>343</v>
      </c>
    </row>
    <row r="62" spans="1:5">
      <c r="B62" s="1"/>
      <c r="C62" t="s">
        <v>22</v>
      </c>
      <c r="E62" s="1" t="s">
        <v>105</v>
      </c>
    </row>
    <row r="63" spans="1:5">
      <c r="C63" t="s">
        <v>34</v>
      </c>
      <c r="E63" t="s">
        <v>106</v>
      </c>
    </row>
    <row r="64" spans="1:5">
      <c r="C64" t="s">
        <v>411</v>
      </c>
      <c r="E64" t="s">
        <v>38</v>
      </c>
    </row>
    <row r="65" spans="1:5">
      <c r="C65" t="s">
        <v>7</v>
      </c>
      <c r="E65" t="s">
        <v>110</v>
      </c>
    </row>
    <row r="66" spans="1:5">
      <c r="C66" t="s">
        <v>449</v>
      </c>
      <c r="E66" t="s">
        <v>450</v>
      </c>
    </row>
    <row r="67" spans="1:5">
      <c r="C67" t="s">
        <v>452</v>
      </c>
      <c r="E67" t="s">
        <v>453</v>
      </c>
    </row>
    <row r="68" spans="1:5">
      <c r="C68" t="s">
        <v>855</v>
      </c>
      <c r="E68" t="s">
        <v>111</v>
      </c>
    </row>
    <row r="70" spans="1:5">
      <c r="A70" t="s">
        <v>16</v>
      </c>
      <c r="B70" t="s">
        <v>410</v>
      </c>
      <c r="C70" t="s">
        <v>37</v>
      </c>
    </row>
    <row r="71" spans="1:5">
      <c r="C71" t="s">
        <v>456</v>
      </c>
      <c r="E71" t="s">
        <v>455</v>
      </c>
    </row>
    <row r="72" spans="1:5">
      <c r="C72" t="s">
        <v>699</v>
      </c>
      <c r="E72" t="s">
        <v>700</v>
      </c>
    </row>
    <row r="73" spans="1:5">
      <c r="C73" t="s">
        <v>27</v>
      </c>
    </row>
    <row r="75" spans="1:5">
      <c r="A75" t="s">
        <v>16</v>
      </c>
      <c r="B75" t="s">
        <v>451</v>
      </c>
      <c r="C75" t="s">
        <v>454</v>
      </c>
      <c r="E75" t="s">
        <v>455</v>
      </c>
    </row>
    <row r="76" spans="1:5">
      <c r="C76" t="s">
        <v>699</v>
      </c>
      <c r="E76" t="s">
        <v>700</v>
      </c>
    </row>
    <row r="77" spans="1:5">
      <c r="C77" t="s">
        <v>27</v>
      </c>
    </row>
    <row r="78" spans="1:5">
      <c r="B78" s="3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D8E09-37EE-4F13-A033-C3D009D418B8}">
  <dimension ref="A1:L99"/>
  <sheetViews>
    <sheetView workbookViewId="0">
      <selection activeCell="B14" sqref="B14"/>
    </sheetView>
  </sheetViews>
  <sheetFormatPr defaultRowHeight="15"/>
  <cols>
    <col min="2" max="2" width="19" customWidth="1"/>
    <col min="3" max="3" width="36.7109375" customWidth="1"/>
    <col min="4" max="4" width="33.42578125" customWidth="1"/>
    <col min="5" max="5" width="48.85546875" customWidth="1"/>
  </cols>
  <sheetData>
    <row r="1" spans="1:12">
      <c r="A1" s="16" t="s">
        <v>14</v>
      </c>
      <c r="B1" s="16" t="s">
        <v>18</v>
      </c>
      <c r="C1" s="16" t="s">
        <v>11</v>
      </c>
      <c r="D1" s="16" t="s">
        <v>10</v>
      </c>
      <c r="E1" s="16" t="s">
        <v>8</v>
      </c>
      <c r="F1" s="14"/>
      <c r="G1" s="14"/>
      <c r="H1" s="14"/>
      <c r="I1" s="14"/>
      <c r="J1" s="14"/>
      <c r="K1" s="14"/>
      <c r="L1" s="14"/>
    </row>
    <row r="2" spans="1:12">
      <c r="A2" s="14" t="s">
        <v>15</v>
      </c>
      <c r="B2" s="14" t="s">
        <v>9</v>
      </c>
      <c r="C2" s="14" t="s">
        <v>19</v>
      </c>
      <c r="D2" s="14" t="s">
        <v>20</v>
      </c>
      <c r="E2" s="16" t="s">
        <v>433</v>
      </c>
      <c r="F2" s="14"/>
      <c r="G2" s="14"/>
      <c r="H2" s="14"/>
      <c r="I2" s="14"/>
      <c r="J2" s="14"/>
      <c r="K2" s="14"/>
      <c r="L2" s="14"/>
    </row>
    <row r="3" spans="1:12">
      <c r="A3" s="14" t="s">
        <v>16</v>
      </c>
      <c r="B3" s="16" t="s">
        <v>25</v>
      </c>
      <c r="C3" s="14" t="s">
        <v>21</v>
      </c>
      <c r="D3" s="15"/>
      <c r="E3" s="14" t="s">
        <v>397</v>
      </c>
      <c r="F3" s="14"/>
      <c r="G3" s="14"/>
      <c r="H3" s="14"/>
      <c r="I3" s="14"/>
      <c r="J3" s="14"/>
      <c r="K3" s="14"/>
      <c r="L3" s="14"/>
    </row>
    <row r="4" spans="1:12">
      <c r="A4" s="14"/>
      <c r="B4" s="16"/>
      <c r="C4" s="14" t="s">
        <v>679</v>
      </c>
      <c r="D4" s="15"/>
      <c r="E4" s="14"/>
      <c r="F4" s="14"/>
      <c r="G4" s="14"/>
      <c r="H4" s="14"/>
      <c r="I4" s="14"/>
      <c r="J4" s="14"/>
      <c r="K4" s="14"/>
      <c r="L4" s="14"/>
    </row>
    <row r="5" spans="1:12">
      <c r="A5" s="14"/>
      <c r="B5" s="16"/>
      <c r="C5" s="14" t="s">
        <v>340</v>
      </c>
      <c r="D5" s="15"/>
      <c r="E5" s="14"/>
      <c r="F5" s="14"/>
      <c r="G5" s="14"/>
      <c r="H5" s="14"/>
      <c r="I5" s="14"/>
      <c r="J5" s="14"/>
      <c r="K5" s="14"/>
      <c r="L5" s="14"/>
    </row>
    <row r="6" spans="1:12">
      <c r="A6" s="14"/>
      <c r="B6" s="14"/>
      <c r="C6" s="14" t="s">
        <v>662</v>
      </c>
      <c r="D6" s="14"/>
      <c r="E6" s="14"/>
      <c r="F6" s="14"/>
      <c r="G6" s="14"/>
      <c r="H6" s="14"/>
      <c r="I6" s="14"/>
      <c r="J6" s="14"/>
      <c r="K6" s="14"/>
      <c r="L6" s="14"/>
    </row>
    <row r="7" spans="1:12">
      <c r="A7" s="14"/>
      <c r="B7" s="14"/>
      <c r="C7" s="14" t="s">
        <v>340</v>
      </c>
      <c r="D7" s="14"/>
      <c r="E7" s="14" t="s">
        <v>104</v>
      </c>
      <c r="F7" s="14"/>
      <c r="G7" s="14"/>
      <c r="H7" s="14"/>
      <c r="I7" s="14"/>
      <c r="J7" s="14"/>
      <c r="K7" s="14"/>
      <c r="L7" s="14"/>
    </row>
    <row r="8" spans="1:12">
      <c r="A8" s="14"/>
      <c r="B8" s="14"/>
      <c r="C8" s="14" t="s">
        <v>908</v>
      </c>
      <c r="D8" s="14"/>
      <c r="E8" s="14"/>
      <c r="F8" s="14"/>
      <c r="G8" s="14"/>
      <c r="H8" s="14"/>
      <c r="I8" s="14"/>
      <c r="J8" s="14"/>
      <c r="K8" s="14"/>
      <c r="L8" s="14"/>
    </row>
    <row r="9" spans="1:12">
      <c r="A9" s="14" t="s">
        <v>16</v>
      </c>
      <c r="B9" s="14" t="s">
        <v>909</v>
      </c>
      <c r="C9" s="14" t="s">
        <v>905</v>
      </c>
      <c r="D9" s="14"/>
      <c r="E9" s="14"/>
      <c r="F9" s="14"/>
      <c r="G9" s="14"/>
      <c r="H9" s="14"/>
      <c r="I9" s="14"/>
      <c r="J9" s="14"/>
      <c r="K9" s="14"/>
      <c r="L9" s="14"/>
    </row>
    <row r="10" spans="1:12">
      <c r="A10" s="14"/>
      <c r="B10" s="14"/>
      <c r="C10" s="14" t="s">
        <v>904</v>
      </c>
      <c r="D10" s="14"/>
      <c r="E10" s="14"/>
      <c r="F10" s="14"/>
      <c r="G10" s="14"/>
      <c r="H10" s="14"/>
      <c r="I10" s="14"/>
      <c r="J10" s="14"/>
      <c r="K10" s="14"/>
      <c r="L10" s="14"/>
    </row>
    <row r="11" spans="1:12">
      <c r="A11" s="14" t="s">
        <v>16</v>
      </c>
      <c r="B11" s="14" t="s">
        <v>910</v>
      </c>
      <c r="C11" s="14" t="s">
        <v>911</v>
      </c>
      <c r="D11" s="14"/>
      <c r="E11" s="14"/>
      <c r="F11" s="14"/>
      <c r="G11" s="14"/>
      <c r="H11" s="14"/>
      <c r="I11" s="14"/>
      <c r="J11" s="14"/>
      <c r="K11" s="14"/>
      <c r="L11" s="14"/>
    </row>
    <row r="12" spans="1:12">
      <c r="A12" s="14"/>
      <c r="B12" s="14"/>
      <c r="C12" s="14" t="s">
        <v>916</v>
      </c>
      <c r="D12" s="14"/>
      <c r="E12" s="14"/>
      <c r="F12" s="14"/>
      <c r="G12" s="14"/>
      <c r="H12" s="14"/>
      <c r="I12" s="14"/>
      <c r="J12" s="14"/>
      <c r="K12" s="14"/>
      <c r="L12" s="14"/>
    </row>
    <row r="13" spans="1:12">
      <c r="A13" s="14" t="s">
        <v>16</v>
      </c>
      <c r="B13" s="14" t="s">
        <v>911</v>
      </c>
      <c r="C13" s="14" t="s">
        <v>22</v>
      </c>
      <c r="D13" s="14"/>
      <c r="E13" s="1" t="s">
        <v>105</v>
      </c>
      <c r="F13" s="14"/>
      <c r="G13" s="14"/>
      <c r="H13" s="14"/>
      <c r="I13" s="14"/>
      <c r="J13" s="14"/>
      <c r="K13" s="14"/>
      <c r="L13" s="14"/>
    </row>
    <row r="14" spans="1:12">
      <c r="A14" s="14"/>
      <c r="B14" s="14"/>
      <c r="C14" s="14" t="s">
        <v>34</v>
      </c>
      <c r="D14" s="14"/>
      <c r="E14" s="14" t="s">
        <v>106</v>
      </c>
      <c r="F14" s="14"/>
      <c r="G14" s="14"/>
      <c r="H14" s="14"/>
      <c r="I14" s="14"/>
      <c r="J14" s="14"/>
      <c r="K14" s="14"/>
      <c r="L14" s="14"/>
    </row>
    <row r="15" spans="1:12">
      <c r="A15" s="14"/>
      <c r="B15" s="14"/>
      <c r="C15" s="14" t="s">
        <v>411</v>
      </c>
      <c r="D15" s="14"/>
      <c r="E15" s="14" t="s">
        <v>38</v>
      </c>
      <c r="F15" s="14"/>
      <c r="G15" s="14"/>
      <c r="H15" s="14"/>
      <c r="I15" s="14"/>
      <c r="J15" s="14"/>
      <c r="K15" s="14"/>
      <c r="L15" s="14"/>
    </row>
    <row r="16" spans="1:12">
      <c r="A16" s="14"/>
      <c r="B16" s="14"/>
      <c r="C16" s="14" t="s">
        <v>7</v>
      </c>
      <c r="D16" s="14"/>
      <c r="E16" s="14" t="s">
        <v>110</v>
      </c>
      <c r="F16" s="14"/>
      <c r="G16" s="14"/>
      <c r="H16" s="14"/>
      <c r="I16" s="14"/>
      <c r="J16" s="14"/>
      <c r="K16" s="14"/>
      <c r="L16" s="14"/>
    </row>
    <row r="17" spans="1:12">
      <c r="A17" s="14"/>
      <c r="B17" s="14"/>
      <c r="C17" s="14" t="s">
        <v>912</v>
      </c>
      <c r="D17" s="14"/>
      <c r="E17" s="14"/>
      <c r="F17" s="14"/>
      <c r="G17" s="14"/>
      <c r="H17" s="14"/>
      <c r="I17" s="14"/>
      <c r="J17" s="14"/>
      <c r="K17" s="14"/>
      <c r="L17" s="14"/>
    </row>
    <row r="18" spans="1:12">
      <c r="A18" s="14" t="s">
        <v>16</v>
      </c>
      <c r="B18" s="14" t="s">
        <v>916</v>
      </c>
      <c r="C18" s="14" t="s">
        <v>906</v>
      </c>
      <c r="D18" s="14"/>
      <c r="E18" s="14"/>
      <c r="F18" s="14"/>
      <c r="G18" s="14"/>
      <c r="H18" s="14"/>
      <c r="I18" s="14"/>
      <c r="J18" s="14"/>
      <c r="K18" s="14"/>
      <c r="L18" s="14"/>
    </row>
    <row r="19" spans="1:12">
      <c r="A19" s="14" t="s">
        <v>16</v>
      </c>
      <c r="B19" s="14" t="s">
        <v>913</v>
      </c>
      <c r="C19" s="14" t="s">
        <v>904</v>
      </c>
      <c r="D19" s="14"/>
      <c r="E19" s="14" t="s">
        <v>111</v>
      </c>
      <c r="F19" s="14"/>
      <c r="G19" s="14"/>
      <c r="H19" s="14"/>
      <c r="I19" s="14"/>
      <c r="J19" s="14"/>
      <c r="K19" s="14"/>
      <c r="L19" s="14"/>
    </row>
    <row r="20" spans="1:12">
      <c r="A20" s="14"/>
      <c r="B20" s="14"/>
      <c r="C20" s="14" t="s">
        <v>915</v>
      </c>
      <c r="D20" s="14"/>
      <c r="E20" s="14" t="s">
        <v>453</v>
      </c>
      <c r="F20" s="14"/>
      <c r="G20" s="14"/>
      <c r="H20" s="14"/>
      <c r="I20" s="14"/>
      <c r="J20" s="14"/>
      <c r="K20" s="14"/>
      <c r="L20" s="14"/>
    </row>
    <row r="21" spans="1:12">
      <c r="A21" s="14" t="s">
        <v>16</v>
      </c>
      <c r="B21" s="14" t="s">
        <v>914</v>
      </c>
      <c r="C21" s="14" t="s">
        <v>916</v>
      </c>
      <c r="D21" s="14"/>
      <c r="E21" s="14"/>
      <c r="F21" s="14"/>
      <c r="G21" s="14"/>
      <c r="H21" s="14"/>
      <c r="I21" s="14"/>
      <c r="J21" s="14"/>
      <c r="K21" s="14"/>
      <c r="L21" s="14"/>
    </row>
    <row r="22" spans="1:12">
      <c r="A22" s="14"/>
      <c r="B22" s="14"/>
      <c r="C22" s="14" t="s">
        <v>451</v>
      </c>
      <c r="D22" s="14"/>
      <c r="E22" s="14"/>
      <c r="F22" s="14"/>
      <c r="G22" s="14"/>
      <c r="H22" s="14"/>
      <c r="I22" s="14"/>
      <c r="J22" s="14"/>
      <c r="K22" s="14"/>
      <c r="L22" s="14"/>
    </row>
    <row r="23" spans="1:12">
      <c r="A23" s="14" t="s">
        <v>16</v>
      </c>
      <c r="B23" s="14" t="s">
        <v>410</v>
      </c>
      <c r="C23" s="14" t="s">
        <v>37</v>
      </c>
      <c r="D23" s="14"/>
      <c r="E23" s="14"/>
      <c r="F23" s="14"/>
      <c r="G23" s="14"/>
      <c r="H23" s="14"/>
      <c r="I23" s="14"/>
      <c r="J23" s="14"/>
      <c r="K23" s="14"/>
      <c r="L23" s="14"/>
    </row>
    <row r="24" spans="1:12">
      <c r="A24" s="14"/>
      <c r="B24" s="14"/>
      <c r="C24" s="14" t="s">
        <v>456</v>
      </c>
      <c r="D24" s="14"/>
      <c r="E24" s="14" t="s">
        <v>455</v>
      </c>
      <c r="F24" s="14"/>
      <c r="G24" s="14"/>
      <c r="H24" s="14"/>
      <c r="I24" s="14"/>
      <c r="J24" s="14"/>
      <c r="K24" s="14"/>
      <c r="L24" s="14"/>
    </row>
    <row r="25" spans="1:12">
      <c r="A25" s="14"/>
      <c r="B25" s="14"/>
      <c r="C25" s="14" t="s">
        <v>699</v>
      </c>
      <c r="D25" s="14"/>
      <c r="E25" s="14" t="s">
        <v>700</v>
      </c>
      <c r="F25" s="14"/>
      <c r="G25" s="14"/>
      <c r="H25" s="14"/>
      <c r="I25" s="14"/>
      <c r="J25" s="14"/>
      <c r="K25" s="14"/>
      <c r="L25" s="14"/>
    </row>
    <row r="26" spans="1:12">
      <c r="A26" s="14"/>
      <c r="B26" s="14"/>
      <c r="C26" s="14" t="s">
        <v>27</v>
      </c>
      <c r="D26" s="14"/>
      <c r="E26" s="14"/>
      <c r="F26" s="14"/>
      <c r="G26" s="14"/>
      <c r="H26" s="14"/>
      <c r="I26" s="14"/>
      <c r="J26" s="14"/>
      <c r="K26" s="14"/>
      <c r="L26" s="14"/>
    </row>
    <row r="27" spans="1:12">
      <c r="A27" s="14" t="s">
        <v>16</v>
      </c>
      <c r="B27" s="14" t="s">
        <v>451</v>
      </c>
      <c r="C27" s="14" t="s">
        <v>454</v>
      </c>
      <c r="D27" s="14"/>
      <c r="E27" s="14" t="s">
        <v>455</v>
      </c>
      <c r="F27" s="14"/>
      <c r="G27" s="14"/>
      <c r="H27" s="14"/>
      <c r="I27" s="14"/>
      <c r="J27" s="14"/>
      <c r="K27" s="14"/>
      <c r="L27" s="14"/>
    </row>
    <row r="28" spans="1:12">
      <c r="A28" s="14"/>
      <c r="B28" s="14"/>
      <c r="C28" s="14" t="s">
        <v>699</v>
      </c>
      <c r="D28" s="14"/>
      <c r="E28" s="14" t="s">
        <v>700</v>
      </c>
      <c r="F28" s="14"/>
      <c r="G28" s="14"/>
      <c r="H28" s="14"/>
      <c r="I28" s="14"/>
      <c r="J28" s="14"/>
      <c r="K28" s="14"/>
      <c r="L28" s="14"/>
    </row>
    <row r="29" spans="1:12">
      <c r="A29" s="14"/>
      <c r="B29" s="14"/>
      <c r="C29" s="14" t="s">
        <v>27</v>
      </c>
      <c r="D29" s="14"/>
      <c r="E29" s="14"/>
      <c r="F29" s="14"/>
      <c r="G29" s="14"/>
      <c r="H29" s="14"/>
      <c r="I29" s="14"/>
      <c r="J29" s="14"/>
      <c r="K29" s="14"/>
      <c r="L29" s="14"/>
    </row>
    <row r="30" spans="1:12">
      <c r="A30" s="14"/>
      <c r="B30" s="16"/>
      <c r="C30" s="14"/>
      <c r="D30" s="14"/>
      <c r="E30" s="14"/>
      <c r="F30" s="14"/>
      <c r="G30" s="14"/>
      <c r="H30" s="14"/>
      <c r="I30" s="14"/>
      <c r="J30" s="14"/>
      <c r="K30" s="14"/>
      <c r="L30" s="14"/>
    </row>
    <row r="31" spans="1:12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</row>
    <row r="32" spans="1:12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</row>
    <row r="33" spans="1:12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</row>
    <row r="34" spans="1:12">
      <c r="A34" s="14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</row>
    <row r="35" spans="1:12">
      <c r="A35" s="14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</row>
    <row r="36" spans="1:12">
      <c r="A36" s="14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</row>
    <row r="37" spans="1:12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</row>
    <row r="38" spans="1:12">
      <c r="A38" s="14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</row>
    <row r="39" spans="1:12">
      <c r="A39" s="14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</row>
    <row r="40" spans="1:12">
      <c r="A40" s="14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</row>
    <row r="41" spans="1:12">
      <c r="A41" s="14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</row>
    <row r="42" spans="1:12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</row>
    <row r="43" spans="1:12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</row>
    <row r="44" spans="1:12">
      <c r="A44" s="14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</row>
    <row r="45" spans="1:12">
      <c r="A45" s="14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</row>
    <row r="46" spans="1:12">
      <c r="A46" s="14"/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</row>
    <row r="47" spans="1:12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</row>
    <row r="48" spans="1:12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</row>
    <row r="49" spans="1:12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</row>
    <row r="50" spans="1:12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</row>
    <row r="51" spans="1:12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</row>
    <row r="52" spans="1:12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</row>
    <row r="53" spans="1:12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</row>
    <row r="54" spans="1:12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</row>
    <row r="55" spans="1:12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</row>
    <row r="56" spans="1:12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</row>
    <row r="57" spans="1:12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</row>
    <row r="58" spans="1:12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</row>
    <row r="59" spans="1:12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</row>
    <row r="60" spans="1:12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</row>
    <row r="61" spans="1:12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</row>
    <row r="62" spans="1:12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</row>
    <row r="63" spans="1:12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</row>
    <row r="64" spans="1:12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</row>
    <row r="65" spans="1:12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</row>
    <row r="66" spans="1:12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</row>
    <row r="67" spans="1:12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</row>
    <row r="68" spans="1:12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</row>
    <row r="69" spans="1:12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</row>
    <row r="70" spans="1:12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</row>
    <row r="71" spans="1:12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</row>
    <row r="72" spans="1:12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</row>
    <row r="73" spans="1:12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</row>
    <row r="74" spans="1:12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</row>
    <row r="75" spans="1:12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</row>
    <row r="76" spans="1:12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</row>
    <row r="77" spans="1:12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</row>
    <row r="78" spans="1:12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</row>
    <row r="79" spans="1:12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</row>
    <row r="80" spans="1:12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</row>
    <row r="81" spans="1:12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</row>
    <row r="82" spans="1:12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</row>
    <row r="83" spans="1:12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</row>
    <row r="84" spans="1:12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</row>
    <row r="85" spans="1:12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</row>
    <row r="86" spans="1:12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</row>
    <row r="87" spans="1:12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</row>
    <row r="88" spans="1:12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</row>
    <row r="89" spans="1:12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</row>
    <row r="90" spans="1:12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</row>
    <row r="91" spans="1:12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</row>
    <row r="92" spans="1:12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</row>
    <row r="93" spans="1:12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</row>
    <row r="94" spans="1:12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</row>
    <row r="95" spans="1:12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</row>
    <row r="96" spans="1:12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</row>
    <row r="97" spans="1:12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</row>
    <row r="98" spans="1:12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</row>
    <row r="99" spans="1:12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B064D-1BB4-4C0C-9616-0F7491394D5E}">
  <dimension ref="A1:Q906"/>
  <sheetViews>
    <sheetView tabSelected="1" topLeftCell="A385" workbookViewId="0">
      <selection activeCell="C419" sqref="C419"/>
    </sheetView>
  </sheetViews>
  <sheetFormatPr defaultRowHeight="15"/>
  <cols>
    <col min="2" max="2" width="25.42578125" customWidth="1"/>
    <col min="3" max="3" width="39.28515625" customWidth="1"/>
    <col min="4" max="4" width="84.5703125" customWidth="1"/>
    <col min="5" max="5" width="30.7109375" customWidth="1"/>
  </cols>
  <sheetData>
    <row r="1" spans="1:17">
      <c r="A1" s="14" t="s">
        <v>14</v>
      </c>
      <c r="B1" s="14" t="s">
        <v>18</v>
      </c>
      <c r="C1" s="14" t="s">
        <v>11</v>
      </c>
      <c r="D1" s="14" t="s">
        <v>10</v>
      </c>
      <c r="E1" s="14" t="s">
        <v>8</v>
      </c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>
      <c r="A2" s="14" t="s">
        <v>15</v>
      </c>
      <c r="B2" s="14" t="s">
        <v>415</v>
      </c>
      <c r="C2" s="14" t="s">
        <v>204</v>
      </c>
      <c r="D2" s="14" t="s">
        <v>253</v>
      </c>
      <c r="E2" s="14" t="s">
        <v>620</v>
      </c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</row>
    <row r="3" spans="1:17">
      <c r="A3" s="14"/>
      <c r="B3" s="14"/>
      <c r="C3" s="14" t="s">
        <v>205</v>
      </c>
      <c r="D3" s="14" t="s">
        <v>254</v>
      </c>
      <c r="E3" s="14" t="s">
        <v>621</v>
      </c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</row>
    <row r="4" spans="1:17">
      <c r="A4" s="14"/>
      <c r="B4" s="14"/>
      <c r="C4" s="14" t="s">
        <v>206</v>
      </c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5" spans="1:17">
      <c r="A5" s="14"/>
      <c r="B5" s="14"/>
      <c r="C5" s="14" t="s">
        <v>207</v>
      </c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</row>
    <row r="6" spans="1:17">
      <c r="A6" s="14"/>
      <c r="B6" s="14"/>
      <c r="C6" s="14" t="s">
        <v>208</v>
      </c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</row>
    <row r="7" spans="1:17">
      <c r="A7" s="14"/>
      <c r="B7" s="14"/>
      <c r="C7" s="14" t="s">
        <v>209</v>
      </c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</row>
    <row r="8" spans="1:17">
      <c r="A8" s="14"/>
      <c r="B8" s="14"/>
      <c r="C8" s="14" t="s">
        <v>210</v>
      </c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</row>
    <row r="9" spans="1:17">
      <c r="A9" s="14"/>
      <c r="B9" s="14"/>
      <c r="C9" s="14" t="s">
        <v>211</v>
      </c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</row>
    <row r="10" spans="1:17">
      <c r="A10" s="14"/>
      <c r="B10" s="14"/>
      <c r="C10" s="14" t="s">
        <v>212</v>
      </c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</row>
    <row r="11" spans="1:17">
      <c r="A11" s="14"/>
      <c r="B11" s="14"/>
      <c r="C11" s="14" t="s">
        <v>213</v>
      </c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</row>
    <row r="12" spans="1:17">
      <c r="A12" s="14"/>
      <c r="B12" s="14"/>
      <c r="C12" s="14" t="s">
        <v>214</v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</row>
    <row r="13" spans="1:17">
      <c r="A13" s="14"/>
      <c r="B13" s="14"/>
      <c r="C13" s="14" t="s">
        <v>215</v>
      </c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</row>
    <row r="14" spans="1:17">
      <c r="A14" s="14"/>
      <c r="B14" s="14"/>
      <c r="C14" s="14" t="s">
        <v>216</v>
      </c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</row>
    <row r="15" spans="1:17">
      <c r="A15" s="14"/>
      <c r="B15" s="14"/>
      <c r="C15" s="14" t="s">
        <v>217</v>
      </c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</row>
    <row r="16" spans="1:17">
      <c r="A16" s="14"/>
      <c r="B16" s="14"/>
      <c r="C16" s="14" t="s">
        <v>218</v>
      </c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</row>
    <row r="17" spans="1:17">
      <c r="A17" s="14"/>
      <c r="B17" s="14"/>
      <c r="C17" s="14" t="s">
        <v>219</v>
      </c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</row>
    <row r="18" spans="1:17">
      <c r="A18" s="14"/>
      <c r="B18" s="14"/>
      <c r="C18" s="14" t="s">
        <v>220</v>
      </c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</row>
    <row r="19" spans="1:17">
      <c r="A19" s="14"/>
      <c r="B19" s="14"/>
      <c r="C19" s="14" t="s">
        <v>221</v>
      </c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</row>
    <row r="20" spans="1:17">
      <c r="A20" s="14"/>
      <c r="B20" s="14"/>
      <c r="C20" s="14" t="s">
        <v>222</v>
      </c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</row>
    <row r="21" spans="1:17">
      <c r="A21" s="14"/>
      <c r="B21" s="14"/>
      <c r="C21" s="14" t="s">
        <v>223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</row>
    <row r="22" spans="1:17">
      <c r="A22" s="14"/>
      <c r="B22" s="14"/>
      <c r="C22" s="14" t="s">
        <v>224</v>
      </c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</row>
    <row r="23" spans="1:17">
      <c r="A23" s="14"/>
      <c r="B23" s="14"/>
      <c r="C23" s="14" t="s">
        <v>225</v>
      </c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</row>
    <row r="24" spans="1:17">
      <c r="A24" s="14"/>
      <c r="B24" s="14"/>
      <c r="C24" s="14" t="s">
        <v>226</v>
      </c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</row>
    <row r="25" spans="1:17">
      <c r="A25" s="14"/>
      <c r="B25" s="14"/>
      <c r="C25" s="14" t="s">
        <v>227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</row>
    <row r="26" spans="1:17">
      <c r="A26" s="14"/>
      <c r="B26" s="14"/>
      <c r="C26" s="14" t="s">
        <v>228</v>
      </c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</row>
    <row r="27" spans="1:17">
      <c r="A27" s="14"/>
      <c r="B27" s="14"/>
      <c r="C27" s="14" t="s">
        <v>550</v>
      </c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</row>
    <row r="28" spans="1:17">
      <c r="A28" s="14"/>
      <c r="B28" s="14"/>
      <c r="C28" s="14" t="s">
        <v>551</v>
      </c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</row>
    <row r="29" spans="1:17">
      <c r="A29" s="14"/>
      <c r="B29" s="14"/>
      <c r="C29" s="14" t="s">
        <v>552</v>
      </c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</row>
    <row r="30" spans="1:17">
      <c r="A30" s="14"/>
      <c r="B30" s="14"/>
      <c r="C30" s="14" t="s">
        <v>553</v>
      </c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</row>
    <row r="31" spans="1:17">
      <c r="A31" s="14"/>
      <c r="B31" s="14"/>
      <c r="C31" s="14" t="s">
        <v>229</v>
      </c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</row>
    <row r="32" spans="1:17">
      <c r="A32" s="14"/>
      <c r="B32" s="14"/>
      <c r="C32" s="14" t="s">
        <v>230</v>
      </c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</row>
    <row r="33" spans="1:17">
      <c r="A33" s="14"/>
      <c r="B33" s="14"/>
      <c r="C33" s="14" t="s">
        <v>231</v>
      </c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</row>
    <row r="34" spans="1:17">
      <c r="A34" s="14"/>
      <c r="B34" s="14"/>
      <c r="C34" s="14" t="s">
        <v>232</v>
      </c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</row>
    <row r="35" spans="1:17">
      <c r="A35" s="14"/>
      <c r="B35" s="14"/>
      <c r="C35" s="14" t="s">
        <v>563</v>
      </c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</row>
    <row r="36" spans="1:17">
      <c r="A36" s="14"/>
      <c r="B36" s="14"/>
      <c r="C36" s="14" t="s">
        <v>564</v>
      </c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</row>
    <row r="37" spans="1:17">
      <c r="A37" s="14"/>
      <c r="B37" s="14"/>
      <c r="C37" s="14" t="s">
        <v>565</v>
      </c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</row>
    <row r="38" spans="1:17">
      <c r="A38" s="14"/>
      <c r="B38" s="14"/>
      <c r="C38" s="14" t="s">
        <v>566</v>
      </c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</row>
    <row r="39" spans="1:17">
      <c r="A39" s="14"/>
      <c r="B39" s="14"/>
      <c r="C39" s="14" t="s">
        <v>567</v>
      </c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</row>
    <row r="40" spans="1:17">
      <c r="A40" s="14"/>
      <c r="B40" s="14"/>
      <c r="C40" s="14" t="s">
        <v>568</v>
      </c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</row>
    <row r="41" spans="1:17">
      <c r="A41" s="14"/>
      <c r="B41" s="14"/>
      <c r="C41" s="14" t="s">
        <v>569</v>
      </c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</row>
    <row r="42" spans="1:17">
      <c r="A42" s="14"/>
      <c r="B42" s="14"/>
      <c r="C42" s="14" t="s">
        <v>570</v>
      </c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</row>
    <row r="43" spans="1:17">
      <c r="A43" s="14"/>
      <c r="B43" s="14"/>
      <c r="C43" s="14" t="s">
        <v>571</v>
      </c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</row>
    <row r="44" spans="1:17">
      <c r="A44" s="14"/>
      <c r="B44" s="14"/>
      <c r="C44" s="14" t="s">
        <v>572</v>
      </c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</row>
    <row r="45" spans="1:17">
      <c r="A45" s="14"/>
      <c r="B45" s="14"/>
      <c r="C45" s="14" t="s">
        <v>573</v>
      </c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</row>
    <row r="46" spans="1:17">
      <c r="A46" s="14"/>
      <c r="B46" s="14"/>
      <c r="C46" s="14" t="s">
        <v>574</v>
      </c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</row>
    <row r="47" spans="1:17">
      <c r="A47" s="14"/>
      <c r="B47" s="14"/>
      <c r="C47" s="14" t="s">
        <v>575</v>
      </c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</row>
    <row r="48" spans="1:17">
      <c r="A48" s="14"/>
      <c r="B48" s="14"/>
      <c r="C48" s="14" t="s">
        <v>576</v>
      </c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</row>
    <row r="49" spans="1:17">
      <c r="A49" s="14"/>
      <c r="B49" s="14"/>
      <c r="C49" s="14" t="s">
        <v>577</v>
      </c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</row>
    <row r="50" spans="1:17">
      <c r="A50" s="14"/>
      <c r="B50" s="14"/>
      <c r="C50" s="14" t="s">
        <v>578</v>
      </c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</row>
    <row r="51" spans="1:17">
      <c r="A51" s="14"/>
      <c r="B51" s="14"/>
      <c r="C51" s="14" t="s">
        <v>579</v>
      </c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</row>
    <row r="52" spans="1:17">
      <c r="A52" s="14"/>
      <c r="B52" s="14"/>
      <c r="C52" s="14" t="s">
        <v>580</v>
      </c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</row>
    <row r="53" spans="1:17">
      <c r="A53" s="14"/>
      <c r="B53" s="14"/>
      <c r="C53" s="14" t="s">
        <v>581</v>
      </c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</row>
    <row r="54" spans="1:17">
      <c r="A54" s="14"/>
      <c r="B54" s="14"/>
      <c r="C54" s="14" t="s">
        <v>582</v>
      </c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</row>
    <row r="55" spans="1:17">
      <c r="A55" s="14"/>
      <c r="B55" s="14"/>
      <c r="C55" s="14" t="s">
        <v>583</v>
      </c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</row>
    <row r="56" spans="1:17">
      <c r="A56" s="14"/>
      <c r="B56" s="14"/>
      <c r="C56" s="14" t="s">
        <v>584</v>
      </c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</row>
    <row r="57" spans="1:17">
      <c r="A57" s="14"/>
      <c r="B57" s="14"/>
      <c r="C57" s="14" t="s">
        <v>585</v>
      </c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</row>
    <row r="58" spans="1:17">
      <c r="A58" s="14"/>
      <c r="B58" s="14"/>
      <c r="C58" s="14" t="s">
        <v>586</v>
      </c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</row>
    <row r="59" spans="1:17">
      <c r="A59" s="14"/>
      <c r="B59" s="14"/>
      <c r="C59" s="14" t="s">
        <v>233</v>
      </c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</row>
    <row r="60" spans="1:17">
      <c r="A60" s="14"/>
      <c r="B60" s="14"/>
      <c r="C60" s="14" t="s">
        <v>234</v>
      </c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</row>
    <row r="61" spans="1:17">
      <c r="A61" s="14"/>
      <c r="B61" s="14"/>
      <c r="C61" s="14" t="s">
        <v>235</v>
      </c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</row>
    <row r="62" spans="1:17">
      <c r="A62" s="14"/>
      <c r="B62" s="14"/>
      <c r="C62" s="14" t="s">
        <v>236</v>
      </c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</row>
    <row r="63" spans="1:17">
      <c r="A63" s="14"/>
      <c r="B63" s="14"/>
      <c r="C63" s="14" t="s">
        <v>237</v>
      </c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</row>
    <row r="64" spans="1:17">
      <c r="A64" s="14"/>
      <c r="B64" s="14"/>
      <c r="C64" s="14" t="s">
        <v>238</v>
      </c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</row>
    <row r="65" spans="1:17">
      <c r="A65" s="14"/>
      <c r="B65" s="14"/>
      <c r="C65" s="14" t="s">
        <v>239</v>
      </c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</row>
    <row r="66" spans="1:17">
      <c r="A66" s="14"/>
      <c r="B66" s="14"/>
      <c r="C66" s="14" t="s">
        <v>240</v>
      </c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</row>
    <row r="67" spans="1:17">
      <c r="A67" s="14"/>
      <c r="B67" s="14"/>
      <c r="C67" s="14" t="s">
        <v>241</v>
      </c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</row>
    <row r="68" spans="1:17">
      <c r="A68" s="14"/>
      <c r="B68" s="14"/>
      <c r="C68" s="14" t="s">
        <v>242</v>
      </c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</row>
    <row r="69" spans="1:17">
      <c r="A69" s="14"/>
      <c r="B69" s="14"/>
      <c r="C69" s="14" t="s">
        <v>243</v>
      </c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</row>
    <row r="70" spans="1:17">
      <c r="A70" s="14"/>
      <c r="B70" s="14"/>
      <c r="C70" s="14" t="s">
        <v>244</v>
      </c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</row>
    <row r="71" spans="1:17">
      <c r="A71" s="14"/>
      <c r="B71" s="14"/>
      <c r="C71" s="14" t="s">
        <v>245</v>
      </c>
      <c r="D71" s="14" t="s">
        <v>269</v>
      </c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</row>
    <row r="72" spans="1:17">
      <c r="A72" s="14"/>
      <c r="B72" s="14"/>
      <c r="C72" s="14" t="s">
        <v>246</v>
      </c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</row>
    <row r="73" spans="1:17">
      <c r="A73" s="14"/>
      <c r="B73" s="14"/>
      <c r="C73" s="14" t="s">
        <v>247</v>
      </c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</row>
    <row r="74" spans="1:17">
      <c r="A74" s="14"/>
      <c r="B74" s="14"/>
      <c r="C74" s="14" t="s">
        <v>248</v>
      </c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</row>
    <row r="75" spans="1:17">
      <c r="A75" s="14"/>
      <c r="B75" s="14"/>
      <c r="C75" s="14" t="s">
        <v>249</v>
      </c>
      <c r="D75" s="14" t="s">
        <v>271</v>
      </c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</row>
    <row r="76" spans="1:17">
      <c r="A76" s="14"/>
      <c r="B76" s="14"/>
      <c r="C76" s="14" t="s">
        <v>250</v>
      </c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</row>
    <row r="77" spans="1:17">
      <c r="A77" s="14"/>
      <c r="B77" s="14"/>
      <c r="C77" s="14" t="s">
        <v>251</v>
      </c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</row>
    <row r="78" spans="1:17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</row>
    <row r="79" spans="1:17">
      <c r="A79" s="14" t="s">
        <v>15</v>
      </c>
      <c r="B79" s="14" t="s">
        <v>419</v>
      </c>
      <c r="C79" s="14" t="s">
        <v>204</v>
      </c>
      <c r="D79" s="14">
        <v>3</v>
      </c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</row>
    <row r="80" spans="1:17">
      <c r="A80" s="14"/>
      <c r="B80" s="14"/>
      <c r="C80" s="14" t="s">
        <v>205</v>
      </c>
      <c r="D80" s="14">
        <v>-3</v>
      </c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</row>
    <row r="81" spans="1:17">
      <c r="A81" s="14"/>
      <c r="B81" s="14"/>
      <c r="C81" s="14" t="str">
        <f>C4</f>
        <v>grid_country_WTD.png</v>
      </c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</row>
    <row r="82" spans="1:17">
      <c r="A82" s="14"/>
      <c r="B82" s="14"/>
      <c r="C82" s="14" t="str">
        <f t="shared" ref="C82:C145" si="0">C5</f>
        <v>grid_country_MTD.png</v>
      </c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</row>
    <row r="83" spans="1:17">
      <c r="A83" s="14"/>
      <c r="B83" s="14"/>
      <c r="C83" s="14" t="str">
        <f t="shared" si="0"/>
        <v>grid_country_YTD.png</v>
      </c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</row>
    <row r="84" spans="1:17">
      <c r="A84" s="14"/>
      <c r="B84" s="14"/>
      <c r="C84" s="14" t="str">
        <f t="shared" si="0"/>
        <v>grid_Day_WHB.png</v>
      </c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</row>
    <row r="85" spans="1:17">
      <c r="A85" s="14"/>
      <c r="B85" s="14"/>
      <c r="C85" s="14" t="str">
        <f t="shared" si="0"/>
        <v>grid_WTD_WHB.png</v>
      </c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</row>
    <row r="86" spans="1:17">
      <c r="A86" s="14"/>
      <c r="B86" s="14"/>
      <c r="C86" s="14" t="str">
        <f t="shared" si="0"/>
        <v>grid_MTD_WHB.png</v>
      </c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</row>
    <row r="87" spans="1:17">
      <c r="A87" s="14"/>
      <c r="B87" s="14"/>
      <c r="C87" s="14" t="str">
        <f t="shared" si="0"/>
        <v>grid_YTD_WHB.png</v>
      </c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</row>
    <row r="88" spans="1:17">
      <c r="A88" s="14"/>
      <c r="B88" s="14"/>
      <c r="C88" s="14" t="str">
        <f t="shared" si="0"/>
        <v>grid_Day_WSLG.png</v>
      </c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</row>
    <row r="89" spans="1:17">
      <c r="A89" s="14"/>
      <c r="B89" s="14"/>
      <c r="C89" s="14" t="str">
        <f t="shared" si="0"/>
        <v>grid_WTD_WSLG.png</v>
      </c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</row>
    <row r="90" spans="1:17">
      <c r="A90" s="14"/>
      <c r="B90" s="14"/>
      <c r="C90" s="14" t="str">
        <f t="shared" si="0"/>
        <v>grid_MTD_WSLG.png</v>
      </c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</row>
    <row r="91" spans="1:17">
      <c r="A91" s="14"/>
      <c r="B91" s="14"/>
      <c r="C91" s="14" t="str">
        <f t="shared" si="0"/>
        <v>grid_YTD_WSLG.png</v>
      </c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</row>
    <row r="92" spans="1:17">
      <c r="A92" s="14"/>
      <c r="B92" s="14"/>
      <c r="C92" s="14" t="str">
        <f t="shared" si="0"/>
        <v>grid_Day_WRTW.png</v>
      </c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</row>
    <row r="93" spans="1:17">
      <c r="A93" s="14"/>
      <c r="B93" s="14"/>
      <c r="C93" s="14" t="str">
        <f t="shared" si="0"/>
        <v>grid_WTD_WRTW.png</v>
      </c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</row>
    <row r="94" spans="1:17">
      <c r="A94" s="14"/>
      <c r="B94" s="14"/>
      <c r="C94" s="14" t="str">
        <f t="shared" si="0"/>
        <v>grid_MTD_WRTW.png</v>
      </c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</row>
    <row r="95" spans="1:17">
      <c r="A95" s="14"/>
      <c r="B95" s="14"/>
      <c r="C95" s="14" t="str">
        <f t="shared" si="0"/>
        <v>grid_YTD_WRTW.png</v>
      </c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</row>
    <row r="96" spans="1:17">
      <c r="A96" s="14"/>
      <c r="B96" s="14"/>
      <c r="C96" s="14" t="str">
        <f t="shared" si="0"/>
        <v>grid_Day_WSHOES.png</v>
      </c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</row>
    <row r="97" spans="1:17">
      <c r="A97" s="14"/>
      <c r="B97" s="14"/>
      <c r="C97" s="14" t="str">
        <f t="shared" si="0"/>
        <v>grid_WTD_WSHOES.png</v>
      </c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</row>
    <row r="98" spans="1:17">
      <c r="A98" s="14"/>
      <c r="B98" s="14"/>
      <c r="C98" s="14" t="str">
        <f t="shared" si="0"/>
        <v>grid_MTD_WSHOES.png</v>
      </c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</row>
    <row r="99" spans="1:17">
      <c r="A99" s="14"/>
      <c r="B99" s="14"/>
      <c r="C99" s="14" t="str">
        <f t="shared" si="0"/>
        <v>grid_YTD_WSHOES.png</v>
      </c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</row>
    <row r="100" spans="1:17">
      <c r="A100" s="14"/>
      <c r="B100" s="14"/>
      <c r="C100" s="14" t="str">
        <f t="shared" si="0"/>
        <v>grid_Day_WACC.png</v>
      </c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</row>
    <row r="101" spans="1:17">
      <c r="A101" s="14"/>
      <c r="B101" s="14"/>
      <c r="C101" s="14" t="str">
        <f t="shared" si="0"/>
        <v>grid_WTD_WACC.png</v>
      </c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</row>
    <row r="102" spans="1:17">
      <c r="A102" s="14"/>
      <c r="B102" s="14"/>
      <c r="C102" s="14" t="str">
        <f t="shared" si="0"/>
        <v>grid_MTD_WACC.png</v>
      </c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</row>
    <row r="103" spans="1:17">
      <c r="A103" s="14"/>
      <c r="B103" s="14"/>
      <c r="C103" s="14" t="str">
        <f t="shared" si="0"/>
        <v>grid_YTD_WACC.png</v>
      </c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</row>
    <row r="104" spans="1:17">
      <c r="A104" s="14"/>
      <c r="B104" s="14"/>
      <c r="C104" s="14" t="str">
        <f t="shared" si="0"/>
        <v>grid_Day_WnJ.png</v>
      </c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</row>
    <row r="105" spans="1:17">
      <c r="A105" s="14"/>
      <c r="B105" s="14"/>
      <c r="C105" s="14" t="str">
        <f t="shared" si="0"/>
        <v>grid_WTD_WnJ.png</v>
      </c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</row>
    <row r="106" spans="1:17">
      <c r="A106" s="14"/>
      <c r="B106" s="14"/>
      <c r="C106" s="14" t="str">
        <f t="shared" si="0"/>
        <v>grid_MTD_WnJ.png</v>
      </c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</row>
    <row r="107" spans="1:17">
      <c r="A107" s="14"/>
      <c r="B107" s="14"/>
      <c r="C107" s="14" t="str">
        <f t="shared" si="0"/>
        <v>grid_YTD_WnJ.png</v>
      </c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</row>
    <row r="108" spans="1:17">
      <c r="A108" s="14"/>
      <c r="B108" s="14"/>
      <c r="C108" s="14" t="str">
        <f t="shared" si="0"/>
        <v>grid_Day_MENS.png</v>
      </c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</row>
    <row r="109" spans="1:17">
      <c r="A109" s="14"/>
      <c r="B109" s="14"/>
      <c r="C109" s="14" t="str">
        <f t="shared" si="0"/>
        <v>grid_WTD_MENS.png</v>
      </c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</row>
    <row r="110" spans="1:17">
      <c r="A110" s="14"/>
      <c r="B110" s="14"/>
      <c r="C110" s="14" t="str">
        <f t="shared" si="0"/>
        <v>grid_MTD_MENS.png</v>
      </c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</row>
    <row r="111" spans="1:17">
      <c r="A111" s="14"/>
      <c r="B111" s="14"/>
      <c r="C111" s="14" t="str">
        <f t="shared" si="0"/>
        <v>grid_YTD_MENS.png</v>
      </c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</row>
    <row r="112" spans="1:17">
      <c r="A112" s="14"/>
      <c r="B112" s="14"/>
      <c r="C112" s="14" t="str">
        <f t="shared" si="0"/>
        <v>grid_Day_MBAGS.png</v>
      </c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</row>
    <row r="113" spans="1:17">
      <c r="A113" s="14"/>
      <c r="B113" s="14"/>
      <c r="C113" s="14" t="str">
        <f t="shared" si="0"/>
        <v>grid_WTD_MBAGS.png</v>
      </c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</row>
    <row r="114" spans="1:17">
      <c r="A114" s="14"/>
      <c r="B114" s="14"/>
      <c r="C114" s="14" t="str">
        <f t="shared" si="0"/>
        <v>grid_MTD_MBAGS.png</v>
      </c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</row>
    <row r="115" spans="1:17">
      <c r="A115" s="14"/>
      <c r="B115" s="14"/>
      <c r="C115" s="14" t="str">
        <f t="shared" si="0"/>
        <v>grid_YTD_MBAGS.png</v>
      </c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</row>
    <row r="116" spans="1:17">
      <c r="A116" s="14"/>
      <c r="B116" s="14"/>
      <c r="C116" s="14" t="str">
        <f t="shared" si="0"/>
        <v>grid_Day_MSLG.png</v>
      </c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</row>
    <row r="117" spans="1:17">
      <c r="A117" s="14"/>
      <c r="B117" s="14"/>
      <c r="C117" s="14" t="str">
        <f t="shared" si="0"/>
        <v>grid_WTD_MSLG.png</v>
      </c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</row>
    <row r="118" spans="1:17">
      <c r="A118" s="14"/>
      <c r="B118" s="14"/>
      <c r="C118" s="14" t="str">
        <f t="shared" si="0"/>
        <v>grid_MTD_MSLG.png</v>
      </c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</row>
    <row r="119" spans="1:17">
      <c r="A119" s="14"/>
      <c r="B119" s="14"/>
      <c r="C119" s="14" t="str">
        <f t="shared" si="0"/>
        <v>grid_YTD_MSLG.png</v>
      </c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</row>
    <row r="120" spans="1:17">
      <c r="A120" s="14"/>
      <c r="B120" s="14"/>
      <c r="C120" s="14" t="str">
        <f t="shared" si="0"/>
        <v>grid_Day_MRTW.png</v>
      </c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</row>
    <row r="121" spans="1:17">
      <c r="A121" s="14"/>
      <c r="B121" s="14"/>
      <c r="C121" s="14" t="str">
        <f t="shared" si="0"/>
        <v>grid_WTD_MRTW.png</v>
      </c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</row>
    <row r="122" spans="1:17">
      <c r="A122" s="14"/>
      <c r="B122" s="14"/>
      <c r="C122" s="14" t="str">
        <f t="shared" si="0"/>
        <v>grid_MTD_MRTW.png</v>
      </c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</row>
    <row r="123" spans="1:17">
      <c r="A123" s="14"/>
      <c r="B123" s="14"/>
      <c r="C123" s="14" t="str">
        <f t="shared" si="0"/>
        <v>grid_YTD_MRTW.png</v>
      </c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</row>
    <row r="124" spans="1:17">
      <c r="A124" s="14"/>
      <c r="B124" s="14"/>
      <c r="C124" s="14" t="str">
        <f t="shared" si="0"/>
        <v>grid_Day_MSHOES.png</v>
      </c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</row>
    <row r="125" spans="1:17">
      <c r="A125" s="14"/>
      <c r="B125" s="14"/>
      <c r="C125" s="14" t="str">
        <f t="shared" si="0"/>
        <v>grid_WTD_MSHOES.png</v>
      </c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</row>
    <row r="126" spans="1:17">
      <c r="A126" s="14"/>
      <c r="B126" s="14"/>
      <c r="C126" s="14" t="str">
        <f t="shared" si="0"/>
        <v>grid_MTD_MSHOES.png</v>
      </c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</row>
    <row r="127" spans="1:17">
      <c r="A127" s="14"/>
      <c r="B127" s="14"/>
      <c r="C127" s="14" t="str">
        <f t="shared" si="0"/>
        <v>grid_YTD_MSHOES.png</v>
      </c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</row>
    <row r="128" spans="1:17">
      <c r="A128" s="14"/>
      <c r="B128" s="14"/>
      <c r="C128" s="14" t="str">
        <f t="shared" si="0"/>
        <v>grid_Day_MACC.png</v>
      </c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</row>
    <row r="129" spans="1:17">
      <c r="A129" s="14"/>
      <c r="B129" s="14"/>
      <c r="C129" s="14" t="str">
        <f t="shared" si="0"/>
        <v>grid_WTD_MACC.png</v>
      </c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</row>
    <row r="130" spans="1:17">
      <c r="A130" s="14"/>
      <c r="B130" s="14"/>
      <c r="C130" s="14" t="str">
        <f t="shared" si="0"/>
        <v>grid_MTD_MACC.png</v>
      </c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</row>
    <row r="131" spans="1:17">
      <c r="A131" s="14"/>
      <c r="B131" s="14"/>
      <c r="C131" s="14" t="str">
        <f t="shared" si="0"/>
        <v>grid_YTD_MACC.png</v>
      </c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</row>
    <row r="132" spans="1:17">
      <c r="A132" s="14"/>
      <c r="B132" s="14"/>
      <c r="C132" s="14" t="str">
        <f t="shared" si="0"/>
        <v>grid_Day_MSPECIAL.png</v>
      </c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</row>
    <row r="133" spans="1:17">
      <c r="A133" s="14"/>
      <c r="B133" s="14"/>
      <c r="C133" s="14" t="str">
        <f t="shared" si="0"/>
        <v>grid_WTD_MSPECIAL.png</v>
      </c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</row>
    <row r="134" spans="1:17">
      <c r="A134" s="14"/>
      <c r="B134" s="14"/>
      <c r="C134" s="14" t="str">
        <f t="shared" si="0"/>
        <v>grid_MTD_MSPECIAL.png</v>
      </c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</row>
    <row r="135" spans="1:17">
      <c r="A135" s="14"/>
      <c r="B135" s="14"/>
      <c r="C135" s="14" t="str">
        <f t="shared" si="0"/>
        <v>grid_YTD_MSPECIAL.png</v>
      </c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</row>
    <row r="136" spans="1:17">
      <c r="A136" s="14"/>
      <c r="B136" s="14"/>
      <c r="C136" s="14" t="str">
        <f t="shared" si="0"/>
        <v>grid_Day_BABY.png</v>
      </c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</row>
    <row r="137" spans="1:17">
      <c r="A137" s="14"/>
      <c r="B137" s="14"/>
      <c r="C137" s="14" t="str">
        <f t="shared" si="0"/>
        <v>grid_WTD_BABY.png</v>
      </c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</row>
    <row r="138" spans="1:17">
      <c r="A138" s="14"/>
      <c r="B138" s="14"/>
      <c r="C138" s="14" t="str">
        <f t="shared" si="0"/>
        <v>grid_MTD_BABY.png</v>
      </c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</row>
    <row r="139" spans="1:17">
      <c r="A139" s="14"/>
      <c r="B139" s="14"/>
      <c r="C139" s="14" t="str">
        <f t="shared" si="0"/>
        <v>grid_YTD_BABY.png</v>
      </c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</row>
    <row r="140" spans="1:17">
      <c r="A140" s="14"/>
      <c r="B140" s="14"/>
      <c r="C140" s="14" t="str">
        <f t="shared" si="0"/>
        <v>grid_Day_STORE.png</v>
      </c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</row>
    <row r="141" spans="1:17">
      <c r="A141" s="14"/>
      <c r="B141" s="14"/>
      <c r="C141" s="14" t="str">
        <f t="shared" si="0"/>
        <v>grid_WTD_STORE.png</v>
      </c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</row>
    <row r="142" spans="1:17">
      <c r="A142" s="14"/>
      <c r="B142" s="14"/>
      <c r="C142" s="14" t="str">
        <f t="shared" si="0"/>
        <v>grid_MTD_STORE.png</v>
      </c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</row>
    <row r="143" spans="1:17">
      <c r="A143" s="14"/>
      <c r="B143" s="14"/>
      <c r="C143" s="14" t="str">
        <f t="shared" si="0"/>
        <v>grid_YTD_STORE.png</v>
      </c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</row>
    <row r="144" spans="1:17">
      <c r="A144" s="14"/>
      <c r="B144" s="14"/>
      <c r="C144" s="14" t="str">
        <f t="shared" si="0"/>
        <v>grid_Day_BusinessUnit.png</v>
      </c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</row>
    <row r="145" spans="1:17">
      <c r="A145" s="14"/>
      <c r="B145" s="14"/>
      <c r="C145" s="14" t="str">
        <f t="shared" si="0"/>
        <v>grid_WTD_BusinessUnit.png</v>
      </c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</row>
    <row r="146" spans="1:17">
      <c r="A146" s="14"/>
      <c r="B146" s="14"/>
      <c r="C146" s="14" t="str">
        <f t="shared" ref="C146:C154" si="1">C69</f>
        <v>grid_MTD_BusinessUnit.png</v>
      </c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</row>
    <row r="147" spans="1:17">
      <c r="A147" s="14"/>
      <c r="B147" s="14"/>
      <c r="C147" s="14" t="str">
        <f t="shared" si="1"/>
        <v>grid_YTD_BusinessUnit.png</v>
      </c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</row>
    <row r="148" spans="1:17">
      <c r="A148" s="14"/>
      <c r="B148" s="14"/>
      <c r="C148" s="14" t="str">
        <f t="shared" si="1"/>
        <v>grid_Day_TopProducts.png</v>
      </c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</row>
    <row r="149" spans="1:17">
      <c r="A149" s="14"/>
      <c r="B149" s="14"/>
      <c r="C149" s="14" t="str">
        <f t="shared" si="1"/>
        <v>grid_WTD_TopProducts.png</v>
      </c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</row>
    <row r="150" spans="1:17">
      <c r="A150" s="14"/>
      <c r="B150" s="14"/>
      <c r="C150" s="14" t="str">
        <f t="shared" si="1"/>
        <v>grid_MTD_TopProducts.png</v>
      </c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</row>
    <row r="151" spans="1:17">
      <c r="A151" s="14"/>
      <c r="B151" s="14"/>
      <c r="C151" s="14" t="str">
        <f t="shared" si="1"/>
        <v>grid_YTD_TopProducts.png</v>
      </c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</row>
    <row r="152" spans="1:17">
      <c r="A152" s="14"/>
      <c r="B152" s="14"/>
      <c r="C152" s="14" t="str">
        <f t="shared" si="1"/>
        <v>histogram_YTD.png</v>
      </c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</row>
    <row r="153" spans="1:17">
      <c r="A153" s="14"/>
      <c r="B153" s="14"/>
      <c r="C153" s="14" t="str">
        <f t="shared" si="1"/>
        <v>histogram_Nationality_YTD.png</v>
      </c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</row>
    <row r="154" spans="1:17">
      <c r="A154" s="14"/>
      <c r="B154" s="14"/>
      <c r="C154" s="14" t="str">
        <f t="shared" si="1"/>
        <v>histogram_BU_YTD.png</v>
      </c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</row>
    <row r="155" spans="1:17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</row>
    <row r="156" spans="1:17">
      <c r="A156" s="14" t="s">
        <v>15</v>
      </c>
      <c r="B156" s="14" t="s">
        <v>420</v>
      </c>
      <c r="C156" s="14" t="s">
        <v>423</v>
      </c>
      <c r="D156" s="1" t="s">
        <v>662</v>
      </c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</row>
    <row r="157" spans="1:17">
      <c r="A157" s="14"/>
      <c r="B157" s="14"/>
      <c r="C157" s="14" t="str">
        <f>LEFT(C80,LEN(C80)-4)</f>
        <v>grid_country_Day</v>
      </c>
      <c r="D157" s="1" t="s">
        <v>661</v>
      </c>
      <c r="E157" s="14"/>
      <c r="F157" s="14"/>
      <c r="G157" s="14" t="s">
        <v>549</v>
      </c>
      <c r="H157" s="1"/>
      <c r="I157" s="14"/>
      <c r="J157" s="14"/>
      <c r="K157" s="14"/>
      <c r="L157" s="14"/>
      <c r="M157" s="14"/>
      <c r="N157" s="14"/>
      <c r="O157" s="14"/>
      <c r="P157" s="14"/>
      <c r="Q157" s="14"/>
    </row>
    <row r="158" spans="1:17">
      <c r="A158" s="14"/>
      <c r="B158" s="14"/>
      <c r="C158" s="14" t="str">
        <f t="shared" ref="C158:C221" si="2">LEFT(C81,LEN(C81)-4)</f>
        <v>grid_country_WTD</v>
      </c>
      <c r="D158" s="14" t="s">
        <v>258</v>
      </c>
      <c r="E158" s="14"/>
      <c r="F158" s="14"/>
      <c r="G158" s="14" t="s">
        <v>554</v>
      </c>
      <c r="H158" s="14"/>
      <c r="I158" s="14"/>
      <c r="J158" s="14"/>
      <c r="K158" s="14"/>
      <c r="L158" s="14"/>
      <c r="M158" s="14"/>
      <c r="N158" s="14"/>
      <c r="O158" s="14"/>
      <c r="P158" s="14"/>
      <c r="Q158" s="14"/>
    </row>
    <row r="159" spans="1:17">
      <c r="A159" s="14"/>
      <c r="B159" s="14"/>
      <c r="C159" s="14" t="str">
        <f t="shared" si="2"/>
        <v>grid_country_MTD</v>
      </c>
      <c r="D159" s="14" t="s">
        <v>259</v>
      </c>
      <c r="E159" s="14"/>
      <c r="F159" s="14"/>
      <c r="G159" s="14" t="s">
        <v>555</v>
      </c>
      <c r="H159" s="14"/>
      <c r="I159" s="14"/>
      <c r="J159" s="14"/>
      <c r="K159" s="14"/>
      <c r="L159" s="14"/>
      <c r="M159" s="14"/>
      <c r="N159" s="14"/>
      <c r="O159" s="14"/>
      <c r="P159" s="14"/>
      <c r="Q159" s="14"/>
    </row>
    <row r="160" spans="1:17">
      <c r="A160" s="14"/>
      <c r="B160" s="14"/>
      <c r="C160" s="14" t="str">
        <f t="shared" si="2"/>
        <v>grid_country_YTD</v>
      </c>
      <c r="D160" s="14" t="s">
        <v>260</v>
      </c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</row>
    <row r="161" spans="1:17">
      <c r="A161" s="14"/>
      <c r="B161" s="14"/>
      <c r="C161" s="14" t="str">
        <f t="shared" si="2"/>
        <v>grid_Day_WHB</v>
      </c>
      <c r="D161" s="14" t="s">
        <v>558</v>
      </c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</row>
    <row r="162" spans="1:17">
      <c r="A162" s="14"/>
      <c r="B162" s="14"/>
      <c r="C162" s="14" t="str">
        <f t="shared" si="2"/>
        <v>grid_WTD_WHB</v>
      </c>
      <c r="D162" s="14" t="s">
        <v>258</v>
      </c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</row>
    <row r="163" spans="1:17">
      <c r="A163" s="14"/>
      <c r="B163" s="14"/>
      <c r="C163" s="14" t="str">
        <f t="shared" si="2"/>
        <v>grid_MTD_WHB</v>
      </c>
      <c r="D163" s="14" t="s">
        <v>259</v>
      </c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</row>
    <row r="164" spans="1:17">
      <c r="A164" s="14"/>
      <c r="B164" s="14"/>
      <c r="C164" s="14" t="str">
        <f t="shared" si="2"/>
        <v>grid_YTD_WHB</v>
      </c>
      <c r="D164" s="14" t="s">
        <v>260</v>
      </c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</row>
    <row r="165" spans="1:17">
      <c r="A165" s="14"/>
      <c r="B165" s="14"/>
      <c r="C165" s="14" t="str">
        <f t="shared" si="2"/>
        <v>grid_Day_WSLG</v>
      </c>
      <c r="D165" s="14" t="s">
        <v>611</v>
      </c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</row>
    <row r="166" spans="1:17">
      <c r="A166" s="14"/>
      <c r="B166" s="14"/>
      <c r="C166" s="14" t="str">
        <f t="shared" si="2"/>
        <v>grid_WTD_WSLG</v>
      </c>
      <c r="D166" s="14" t="s">
        <v>258</v>
      </c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</row>
    <row r="167" spans="1:17">
      <c r="A167" s="14"/>
      <c r="B167" s="14"/>
      <c r="C167" s="14" t="str">
        <f t="shared" si="2"/>
        <v>grid_MTD_WSLG</v>
      </c>
      <c r="D167" s="14" t="s">
        <v>259</v>
      </c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</row>
    <row r="168" spans="1:17">
      <c r="A168" s="14"/>
      <c r="B168" s="14"/>
      <c r="C168" s="14" t="str">
        <f t="shared" si="2"/>
        <v>grid_YTD_WSLG</v>
      </c>
      <c r="D168" s="14" t="s">
        <v>260</v>
      </c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</row>
    <row r="169" spans="1:17">
      <c r="A169" s="14"/>
      <c r="B169" s="14"/>
      <c r="C169" s="14" t="str">
        <f t="shared" si="2"/>
        <v>grid_Day_WRTW</v>
      </c>
      <c r="D169" s="14" t="s">
        <v>689</v>
      </c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</row>
    <row r="170" spans="1:17">
      <c r="A170" s="14"/>
      <c r="B170" s="14"/>
      <c r="C170" s="14" t="str">
        <f t="shared" si="2"/>
        <v>grid_WTD_WRTW</v>
      </c>
      <c r="D170" s="14" t="s">
        <v>258</v>
      </c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</row>
    <row r="171" spans="1:17">
      <c r="A171" s="14"/>
      <c r="B171" s="14"/>
      <c r="C171" s="14" t="str">
        <f t="shared" si="2"/>
        <v>grid_MTD_WRTW</v>
      </c>
      <c r="D171" s="14" t="s">
        <v>259</v>
      </c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</row>
    <row r="172" spans="1:17">
      <c r="A172" s="14"/>
      <c r="B172" s="14"/>
      <c r="C172" s="14" t="str">
        <f t="shared" si="2"/>
        <v>grid_YTD_WRTW</v>
      </c>
      <c r="D172" s="14" t="s">
        <v>260</v>
      </c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</row>
    <row r="173" spans="1:17">
      <c r="A173" s="14"/>
      <c r="B173" s="14"/>
      <c r="C173" s="14" t="str">
        <f t="shared" si="2"/>
        <v>grid_Day_WSHOES</v>
      </c>
      <c r="D173" s="14" t="s">
        <v>559</v>
      </c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</row>
    <row r="174" spans="1:17">
      <c r="A174" s="14"/>
      <c r="B174" s="14"/>
      <c r="C174" s="14" t="str">
        <f t="shared" si="2"/>
        <v>grid_WTD_WSHOES</v>
      </c>
      <c r="D174" s="14" t="s">
        <v>258</v>
      </c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</row>
    <row r="175" spans="1:17">
      <c r="A175" s="14"/>
      <c r="B175" s="14"/>
      <c r="C175" s="14" t="str">
        <f t="shared" si="2"/>
        <v>grid_MTD_WSHOES</v>
      </c>
      <c r="D175" s="14" t="s">
        <v>259</v>
      </c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</row>
    <row r="176" spans="1:17">
      <c r="A176" s="14"/>
      <c r="B176" s="14"/>
      <c r="C176" s="14" t="str">
        <f t="shared" si="2"/>
        <v>grid_YTD_WSHOES</v>
      </c>
      <c r="D176" s="14" t="s">
        <v>260</v>
      </c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</row>
    <row r="177" spans="1:17">
      <c r="A177" s="14"/>
      <c r="B177" s="14"/>
      <c r="C177" s="14" t="str">
        <f t="shared" si="2"/>
        <v>grid_Day_WACC</v>
      </c>
      <c r="D177" s="14" t="s">
        <v>560</v>
      </c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</row>
    <row r="178" spans="1:17">
      <c r="A178" s="14"/>
      <c r="B178" s="14"/>
      <c r="C178" s="14" t="str">
        <f t="shared" si="2"/>
        <v>grid_WTD_WACC</v>
      </c>
      <c r="D178" s="14" t="s">
        <v>258</v>
      </c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</row>
    <row r="179" spans="1:17">
      <c r="A179" s="14"/>
      <c r="B179" s="14"/>
      <c r="C179" s="14" t="str">
        <f t="shared" si="2"/>
        <v>grid_MTD_WACC</v>
      </c>
      <c r="D179" s="14" t="s">
        <v>259</v>
      </c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</row>
    <row r="180" spans="1:17">
      <c r="A180" s="14"/>
      <c r="B180" s="14"/>
      <c r="C180" s="14" t="str">
        <f t="shared" si="2"/>
        <v>grid_YTD_WACC</v>
      </c>
      <c r="D180" s="14" t="s">
        <v>260</v>
      </c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</row>
    <row r="181" spans="1:17">
      <c r="A181" s="14"/>
      <c r="B181" s="14"/>
      <c r="C181" s="14" t="str">
        <f t="shared" si="2"/>
        <v>grid_Day_WnJ</v>
      </c>
      <c r="D181" s="14" t="s">
        <v>561</v>
      </c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</row>
    <row r="182" spans="1:17">
      <c r="A182" s="14"/>
      <c r="B182" s="14"/>
      <c r="C182" s="14" t="str">
        <f t="shared" si="2"/>
        <v>grid_WTD_WnJ</v>
      </c>
      <c r="D182" s="14" t="s">
        <v>258</v>
      </c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</row>
    <row r="183" spans="1:17">
      <c r="A183" s="14"/>
      <c r="B183" s="14"/>
      <c r="C183" s="14" t="str">
        <f t="shared" si="2"/>
        <v>grid_MTD_WnJ</v>
      </c>
      <c r="D183" s="14" t="s">
        <v>259</v>
      </c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</row>
    <row r="184" spans="1:17">
      <c r="A184" s="14"/>
      <c r="B184" s="14"/>
      <c r="C184" s="14" t="str">
        <f t="shared" si="2"/>
        <v>grid_YTD_WnJ</v>
      </c>
      <c r="D184" s="14" t="s">
        <v>260</v>
      </c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</row>
    <row r="185" spans="1:17">
      <c r="A185" s="14"/>
      <c r="B185" s="14"/>
      <c r="C185" s="14" t="str">
        <f t="shared" si="2"/>
        <v>grid_Day_MENS</v>
      </c>
      <c r="D185" s="14" t="s">
        <v>562</v>
      </c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</row>
    <row r="186" spans="1:17">
      <c r="A186" s="14"/>
      <c r="B186" s="14"/>
      <c r="C186" s="14" t="str">
        <f t="shared" si="2"/>
        <v>grid_WTD_MENS</v>
      </c>
      <c r="D186" s="14" t="s">
        <v>258</v>
      </c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</row>
    <row r="187" spans="1:17">
      <c r="A187" s="14"/>
      <c r="B187" s="14"/>
      <c r="C187" s="14" t="str">
        <f t="shared" si="2"/>
        <v>grid_MTD_MENS</v>
      </c>
      <c r="D187" s="14" t="s">
        <v>259</v>
      </c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</row>
    <row r="188" spans="1:17">
      <c r="A188" s="14"/>
      <c r="B188" s="14"/>
      <c r="C188" s="14" t="str">
        <f t="shared" si="2"/>
        <v>grid_YTD_MENS</v>
      </c>
      <c r="D188" s="14" t="s">
        <v>260</v>
      </c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</row>
    <row r="189" spans="1:17">
      <c r="A189" s="14"/>
      <c r="B189" s="14"/>
      <c r="C189" s="14" t="str">
        <f t="shared" si="2"/>
        <v>grid_Day_MBAGS</v>
      </c>
      <c r="D189" s="14" t="s">
        <v>612</v>
      </c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</row>
    <row r="190" spans="1:17">
      <c r="A190" s="14"/>
      <c r="B190" s="14"/>
      <c r="C190" s="14" t="str">
        <f t="shared" si="2"/>
        <v>grid_WTD_MBAGS</v>
      </c>
      <c r="D190" s="14" t="s">
        <v>258</v>
      </c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</row>
    <row r="191" spans="1:17">
      <c r="A191" s="14"/>
      <c r="B191" s="14"/>
      <c r="C191" s="14" t="str">
        <f t="shared" si="2"/>
        <v>grid_MTD_MBAGS</v>
      </c>
      <c r="D191" s="14" t="s">
        <v>259</v>
      </c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</row>
    <row r="192" spans="1:17">
      <c r="A192" s="14"/>
      <c r="B192" s="14"/>
      <c r="C192" s="14" t="str">
        <f t="shared" si="2"/>
        <v>grid_YTD_MBAGS</v>
      </c>
      <c r="D192" s="14" t="s">
        <v>260</v>
      </c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</row>
    <row r="193" spans="1:17">
      <c r="A193" s="14"/>
      <c r="B193" s="14"/>
      <c r="C193" s="14" t="str">
        <f t="shared" si="2"/>
        <v>grid_Day_MSLG</v>
      </c>
      <c r="D193" s="14" t="s">
        <v>587</v>
      </c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</row>
    <row r="194" spans="1:17">
      <c r="A194" s="14"/>
      <c r="B194" s="14"/>
      <c r="C194" s="14" t="str">
        <f t="shared" si="2"/>
        <v>grid_WTD_MSLG</v>
      </c>
      <c r="D194" s="14" t="s">
        <v>258</v>
      </c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</row>
    <row r="195" spans="1:17">
      <c r="A195" s="14"/>
      <c r="B195" s="14"/>
      <c r="C195" s="14" t="str">
        <f t="shared" si="2"/>
        <v>grid_MTD_MSLG</v>
      </c>
      <c r="D195" s="14" t="s">
        <v>259</v>
      </c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</row>
    <row r="196" spans="1:17">
      <c r="A196" s="14"/>
      <c r="B196" s="14"/>
      <c r="C196" s="14" t="str">
        <f t="shared" si="2"/>
        <v>grid_YTD_MSLG</v>
      </c>
      <c r="D196" s="14" t="s">
        <v>260</v>
      </c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</row>
    <row r="197" spans="1:17">
      <c r="A197" s="14"/>
      <c r="B197" s="14"/>
      <c r="C197" s="14" t="str">
        <f t="shared" si="2"/>
        <v>grid_Day_MRTW</v>
      </c>
      <c r="D197" s="14" t="s">
        <v>617</v>
      </c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</row>
    <row r="198" spans="1:17">
      <c r="A198" s="14"/>
      <c r="B198" s="14"/>
      <c r="C198" s="14" t="str">
        <f t="shared" si="2"/>
        <v>grid_WTD_MRTW</v>
      </c>
      <c r="D198" s="14" t="s">
        <v>258</v>
      </c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</row>
    <row r="199" spans="1:17">
      <c r="A199" s="14"/>
      <c r="B199" s="14"/>
      <c r="C199" s="14" t="str">
        <f t="shared" si="2"/>
        <v>grid_MTD_MRTW</v>
      </c>
      <c r="D199" s="14" t="s">
        <v>259</v>
      </c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</row>
    <row r="200" spans="1:17">
      <c r="A200" s="14"/>
      <c r="B200" s="14"/>
      <c r="C200" s="14" t="str">
        <f t="shared" si="2"/>
        <v>grid_YTD_MRTW</v>
      </c>
      <c r="D200" s="14" t="s">
        <v>260</v>
      </c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</row>
    <row r="201" spans="1:17">
      <c r="A201" s="14"/>
      <c r="B201" s="14"/>
      <c r="C201" s="14" t="str">
        <f t="shared" si="2"/>
        <v>grid_Day_MSHOES</v>
      </c>
      <c r="D201" s="14" t="s">
        <v>588</v>
      </c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</row>
    <row r="202" spans="1:17">
      <c r="A202" s="14"/>
      <c r="B202" s="14"/>
      <c r="C202" s="14" t="str">
        <f t="shared" si="2"/>
        <v>grid_WTD_MSHOES</v>
      </c>
      <c r="D202" s="14" t="s">
        <v>258</v>
      </c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</row>
    <row r="203" spans="1:17">
      <c r="A203" s="14"/>
      <c r="B203" s="14"/>
      <c r="C203" s="14" t="str">
        <f t="shared" si="2"/>
        <v>grid_MTD_MSHOES</v>
      </c>
      <c r="D203" s="14" t="s">
        <v>259</v>
      </c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</row>
    <row r="204" spans="1:17">
      <c r="A204" s="14"/>
      <c r="B204" s="14"/>
      <c r="C204" s="14" t="str">
        <f t="shared" si="2"/>
        <v>grid_YTD_MSHOES</v>
      </c>
      <c r="D204" s="14" t="s">
        <v>260</v>
      </c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</row>
    <row r="205" spans="1:17">
      <c r="A205" s="14"/>
      <c r="B205" s="14"/>
      <c r="C205" s="14" t="str">
        <f t="shared" si="2"/>
        <v>grid_Day_MACC</v>
      </c>
      <c r="D205" s="14" t="s">
        <v>589</v>
      </c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</row>
    <row r="206" spans="1:17">
      <c r="A206" s="14"/>
      <c r="B206" s="14"/>
      <c r="C206" s="14" t="str">
        <f t="shared" si="2"/>
        <v>grid_WTD_MACC</v>
      </c>
      <c r="D206" s="14" t="s">
        <v>258</v>
      </c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</row>
    <row r="207" spans="1:17">
      <c r="A207" s="14"/>
      <c r="B207" s="14"/>
      <c r="C207" s="14" t="str">
        <f t="shared" si="2"/>
        <v>grid_MTD_MACC</v>
      </c>
      <c r="D207" s="14" t="s">
        <v>259</v>
      </c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</row>
    <row r="208" spans="1:17">
      <c r="A208" s="14"/>
      <c r="B208" s="14"/>
      <c r="C208" s="14" t="str">
        <f t="shared" si="2"/>
        <v>grid_YTD_MACC</v>
      </c>
      <c r="D208" s="14" t="s">
        <v>260</v>
      </c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</row>
    <row r="209" spans="1:17">
      <c r="A209" s="14"/>
      <c r="B209" s="14"/>
      <c r="C209" s="14" t="str">
        <f t="shared" si="2"/>
        <v>grid_Day_MSPECIAL</v>
      </c>
      <c r="D209" s="14" t="s">
        <v>590</v>
      </c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</row>
    <row r="210" spans="1:17">
      <c r="A210" s="14"/>
      <c r="B210" s="14"/>
      <c r="C210" s="14" t="str">
        <f t="shared" si="2"/>
        <v>grid_WTD_MSPECIAL</v>
      </c>
      <c r="D210" s="14" t="s">
        <v>258</v>
      </c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</row>
    <row r="211" spans="1:17">
      <c r="A211" s="14"/>
      <c r="B211" s="14"/>
      <c r="C211" s="14" t="str">
        <f t="shared" si="2"/>
        <v>grid_MTD_MSPECIAL</v>
      </c>
      <c r="D211" s="14" t="s">
        <v>259</v>
      </c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</row>
    <row r="212" spans="1:17">
      <c r="A212" s="14"/>
      <c r="B212" s="14"/>
      <c r="C212" s="14" t="str">
        <f t="shared" si="2"/>
        <v>grid_YTD_MSPECIAL</v>
      </c>
      <c r="D212" s="14" t="s">
        <v>260</v>
      </c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</row>
    <row r="213" spans="1:17">
      <c r="A213" s="14"/>
      <c r="B213" s="14"/>
      <c r="C213" s="14" t="str">
        <f t="shared" si="2"/>
        <v>grid_Day_BABY</v>
      </c>
      <c r="D213" s="14" t="s">
        <v>752</v>
      </c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</row>
    <row r="214" spans="1:17">
      <c r="A214" s="14"/>
      <c r="B214" s="14"/>
      <c r="C214" s="14" t="str">
        <f t="shared" si="2"/>
        <v>grid_WTD_BABY</v>
      </c>
      <c r="D214" s="14" t="s">
        <v>258</v>
      </c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</row>
    <row r="215" spans="1:17">
      <c r="A215" s="14"/>
      <c r="B215" s="14"/>
      <c r="C215" s="14" t="str">
        <f t="shared" si="2"/>
        <v>grid_MTD_BABY</v>
      </c>
      <c r="D215" s="14" t="s">
        <v>259</v>
      </c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</row>
    <row r="216" spans="1:17">
      <c r="A216" s="14"/>
      <c r="B216" s="14"/>
      <c r="C216" s="14" t="str">
        <f t="shared" si="2"/>
        <v>grid_YTD_BABY</v>
      </c>
      <c r="D216" s="14" t="s">
        <v>260</v>
      </c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</row>
    <row r="217" spans="1:17">
      <c r="A217" s="14"/>
      <c r="B217" s="14"/>
      <c r="C217" s="14" t="str">
        <f t="shared" si="2"/>
        <v>grid_Day_STORE</v>
      </c>
      <c r="D217" s="14" t="s">
        <v>557</v>
      </c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</row>
    <row r="218" spans="1:17">
      <c r="A218" s="14"/>
      <c r="B218" s="14"/>
      <c r="C218" s="14" t="str">
        <f t="shared" si="2"/>
        <v>grid_WTD_STORE</v>
      </c>
      <c r="D218" s="14" t="s">
        <v>258</v>
      </c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</row>
    <row r="219" spans="1:17">
      <c r="A219" s="14"/>
      <c r="B219" s="14"/>
      <c r="C219" s="14" t="str">
        <f t="shared" si="2"/>
        <v>grid_MTD_STORE</v>
      </c>
      <c r="D219" s="14" t="s">
        <v>259</v>
      </c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</row>
    <row r="220" spans="1:17">
      <c r="A220" s="14"/>
      <c r="B220" s="14"/>
      <c r="C220" s="14" t="str">
        <f t="shared" si="2"/>
        <v>grid_YTD_STORE</v>
      </c>
      <c r="D220" s="14" t="s">
        <v>260</v>
      </c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</row>
    <row r="221" spans="1:17">
      <c r="A221" s="14"/>
      <c r="B221" s="14"/>
      <c r="C221" s="14" t="str">
        <f t="shared" si="2"/>
        <v>grid_Day_BusinessUnit</v>
      </c>
      <c r="D221" s="14" t="s">
        <v>622</v>
      </c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</row>
    <row r="222" spans="1:17">
      <c r="A222" s="14"/>
      <c r="B222" s="14"/>
      <c r="C222" s="14" t="str">
        <f t="shared" ref="C222:C231" si="3">LEFT(C145,LEN(C145)-4)</f>
        <v>grid_WTD_BusinessUnit</v>
      </c>
      <c r="D222" s="14" t="s">
        <v>258</v>
      </c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</row>
    <row r="223" spans="1:17">
      <c r="A223" s="14"/>
      <c r="B223" s="14"/>
      <c r="C223" s="14" t="str">
        <f t="shared" si="3"/>
        <v>grid_MTD_BusinessUnit</v>
      </c>
      <c r="D223" s="14" t="s">
        <v>259</v>
      </c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</row>
    <row r="224" spans="1:17">
      <c r="A224" s="14"/>
      <c r="B224" s="14"/>
      <c r="C224" s="14" t="str">
        <f t="shared" si="3"/>
        <v>grid_YTD_BusinessUnit</v>
      </c>
      <c r="D224" s="14" t="s">
        <v>260</v>
      </c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</row>
    <row r="225" spans="1:17">
      <c r="A225" s="14"/>
      <c r="B225" s="14"/>
      <c r="C225" s="14" t="str">
        <f t="shared" si="3"/>
        <v>grid_Day_TopProducts</v>
      </c>
      <c r="D225" s="14" t="s">
        <v>257</v>
      </c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</row>
    <row r="226" spans="1:17">
      <c r="A226" s="14"/>
      <c r="B226" s="14"/>
      <c r="C226" s="14" t="str">
        <f t="shared" si="3"/>
        <v>grid_WTD_TopProducts</v>
      </c>
      <c r="D226" s="14" t="s">
        <v>258</v>
      </c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</row>
    <row r="227" spans="1:17">
      <c r="A227" s="14"/>
      <c r="B227" s="14"/>
      <c r="C227" s="14" t="str">
        <f t="shared" si="3"/>
        <v>grid_MTD_TopProducts</v>
      </c>
      <c r="D227" s="14" t="s">
        <v>259</v>
      </c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</row>
    <row r="228" spans="1:17">
      <c r="A228" s="14"/>
      <c r="B228" s="14"/>
      <c r="C228" s="14" t="str">
        <f t="shared" si="3"/>
        <v>grid_YTD_TopProducts</v>
      </c>
      <c r="D228" s="14" t="s">
        <v>260</v>
      </c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</row>
    <row r="229" spans="1:17">
      <c r="A229" s="14"/>
      <c r="B229" s="14"/>
      <c r="C229" s="14" t="str">
        <f t="shared" si="3"/>
        <v>histogram_YTD</v>
      </c>
      <c r="D229" s="14" t="s">
        <v>623</v>
      </c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</row>
    <row r="230" spans="1:17">
      <c r="A230" s="14"/>
      <c r="B230" s="14"/>
      <c r="C230" s="14" t="str">
        <f t="shared" si="3"/>
        <v>histogram_Nationality_YTD</v>
      </c>
      <c r="D230" s="14" t="s">
        <v>624</v>
      </c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</row>
    <row r="231" spans="1:17">
      <c r="A231" s="14"/>
      <c r="B231" s="14"/>
      <c r="C231" s="14" t="str">
        <f t="shared" si="3"/>
        <v>histogram_BU_YTD</v>
      </c>
      <c r="D231" s="14" t="s">
        <v>625</v>
      </c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</row>
    <row r="232" spans="1:17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</row>
    <row r="233" spans="1:17">
      <c r="A233" s="14" t="s">
        <v>16</v>
      </c>
      <c r="B233" s="14" t="s">
        <v>66</v>
      </c>
      <c r="C233" s="14" t="s">
        <v>204</v>
      </c>
      <c r="D233" s="14" t="s">
        <v>68</v>
      </c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</row>
    <row r="234" spans="1:17">
      <c r="A234" s="14"/>
      <c r="B234" s="14"/>
      <c r="C234" s="14" t="s">
        <v>205</v>
      </c>
      <c r="D234" s="14" t="s">
        <v>157</v>
      </c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</row>
    <row r="235" spans="1:17">
      <c r="A235" s="14"/>
      <c r="B235" s="14"/>
      <c r="C235" s="14" t="s">
        <v>206</v>
      </c>
      <c r="D235" s="14" t="s">
        <v>158</v>
      </c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</row>
    <row r="236" spans="1:17">
      <c r="A236" s="14"/>
      <c r="B236" s="14"/>
      <c r="C236" s="14" t="s">
        <v>207</v>
      </c>
      <c r="D236" s="14" t="s">
        <v>159</v>
      </c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</row>
    <row r="237" spans="1:17">
      <c r="A237" s="14"/>
      <c r="B237" s="14"/>
      <c r="C237" s="14" t="s">
        <v>208</v>
      </c>
      <c r="D237" s="14" t="s">
        <v>160</v>
      </c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</row>
    <row r="238" spans="1:17">
      <c r="A238" s="14"/>
      <c r="B238" s="14"/>
      <c r="C238" s="14" t="s">
        <v>209</v>
      </c>
      <c r="D238" s="14" t="s">
        <v>161</v>
      </c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</row>
    <row r="239" spans="1:17">
      <c r="A239" s="14"/>
      <c r="B239" s="14"/>
      <c r="C239" s="14" t="s">
        <v>210</v>
      </c>
      <c r="D239" s="14" t="s">
        <v>162</v>
      </c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</row>
    <row r="240" spans="1:17">
      <c r="A240" s="14"/>
      <c r="B240" s="14"/>
      <c r="C240" s="14" t="s">
        <v>211</v>
      </c>
      <c r="D240" s="14" t="s">
        <v>163</v>
      </c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</row>
    <row r="241" spans="1:17">
      <c r="A241" s="14"/>
      <c r="B241" s="14"/>
      <c r="C241" s="14" t="s">
        <v>212</v>
      </c>
      <c r="D241" s="14" t="s">
        <v>164</v>
      </c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</row>
    <row r="242" spans="1:17">
      <c r="A242" s="14"/>
      <c r="B242" s="14"/>
      <c r="C242" s="14" t="s">
        <v>213</v>
      </c>
      <c r="D242" s="14" t="s">
        <v>165</v>
      </c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</row>
    <row r="243" spans="1:17">
      <c r="A243" s="14"/>
      <c r="B243" s="14"/>
      <c r="C243" s="14" t="s">
        <v>214</v>
      </c>
      <c r="D243" s="14" t="s">
        <v>166</v>
      </c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</row>
    <row r="244" spans="1:17">
      <c r="A244" s="14"/>
      <c r="B244" s="14"/>
      <c r="C244" s="14" t="s">
        <v>215</v>
      </c>
      <c r="D244" s="14" t="s">
        <v>167</v>
      </c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</row>
    <row r="245" spans="1:17">
      <c r="A245" s="14"/>
      <c r="B245" s="14"/>
      <c r="C245" s="14" t="s">
        <v>216</v>
      </c>
      <c r="D245" s="14" t="s">
        <v>168</v>
      </c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</row>
    <row r="246" spans="1:17">
      <c r="A246" s="14"/>
      <c r="B246" s="14"/>
      <c r="C246" s="14" t="s">
        <v>217</v>
      </c>
      <c r="D246" s="14" t="s">
        <v>169</v>
      </c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</row>
    <row r="247" spans="1:17">
      <c r="A247" s="14"/>
      <c r="B247" s="14"/>
      <c r="C247" s="14" t="s">
        <v>218</v>
      </c>
      <c r="D247" s="14" t="s">
        <v>170</v>
      </c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</row>
    <row r="248" spans="1:17">
      <c r="A248" s="14"/>
      <c r="B248" s="14"/>
      <c r="C248" s="14" t="s">
        <v>219</v>
      </c>
      <c r="D248" s="14" t="s">
        <v>171</v>
      </c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</row>
    <row r="249" spans="1:17">
      <c r="A249" s="14"/>
      <c r="B249" s="14"/>
      <c r="C249" s="14" t="s">
        <v>220</v>
      </c>
      <c r="D249" s="14" t="s">
        <v>172</v>
      </c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</row>
    <row r="250" spans="1:17">
      <c r="A250" s="14"/>
      <c r="B250" s="14"/>
      <c r="C250" s="14" t="s">
        <v>221</v>
      </c>
      <c r="D250" s="14" t="s">
        <v>173</v>
      </c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</row>
    <row r="251" spans="1:17">
      <c r="A251" s="14"/>
      <c r="B251" s="14"/>
      <c r="C251" s="14" t="s">
        <v>222</v>
      </c>
      <c r="D251" s="14" t="s">
        <v>174</v>
      </c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</row>
    <row r="252" spans="1:17">
      <c r="A252" s="14"/>
      <c r="B252" s="14"/>
      <c r="C252" s="14" t="s">
        <v>223</v>
      </c>
      <c r="D252" s="14" t="s">
        <v>175</v>
      </c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</row>
    <row r="253" spans="1:17">
      <c r="A253" s="14"/>
      <c r="B253" s="14"/>
      <c r="C253" s="14" t="s">
        <v>224</v>
      </c>
      <c r="D253" s="14" t="s">
        <v>176</v>
      </c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</row>
    <row r="254" spans="1:17">
      <c r="A254" s="14"/>
      <c r="B254" s="14"/>
      <c r="C254" s="14" t="s">
        <v>225</v>
      </c>
      <c r="D254" s="14" t="s">
        <v>177</v>
      </c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</row>
    <row r="255" spans="1:17">
      <c r="A255" s="14"/>
      <c r="B255" s="14"/>
      <c r="C255" s="14" t="s">
        <v>226</v>
      </c>
      <c r="D255" s="14" t="s">
        <v>178</v>
      </c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</row>
    <row r="256" spans="1:17">
      <c r="A256" s="14"/>
      <c r="B256" s="14"/>
      <c r="C256" s="14" t="s">
        <v>227</v>
      </c>
      <c r="D256" s="14" t="s">
        <v>179</v>
      </c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</row>
    <row r="257" spans="1:17">
      <c r="A257" s="14"/>
      <c r="B257" s="14"/>
      <c r="C257" s="14" t="s">
        <v>228</v>
      </c>
      <c r="D257" s="14" t="s">
        <v>180</v>
      </c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</row>
    <row r="258" spans="1:17">
      <c r="A258" s="14"/>
      <c r="B258" s="14"/>
      <c r="C258" s="14" t="s">
        <v>550</v>
      </c>
      <c r="D258" s="14" t="s">
        <v>663</v>
      </c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</row>
    <row r="259" spans="1:17">
      <c r="A259" s="14"/>
      <c r="B259" s="14"/>
      <c r="C259" s="14" t="s">
        <v>551</v>
      </c>
      <c r="D259" s="14" t="s">
        <v>665</v>
      </c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</row>
    <row r="260" spans="1:17">
      <c r="A260" s="14"/>
      <c r="B260" s="14"/>
      <c r="C260" s="14" t="s">
        <v>552</v>
      </c>
      <c r="D260" s="14" t="s">
        <v>666</v>
      </c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</row>
    <row r="261" spans="1:17">
      <c r="A261" s="14"/>
      <c r="B261" s="14"/>
      <c r="C261" s="14" t="s">
        <v>553</v>
      </c>
      <c r="D261" s="14" t="s">
        <v>664</v>
      </c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</row>
    <row r="262" spans="1:17">
      <c r="A262" s="14"/>
      <c r="B262" s="14"/>
      <c r="C262" s="14" t="s">
        <v>229</v>
      </c>
      <c r="D262" s="14" t="s">
        <v>181</v>
      </c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</row>
    <row r="263" spans="1:17">
      <c r="A263" s="14"/>
      <c r="B263" s="14"/>
      <c r="C263" s="14" t="s">
        <v>230</v>
      </c>
      <c r="D263" s="14" t="s">
        <v>182</v>
      </c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</row>
    <row r="264" spans="1:17">
      <c r="A264" s="14"/>
      <c r="B264" s="14"/>
      <c r="C264" s="14" t="s">
        <v>231</v>
      </c>
      <c r="D264" s="14" t="s">
        <v>183</v>
      </c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</row>
    <row r="265" spans="1:17">
      <c r="A265" s="14"/>
      <c r="B265" s="14"/>
      <c r="C265" s="14" t="s">
        <v>232</v>
      </c>
      <c r="D265" s="14" t="s">
        <v>184</v>
      </c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</row>
    <row r="266" spans="1:17">
      <c r="A266" s="14"/>
      <c r="B266" s="14"/>
      <c r="C266" s="14" t="s">
        <v>563</v>
      </c>
      <c r="D266" s="14" t="str">
        <f>"Grid ("&amp;E266&amp;") - "&amp;F266</f>
        <v>Grid (M BAGS) - DAY</v>
      </c>
      <c r="E266" s="14" t="s">
        <v>673</v>
      </c>
      <c r="F266" s="14" t="s">
        <v>671</v>
      </c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</row>
    <row r="267" spans="1:17">
      <c r="A267" s="14"/>
      <c r="B267" s="14"/>
      <c r="C267" s="14" t="s">
        <v>564</v>
      </c>
      <c r="D267" s="14" t="str">
        <f t="shared" ref="D267:D269" si="4">"Grid ("&amp;E267&amp;") - "&amp;F267</f>
        <v>Grid (M BAGS) - WTD</v>
      </c>
      <c r="E267" s="14" t="s">
        <v>673</v>
      </c>
      <c r="F267" s="14" t="s">
        <v>258</v>
      </c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</row>
    <row r="268" spans="1:17">
      <c r="A268" s="14"/>
      <c r="B268" s="14"/>
      <c r="C268" s="14" t="s">
        <v>565</v>
      </c>
      <c r="D268" s="14" t="str">
        <f t="shared" si="4"/>
        <v>Grid (M BAGS) - MTD</v>
      </c>
      <c r="E268" s="14" t="s">
        <v>673</v>
      </c>
      <c r="F268" s="14" t="s">
        <v>259</v>
      </c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</row>
    <row r="269" spans="1:17">
      <c r="A269" s="14"/>
      <c r="B269" s="14"/>
      <c r="C269" s="14" t="s">
        <v>566</v>
      </c>
      <c r="D269" s="14" t="str">
        <f t="shared" si="4"/>
        <v>Grid (M BAGS) - YTD</v>
      </c>
      <c r="E269" s="14" t="s">
        <v>673</v>
      </c>
      <c r="F269" s="14" t="s">
        <v>260</v>
      </c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</row>
    <row r="270" spans="1:17">
      <c r="A270" s="14"/>
      <c r="B270" s="14"/>
      <c r="C270" s="14" t="s">
        <v>567</v>
      </c>
      <c r="D270" s="14" t="str">
        <f>"Grid ("&amp;E270&amp;") - "&amp;F270</f>
        <v>Grid (M SLG) - DAY</v>
      </c>
      <c r="E270" s="14" t="s">
        <v>672</v>
      </c>
      <c r="F270" s="14" t="s">
        <v>671</v>
      </c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</row>
    <row r="271" spans="1:17">
      <c r="A271" s="14"/>
      <c r="B271" s="14"/>
      <c r="C271" s="14" t="s">
        <v>568</v>
      </c>
      <c r="D271" s="14" t="str">
        <f t="shared" ref="D271:D273" si="5">"Grid ("&amp;E271&amp;") - "&amp;F271</f>
        <v>Grid (M SLG) - WTD</v>
      </c>
      <c r="E271" s="14" t="s">
        <v>672</v>
      </c>
      <c r="F271" s="14" t="s">
        <v>258</v>
      </c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</row>
    <row r="272" spans="1:17">
      <c r="A272" s="14"/>
      <c r="B272" s="14"/>
      <c r="C272" s="14" t="s">
        <v>569</v>
      </c>
      <c r="D272" s="14" t="str">
        <f t="shared" si="5"/>
        <v>Grid (M SLG) - MTD</v>
      </c>
      <c r="E272" s="14" t="s">
        <v>672</v>
      </c>
      <c r="F272" s="14" t="s">
        <v>259</v>
      </c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</row>
    <row r="273" spans="1:17">
      <c r="A273" s="14"/>
      <c r="B273" s="14"/>
      <c r="C273" s="14" t="s">
        <v>570</v>
      </c>
      <c r="D273" s="14" t="str">
        <f t="shared" si="5"/>
        <v>Grid (M SLG) - YTD</v>
      </c>
      <c r="E273" s="14" t="s">
        <v>672</v>
      </c>
      <c r="F273" s="14" t="s">
        <v>260</v>
      </c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</row>
    <row r="274" spans="1:17">
      <c r="A274" s="14"/>
      <c r="B274" s="14"/>
      <c r="C274" s="14" t="s">
        <v>571</v>
      </c>
      <c r="D274" s="14" t="s">
        <v>667</v>
      </c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</row>
    <row r="275" spans="1:17">
      <c r="A275" s="14"/>
      <c r="B275" s="14"/>
      <c r="C275" s="14" t="s">
        <v>572</v>
      </c>
      <c r="D275" s="14" t="s">
        <v>668</v>
      </c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</row>
    <row r="276" spans="1:17">
      <c r="A276" s="14"/>
      <c r="B276" s="14"/>
      <c r="C276" s="14" t="s">
        <v>573</v>
      </c>
      <c r="D276" s="14" t="s">
        <v>669</v>
      </c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</row>
    <row r="277" spans="1:17">
      <c r="A277" s="14"/>
      <c r="B277" s="14"/>
      <c r="C277" s="14" t="s">
        <v>574</v>
      </c>
      <c r="D277" s="14" t="s">
        <v>670</v>
      </c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</row>
    <row r="278" spans="1:17">
      <c r="A278" s="14"/>
      <c r="B278" s="14"/>
      <c r="C278" s="14" t="s">
        <v>575</v>
      </c>
      <c r="D278" s="14" t="str">
        <f>"Grid ("&amp;E278&amp;") - "&amp;F278</f>
        <v>Grid (M SHOES) - DAY</v>
      </c>
      <c r="E278" s="14" t="s">
        <v>674</v>
      </c>
      <c r="F278" s="14" t="s">
        <v>671</v>
      </c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</row>
    <row r="279" spans="1:17">
      <c r="A279" s="14"/>
      <c r="B279" s="14"/>
      <c r="C279" s="14" t="s">
        <v>576</v>
      </c>
      <c r="D279" s="14" t="str">
        <f t="shared" ref="D279:D281" si="6">"Grid ("&amp;E279&amp;") - "&amp;F279</f>
        <v>Grid (M SHOES) - WTD</v>
      </c>
      <c r="E279" s="14" t="s">
        <v>674</v>
      </c>
      <c r="F279" s="14" t="s">
        <v>258</v>
      </c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</row>
    <row r="280" spans="1:17">
      <c r="A280" s="14"/>
      <c r="B280" s="14"/>
      <c r="C280" s="14" t="s">
        <v>577</v>
      </c>
      <c r="D280" s="14" t="str">
        <f t="shared" si="6"/>
        <v>Grid (M SHOES) - MTD</v>
      </c>
      <c r="E280" s="14" t="s">
        <v>674</v>
      </c>
      <c r="F280" s="14" t="s">
        <v>259</v>
      </c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</row>
    <row r="281" spans="1:17">
      <c r="A281" s="14"/>
      <c r="B281" s="14"/>
      <c r="C281" s="14" t="s">
        <v>578</v>
      </c>
      <c r="D281" s="14" t="str">
        <f t="shared" si="6"/>
        <v>Grid (M SHOES) - YTD</v>
      </c>
      <c r="E281" s="14" t="s">
        <v>674</v>
      </c>
      <c r="F281" s="14" t="s">
        <v>260</v>
      </c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</row>
    <row r="282" spans="1:17">
      <c r="A282" s="14"/>
      <c r="B282" s="14"/>
      <c r="C282" s="14" t="s">
        <v>579</v>
      </c>
      <c r="D282" s="14" t="str">
        <f>"Grid ("&amp;E282&amp;") - "&amp;F282</f>
        <v>Grid (M Accessories) - DAY</v>
      </c>
      <c r="E282" s="14" t="s">
        <v>675</v>
      </c>
      <c r="F282" s="14" t="s">
        <v>671</v>
      </c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</row>
    <row r="283" spans="1:17">
      <c r="A283" s="14"/>
      <c r="B283" s="14"/>
      <c r="C283" s="14" t="s">
        <v>580</v>
      </c>
      <c r="D283" s="14" t="str">
        <f t="shared" ref="D283:D285" si="7">"Grid ("&amp;E283&amp;") - "&amp;F283</f>
        <v>Grid (M Accessories) - WTD</v>
      </c>
      <c r="E283" s="14" t="s">
        <v>675</v>
      </c>
      <c r="F283" s="14" t="s">
        <v>258</v>
      </c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</row>
    <row r="284" spans="1:17">
      <c r="A284" s="14"/>
      <c r="B284" s="14"/>
      <c r="C284" s="14" t="s">
        <v>581</v>
      </c>
      <c r="D284" s="14" t="str">
        <f t="shared" si="7"/>
        <v>Grid (M Accessories) - MTD</v>
      </c>
      <c r="E284" s="14" t="s">
        <v>675</v>
      </c>
      <c r="F284" s="14" t="s">
        <v>259</v>
      </c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</row>
    <row r="285" spans="1:17">
      <c r="A285" s="14"/>
      <c r="B285" s="14"/>
      <c r="C285" s="14" t="s">
        <v>582</v>
      </c>
      <c r="D285" s="14" t="str">
        <f t="shared" si="7"/>
        <v>Grid (M Accessories) - YTD</v>
      </c>
      <c r="E285" s="14" t="s">
        <v>675</v>
      </c>
      <c r="F285" s="14" t="s">
        <v>260</v>
      </c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</row>
    <row r="286" spans="1:17">
      <c r="A286" s="14"/>
      <c r="B286" s="14"/>
      <c r="C286" s="14" t="s">
        <v>583</v>
      </c>
      <c r="D286" s="14" t="str">
        <f>"Grid ("&amp;E286&amp;") - "&amp;F286</f>
        <v>Grid (M Special) - DAY</v>
      </c>
      <c r="E286" s="14" t="s">
        <v>676</v>
      </c>
      <c r="F286" s="14" t="s">
        <v>671</v>
      </c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</row>
    <row r="287" spans="1:17">
      <c r="A287" s="14"/>
      <c r="B287" s="14"/>
      <c r="C287" s="14" t="s">
        <v>584</v>
      </c>
      <c r="D287" s="14" t="str">
        <f t="shared" ref="D287:D289" si="8">"Grid ("&amp;E287&amp;") - "&amp;F287</f>
        <v>Grid (M Special) - WTD</v>
      </c>
      <c r="E287" s="14" t="s">
        <v>676</v>
      </c>
      <c r="F287" s="14" t="s">
        <v>258</v>
      </c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</row>
    <row r="288" spans="1:17">
      <c r="A288" s="14"/>
      <c r="B288" s="14"/>
      <c r="C288" s="14" t="s">
        <v>585</v>
      </c>
      <c r="D288" s="14" t="str">
        <f t="shared" si="8"/>
        <v>Grid (M Special) - MTD</v>
      </c>
      <c r="E288" s="14" t="s">
        <v>676</v>
      </c>
      <c r="F288" s="14" t="s">
        <v>259</v>
      </c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</row>
    <row r="289" spans="1:17">
      <c r="A289" s="14"/>
      <c r="B289" s="14"/>
      <c r="C289" s="14" t="s">
        <v>586</v>
      </c>
      <c r="D289" s="14" t="str">
        <f t="shared" si="8"/>
        <v>Grid (M Special) - YTD</v>
      </c>
      <c r="E289" s="14" t="s">
        <v>676</v>
      </c>
      <c r="F289" s="14" t="s">
        <v>260</v>
      </c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</row>
    <row r="290" spans="1:17">
      <c r="A290" s="14"/>
      <c r="B290" s="14"/>
      <c r="C290" s="14" t="s">
        <v>233</v>
      </c>
      <c r="D290" s="14" t="s">
        <v>185</v>
      </c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</row>
    <row r="291" spans="1:17">
      <c r="A291" s="14"/>
      <c r="B291" s="14"/>
      <c r="C291" s="14" t="s">
        <v>234</v>
      </c>
      <c r="D291" s="14" t="s">
        <v>186</v>
      </c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</row>
    <row r="292" spans="1:17">
      <c r="A292" s="14"/>
      <c r="B292" s="14"/>
      <c r="C292" s="14" t="s">
        <v>235</v>
      </c>
      <c r="D292" s="14" t="s">
        <v>187</v>
      </c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</row>
    <row r="293" spans="1:17">
      <c r="A293" s="14"/>
      <c r="B293" s="14"/>
      <c r="C293" s="14" t="s">
        <v>236</v>
      </c>
      <c r="D293" s="14" t="s">
        <v>188</v>
      </c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</row>
    <row r="294" spans="1:17">
      <c r="A294" s="14"/>
      <c r="B294" s="14"/>
      <c r="C294" s="14" t="s">
        <v>237</v>
      </c>
      <c r="D294" s="14" t="s">
        <v>189</v>
      </c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</row>
    <row r="295" spans="1:17">
      <c r="A295" s="14"/>
      <c r="B295" s="14"/>
      <c r="C295" s="14" t="s">
        <v>238</v>
      </c>
      <c r="D295" s="14" t="s">
        <v>190</v>
      </c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</row>
    <row r="296" spans="1:17">
      <c r="A296" s="14"/>
      <c r="B296" s="14"/>
      <c r="C296" s="14" t="s">
        <v>239</v>
      </c>
      <c r="D296" s="14" t="s">
        <v>191</v>
      </c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</row>
    <row r="297" spans="1:17">
      <c r="A297" s="14"/>
      <c r="B297" s="14"/>
      <c r="C297" s="14" t="s">
        <v>240</v>
      </c>
      <c r="D297" s="14" t="s">
        <v>192</v>
      </c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</row>
    <row r="298" spans="1:17">
      <c r="A298" s="14"/>
      <c r="B298" s="14"/>
      <c r="C298" s="14" t="s">
        <v>241</v>
      </c>
      <c r="D298" s="14" t="s">
        <v>193</v>
      </c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</row>
    <row r="299" spans="1:17">
      <c r="A299" s="14"/>
      <c r="B299" s="14"/>
      <c r="C299" s="14" t="s">
        <v>242</v>
      </c>
      <c r="D299" s="14" t="s">
        <v>194</v>
      </c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</row>
    <row r="300" spans="1:17">
      <c r="A300" s="14"/>
      <c r="B300" s="14"/>
      <c r="C300" s="14" t="s">
        <v>243</v>
      </c>
      <c r="D300" s="14" t="s">
        <v>195</v>
      </c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</row>
    <row r="301" spans="1:17">
      <c r="A301" s="14"/>
      <c r="B301" s="14"/>
      <c r="C301" s="14" t="s">
        <v>244</v>
      </c>
      <c r="D301" s="14" t="s">
        <v>196</v>
      </c>
      <c r="E301" s="14"/>
      <c r="F301" s="14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</row>
    <row r="302" spans="1:17">
      <c r="A302" s="14"/>
      <c r="B302" s="14"/>
      <c r="C302" s="14" t="s">
        <v>245</v>
      </c>
      <c r="D302" s="14" t="s">
        <v>197</v>
      </c>
      <c r="E302" s="14"/>
      <c r="F302" s="14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</row>
    <row r="303" spans="1:17">
      <c r="A303" s="14"/>
      <c r="B303" s="14"/>
      <c r="C303" s="14" t="s">
        <v>246</v>
      </c>
      <c r="D303" s="14" t="s">
        <v>198</v>
      </c>
      <c r="E303" s="14"/>
      <c r="F303" s="14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</row>
    <row r="304" spans="1:17">
      <c r="A304" s="14"/>
      <c r="B304" s="14"/>
      <c r="C304" s="14" t="s">
        <v>247</v>
      </c>
      <c r="D304" s="14" t="s">
        <v>199</v>
      </c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</row>
    <row r="305" spans="1:17">
      <c r="A305" s="14"/>
      <c r="B305" s="14"/>
      <c r="C305" s="14" t="s">
        <v>248</v>
      </c>
      <c r="D305" s="14" t="s">
        <v>200</v>
      </c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</row>
    <row r="306" spans="1:17">
      <c r="A306" s="14"/>
      <c r="B306" s="14"/>
      <c r="C306" s="14" t="s">
        <v>249</v>
      </c>
      <c r="D306" s="14" t="s">
        <v>201</v>
      </c>
      <c r="E306" s="14"/>
      <c r="F306" s="14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</row>
    <row r="307" spans="1:17">
      <c r="A307" s="14"/>
      <c r="B307" s="14"/>
      <c r="C307" s="14" t="s">
        <v>250</v>
      </c>
      <c r="D307" s="14" t="s">
        <v>202</v>
      </c>
      <c r="E307" s="14"/>
      <c r="F307" s="14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</row>
    <row r="308" spans="1:17">
      <c r="A308" s="14"/>
      <c r="B308" s="14"/>
      <c r="C308" s="14" t="s">
        <v>251</v>
      </c>
      <c r="D308" s="14" t="s">
        <v>203</v>
      </c>
      <c r="E308" s="14"/>
      <c r="F308" s="14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</row>
    <row r="309" spans="1:17">
      <c r="A309" s="14"/>
      <c r="B309" s="14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</row>
    <row r="310" spans="1:17">
      <c r="A310" s="14" t="s">
        <v>16</v>
      </c>
      <c r="B310" s="14" t="s">
        <v>67</v>
      </c>
      <c r="C310" s="14" t="str">
        <f>D233</f>
        <v>Overview</v>
      </c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</row>
    <row r="311" spans="1:17">
      <c r="A311" s="14"/>
      <c r="B311" s="14"/>
      <c r="C311" s="14" t="str">
        <f t="shared" ref="C311:C374" si="9">D234</f>
        <v>Grid (ALL) - DAY</v>
      </c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</row>
    <row r="312" spans="1:17">
      <c r="A312" s="14"/>
      <c r="B312" s="14"/>
      <c r="C312" s="14" t="str">
        <f t="shared" si="9"/>
        <v>Grid (ALL) - WTD</v>
      </c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</row>
    <row r="313" spans="1:17">
      <c r="A313" s="14"/>
      <c r="B313" s="14"/>
      <c r="C313" s="14" t="str">
        <f t="shared" si="9"/>
        <v>Grid (ALL) - MTD</v>
      </c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</row>
    <row r="314" spans="1:17">
      <c r="A314" s="14"/>
      <c r="B314" s="14"/>
      <c r="C314" s="14" t="str">
        <f t="shared" si="9"/>
        <v>Grid (ALL) - YTD</v>
      </c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</row>
    <row r="315" spans="1:17">
      <c r="A315" s="14"/>
      <c r="B315" s="14"/>
      <c r="C315" s="14" t="str">
        <f t="shared" si="9"/>
        <v>Grid (W Bags) - DAY</v>
      </c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</row>
    <row r="316" spans="1:17">
      <c r="A316" s="14"/>
      <c r="B316" s="14"/>
      <c r="C316" s="14" t="str">
        <f t="shared" si="9"/>
        <v>Grid (W Bags) - WTD</v>
      </c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</row>
    <row r="317" spans="1:17">
      <c r="A317" s="14"/>
      <c r="B317" s="14"/>
      <c r="C317" s="14" t="str">
        <f t="shared" si="9"/>
        <v>Grid (W Bags) - MTD</v>
      </c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</row>
    <row r="318" spans="1:17">
      <c r="A318" s="14"/>
      <c r="B318" s="14"/>
      <c r="C318" s="14" t="str">
        <f t="shared" si="9"/>
        <v>Grid (W Bags) - YTD</v>
      </c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</row>
    <row r="319" spans="1:17">
      <c r="A319" s="14"/>
      <c r="B319" s="14"/>
      <c r="C319" s="14" t="str">
        <f t="shared" si="9"/>
        <v>Grid (W SLG) - DAY</v>
      </c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</row>
    <row r="320" spans="1:17">
      <c r="A320" s="14"/>
      <c r="B320" s="14"/>
      <c r="C320" s="14" t="str">
        <f t="shared" si="9"/>
        <v>Grid (W SLG) - WTD</v>
      </c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</row>
    <row r="321" spans="1:17">
      <c r="A321" s="14"/>
      <c r="B321" s="14"/>
      <c r="C321" s="14" t="str">
        <f t="shared" si="9"/>
        <v>Grid (W SLG) - MTD</v>
      </c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</row>
    <row r="322" spans="1:17">
      <c r="A322" s="14"/>
      <c r="B322" s="14"/>
      <c r="C322" s="14" t="str">
        <f t="shared" si="9"/>
        <v>Grid (W SLG) - YTD</v>
      </c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</row>
    <row r="323" spans="1:17">
      <c r="A323" s="14"/>
      <c r="B323" s="14"/>
      <c r="C323" s="14" t="str">
        <f t="shared" si="9"/>
        <v>Grid (W RTW) - DAY</v>
      </c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</row>
    <row r="324" spans="1:17">
      <c r="A324" s="14"/>
      <c r="B324" s="14"/>
      <c r="C324" s="14" t="str">
        <f t="shared" si="9"/>
        <v>Grid (W RTW) - WTD</v>
      </c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</row>
    <row r="325" spans="1:17">
      <c r="A325" s="14"/>
      <c r="B325" s="14"/>
      <c r="C325" s="14" t="str">
        <f t="shared" si="9"/>
        <v>Grid (W RTW) - MTD</v>
      </c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</row>
    <row r="326" spans="1:17">
      <c r="A326" s="14"/>
      <c r="B326" s="14"/>
      <c r="C326" s="14" t="str">
        <f t="shared" si="9"/>
        <v>Grid (W RTW) - YTD</v>
      </c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</row>
    <row r="327" spans="1:17">
      <c r="A327" s="14"/>
      <c r="B327" s="14"/>
      <c r="C327" s="14" t="str">
        <f t="shared" si="9"/>
        <v>Grid (W SHOES) - DAY</v>
      </c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</row>
    <row r="328" spans="1:17">
      <c r="A328" s="14"/>
      <c r="B328" s="14"/>
      <c r="C328" s="14" t="str">
        <f t="shared" si="9"/>
        <v>Grid (W SHOES) - WTD</v>
      </c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</row>
    <row r="329" spans="1:17">
      <c r="A329" s="14"/>
      <c r="B329" s="14"/>
      <c r="C329" s="14" t="str">
        <f t="shared" si="9"/>
        <v>Grid (W SHOES) - MTD</v>
      </c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</row>
    <row r="330" spans="1:17">
      <c r="A330" s="14"/>
      <c r="B330" s="14"/>
      <c r="C330" s="14" t="str">
        <f t="shared" si="9"/>
        <v>Grid (W SHOES) - YTD</v>
      </c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</row>
    <row r="331" spans="1:17">
      <c r="A331" s="14"/>
      <c r="B331" s="14"/>
      <c r="C331" s="14" t="str">
        <f t="shared" si="9"/>
        <v>Grid (W ACC) - DAY</v>
      </c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</row>
    <row r="332" spans="1:17">
      <c r="A332" s="14"/>
      <c r="B332" s="14"/>
      <c r="C332" s="14" t="str">
        <f t="shared" si="9"/>
        <v>Grid (W ACC) - WTD</v>
      </c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</row>
    <row r="333" spans="1:17">
      <c r="A333" s="14"/>
      <c r="B333" s="14"/>
      <c r="C333" s="14" t="str">
        <f t="shared" si="9"/>
        <v>Grid (W ACC) - MTD</v>
      </c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</row>
    <row r="334" spans="1:17">
      <c r="A334" s="14"/>
      <c r="B334" s="14"/>
      <c r="C334" s="14" t="str">
        <f t="shared" si="9"/>
        <v>Grid (W ACC) - YTD</v>
      </c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</row>
    <row r="335" spans="1:17">
      <c r="A335" s="14"/>
      <c r="B335" s="14"/>
      <c r="C335" s="14" t="str">
        <f t="shared" si="9"/>
        <v>Grid (Watches and Jewellery) - DAY</v>
      </c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</row>
    <row r="336" spans="1:17">
      <c r="A336" s="14"/>
      <c r="B336" s="14"/>
      <c r="C336" s="14" t="str">
        <f t="shared" si="9"/>
        <v>Grid (Watches and Jewellery) - WTD</v>
      </c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</row>
    <row r="337" spans="1:17">
      <c r="A337" s="14"/>
      <c r="B337" s="14"/>
      <c r="C337" s="14" t="str">
        <f t="shared" si="9"/>
        <v>Grid (Watches and Jewellery) - MTD</v>
      </c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</row>
    <row r="338" spans="1:17">
      <c r="A338" s="14"/>
      <c r="B338" s="14"/>
      <c r="C338" s="14" t="str">
        <f t="shared" si="9"/>
        <v>Grid (Watches and Jewellery) - YTD</v>
      </c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</row>
    <row r="339" spans="1:17">
      <c r="A339" s="14"/>
      <c r="B339" s="14"/>
      <c r="C339" s="14" t="str">
        <f t="shared" si="9"/>
        <v>Grid (MENS) - DAY</v>
      </c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</row>
    <row r="340" spans="1:17">
      <c r="A340" s="14"/>
      <c r="B340" s="14"/>
      <c r="C340" s="14" t="str">
        <f t="shared" si="9"/>
        <v>Grid (MENS) - WTD</v>
      </c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</row>
    <row r="341" spans="1:17">
      <c r="A341" s="14"/>
      <c r="B341" s="14"/>
      <c r="C341" s="14" t="str">
        <f t="shared" si="9"/>
        <v>Grid (MENS) - MTD</v>
      </c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</row>
    <row r="342" spans="1:17">
      <c r="A342" s="14"/>
      <c r="B342" s="14"/>
      <c r="C342" s="14" t="str">
        <f t="shared" si="9"/>
        <v>Grid (MENS) - YTD</v>
      </c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</row>
    <row r="343" spans="1:17">
      <c r="A343" s="14"/>
      <c r="B343" s="14"/>
      <c r="C343" s="14" t="str">
        <f t="shared" si="9"/>
        <v>Grid (M BAGS) - DAY</v>
      </c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</row>
    <row r="344" spans="1:17">
      <c r="A344" s="14"/>
      <c r="B344" s="14"/>
      <c r="C344" s="14" t="str">
        <f t="shared" si="9"/>
        <v>Grid (M BAGS) - WTD</v>
      </c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</row>
    <row r="345" spans="1:17">
      <c r="A345" s="14"/>
      <c r="B345" s="14"/>
      <c r="C345" s="14" t="str">
        <f t="shared" si="9"/>
        <v>Grid (M BAGS) - MTD</v>
      </c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</row>
    <row r="346" spans="1:17">
      <c r="A346" s="14"/>
      <c r="B346" s="14"/>
      <c r="C346" s="14" t="str">
        <f t="shared" si="9"/>
        <v>Grid (M BAGS) - YTD</v>
      </c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</row>
    <row r="347" spans="1:17">
      <c r="A347" s="14"/>
      <c r="B347" s="14"/>
      <c r="C347" s="14" t="str">
        <f t="shared" si="9"/>
        <v>Grid (M SLG) - DAY</v>
      </c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</row>
    <row r="348" spans="1:17">
      <c r="A348" s="14"/>
      <c r="B348" s="14"/>
      <c r="C348" s="14" t="str">
        <f t="shared" si="9"/>
        <v>Grid (M SLG) - WTD</v>
      </c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</row>
    <row r="349" spans="1:17">
      <c r="A349" s="14"/>
      <c r="B349" s="14"/>
      <c r="C349" s="14" t="str">
        <f t="shared" si="9"/>
        <v>Grid (M SLG) - MTD</v>
      </c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</row>
    <row r="350" spans="1:17">
      <c r="A350" s="14"/>
      <c r="B350" s="14"/>
      <c r="C350" s="14" t="str">
        <f t="shared" si="9"/>
        <v>Grid (M SLG) - YTD</v>
      </c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</row>
    <row r="351" spans="1:17">
      <c r="A351" s="14"/>
      <c r="B351" s="14"/>
      <c r="C351" s="14" t="str">
        <f t="shared" si="9"/>
        <v>Grid (M RTW) - DAY</v>
      </c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</row>
    <row r="352" spans="1:17">
      <c r="A352" s="14"/>
      <c r="B352" s="14"/>
      <c r="C352" s="14" t="str">
        <f t="shared" si="9"/>
        <v>Grid (M RTW) - WTD</v>
      </c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</row>
    <row r="353" spans="1:17">
      <c r="A353" s="14"/>
      <c r="B353" s="14"/>
      <c r="C353" s="14" t="str">
        <f t="shared" si="9"/>
        <v>Grid (M RTW) - MTD</v>
      </c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</row>
    <row r="354" spans="1:17">
      <c r="A354" s="14"/>
      <c r="B354" s="14"/>
      <c r="C354" s="14" t="str">
        <f t="shared" si="9"/>
        <v>Grid (M RTW) - YTD</v>
      </c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</row>
    <row r="355" spans="1:17">
      <c r="A355" s="14"/>
      <c r="B355" s="14"/>
      <c r="C355" s="14" t="str">
        <f t="shared" si="9"/>
        <v>Grid (M SHOES) - DAY</v>
      </c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</row>
    <row r="356" spans="1:17">
      <c r="A356" s="14"/>
      <c r="B356" s="14"/>
      <c r="C356" s="14" t="str">
        <f t="shared" si="9"/>
        <v>Grid (M SHOES) - WTD</v>
      </c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</row>
    <row r="357" spans="1:17">
      <c r="A357" s="14"/>
      <c r="B357" s="14"/>
      <c r="C357" s="14" t="str">
        <f t="shared" si="9"/>
        <v>Grid (M SHOES) - MTD</v>
      </c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</row>
    <row r="358" spans="1:17">
      <c r="A358" s="14"/>
      <c r="B358" s="14"/>
      <c r="C358" s="14" t="str">
        <f t="shared" si="9"/>
        <v>Grid (M SHOES) - YTD</v>
      </c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</row>
    <row r="359" spans="1:17">
      <c r="A359" s="14"/>
      <c r="B359" s="14"/>
      <c r="C359" s="14" t="str">
        <f t="shared" si="9"/>
        <v>Grid (M Accessories) - DAY</v>
      </c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</row>
    <row r="360" spans="1:17">
      <c r="A360" s="14"/>
      <c r="B360" s="14"/>
      <c r="C360" s="14" t="str">
        <f t="shared" si="9"/>
        <v>Grid (M Accessories) - WTD</v>
      </c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</row>
    <row r="361" spans="1:17">
      <c r="A361" s="14"/>
      <c r="B361" s="14"/>
      <c r="C361" s="14" t="str">
        <f t="shared" si="9"/>
        <v>Grid (M Accessories) - MTD</v>
      </c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</row>
    <row r="362" spans="1:17">
      <c r="A362" s="14"/>
      <c r="B362" s="14"/>
      <c r="C362" s="14" t="str">
        <f t="shared" si="9"/>
        <v>Grid (M Accessories) - YTD</v>
      </c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</row>
    <row r="363" spans="1:17">
      <c r="A363" s="14"/>
      <c r="B363" s="14"/>
      <c r="C363" s="14" t="str">
        <f t="shared" si="9"/>
        <v>Grid (M Special) - DAY</v>
      </c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</row>
    <row r="364" spans="1:17">
      <c r="A364" s="14"/>
      <c r="B364" s="14"/>
      <c r="C364" s="14" t="str">
        <f t="shared" si="9"/>
        <v>Grid (M Special) - WTD</v>
      </c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</row>
    <row r="365" spans="1:17">
      <c r="A365" s="14"/>
      <c r="B365" s="14"/>
      <c r="C365" s="14" t="str">
        <f t="shared" si="9"/>
        <v>Grid (M Special) - MTD</v>
      </c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</row>
    <row r="366" spans="1:17">
      <c r="A366" s="14"/>
      <c r="B366" s="14"/>
      <c r="C366" s="14" t="str">
        <f t="shared" si="9"/>
        <v>Grid (M Special) - YTD</v>
      </c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</row>
    <row r="367" spans="1:17">
      <c r="A367" s="14"/>
      <c r="B367" s="14"/>
      <c r="C367" s="14" t="str">
        <f t="shared" si="9"/>
        <v>Grid (BABY) - DAY</v>
      </c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</row>
    <row r="368" spans="1:17">
      <c r="A368" s="14"/>
      <c r="B368" s="14"/>
      <c r="C368" s="14" t="str">
        <f t="shared" si="9"/>
        <v>Grid (BABY) - WTD</v>
      </c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</row>
    <row r="369" spans="1:17">
      <c r="A369" s="14"/>
      <c r="B369" s="14"/>
      <c r="C369" s="14" t="str">
        <f t="shared" si="9"/>
        <v>Grid (BABY) - MTD</v>
      </c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</row>
    <row r="370" spans="1:17">
      <c r="A370" s="14"/>
      <c r="B370" s="14"/>
      <c r="C370" s="14" t="str">
        <f t="shared" si="9"/>
        <v>Grid (BABY) - YTD</v>
      </c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</row>
    <row r="371" spans="1:17">
      <c r="A371" s="14"/>
      <c r="B371" s="14"/>
      <c r="C371" s="14" t="str">
        <f t="shared" si="9"/>
        <v>Grid (STORE) - DAY</v>
      </c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</row>
    <row r="372" spans="1:17">
      <c r="A372" s="14"/>
      <c r="B372" s="14"/>
      <c r="C372" s="14" t="str">
        <f t="shared" si="9"/>
        <v>Grid (STORE) - WTD</v>
      </c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</row>
    <row r="373" spans="1:17">
      <c r="A373" s="14"/>
      <c r="B373" s="14"/>
      <c r="C373" s="14" t="str">
        <f t="shared" si="9"/>
        <v>Grid (STORE) - MTD</v>
      </c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</row>
    <row r="374" spans="1:17">
      <c r="A374" s="14"/>
      <c r="B374" s="14"/>
      <c r="C374" s="14" t="str">
        <f t="shared" si="9"/>
        <v>Grid (STORE) - YTD</v>
      </c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</row>
    <row r="375" spans="1:17">
      <c r="A375" s="14"/>
      <c r="B375" s="14"/>
      <c r="C375" s="14" t="str">
        <f t="shared" ref="C375:C385" si="10">D298</f>
        <v>Grid (Business Unit) - DAY</v>
      </c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</row>
    <row r="376" spans="1:17">
      <c r="A376" s="14"/>
      <c r="B376" s="14"/>
      <c r="C376" s="14" t="str">
        <f t="shared" si="10"/>
        <v>Grid (Business Unit) - WTD</v>
      </c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</row>
    <row r="377" spans="1:17">
      <c r="A377" s="14"/>
      <c r="B377" s="14"/>
      <c r="C377" s="14" t="str">
        <f t="shared" si="10"/>
        <v>Grid (Business Unit) - MTD</v>
      </c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</row>
    <row r="378" spans="1:17">
      <c r="A378" s="14"/>
      <c r="B378" s="14"/>
      <c r="C378" s="14" t="str">
        <f t="shared" si="10"/>
        <v>Grid (Business Unit) - YTD</v>
      </c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</row>
    <row r="379" spans="1:17">
      <c r="A379" s="14"/>
      <c r="B379" s="14"/>
      <c r="C379" s="14" t="str">
        <f t="shared" si="10"/>
        <v>Top Products - DAY</v>
      </c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</row>
    <row r="380" spans="1:17">
      <c r="A380" s="14"/>
      <c r="B380" s="14"/>
      <c r="C380" s="14" t="str">
        <f t="shared" si="10"/>
        <v>Top Products - WTD</v>
      </c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</row>
    <row r="381" spans="1:17">
      <c r="A381" s="14"/>
      <c r="B381" s="14"/>
      <c r="C381" s="14" t="str">
        <f t="shared" si="10"/>
        <v>Top Products - MTD</v>
      </c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</row>
    <row r="382" spans="1:17">
      <c r="A382" s="14"/>
      <c r="B382" s="14"/>
      <c r="C382" s="14" t="str">
        <f t="shared" si="10"/>
        <v>Top Products - YTD</v>
      </c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</row>
    <row r="383" spans="1:17">
      <c r="A383" s="14"/>
      <c r="B383" s="14"/>
      <c r="C383" s="14" t="str">
        <f t="shared" si="10"/>
        <v>Histogram (Country) YTD</v>
      </c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</row>
    <row r="384" spans="1:17">
      <c r="A384" s="14"/>
      <c r="B384" s="14"/>
      <c r="C384" s="14" t="str">
        <f t="shared" si="10"/>
        <v>Histogram (Nationality) YTD</v>
      </c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</row>
    <row r="385" spans="1:17">
      <c r="A385" s="14"/>
      <c r="B385" s="14"/>
      <c r="C385" s="14" t="str">
        <f t="shared" si="10"/>
        <v>Histogram (Business Unit) YTD</v>
      </c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</row>
    <row r="386" spans="1:17">
      <c r="A386" s="14"/>
      <c r="B386" s="14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</row>
    <row r="387" spans="1:17">
      <c r="A387" s="14" t="s">
        <v>16</v>
      </c>
      <c r="B387" s="16" t="s">
        <v>25</v>
      </c>
      <c r="C387" s="14" t="s">
        <v>30</v>
      </c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</row>
    <row r="388" spans="1:17">
      <c r="A388" s="14"/>
      <c r="B388" s="14"/>
      <c r="C388" s="14" t="s">
        <v>681</v>
      </c>
      <c r="D388" s="14"/>
      <c r="E388" s="14" t="s">
        <v>682</v>
      </c>
      <c r="F388" s="14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</row>
    <row r="389" spans="1:17">
      <c r="A389" s="14"/>
      <c r="B389" s="14"/>
      <c r="C389" s="14" t="s">
        <v>155</v>
      </c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</row>
    <row r="390" spans="1:17">
      <c r="A390" s="14"/>
      <c r="B390" s="14"/>
      <c r="C390" s="14" t="s">
        <v>429</v>
      </c>
      <c r="D390" s="14"/>
      <c r="E390" s="14" t="s">
        <v>688</v>
      </c>
      <c r="F390" s="14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</row>
    <row r="391" spans="1:17">
      <c r="A391" s="14"/>
      <c r="B391" s="14"/>
      <c r="C391" s="14" t="s">
        <v>416</v>
      </c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</row>
    <row r="392" spans="1:17">
      <c r="A392" s="14"/>
      <c r="B392" s="16"/>
      <c r="C392" s="14" t="s">
        <v>147</v>
      </c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</row>
    <row r="393" spans="1:17">
      <c r="A393" s="14"/>
      <c r="B393" s="16"/>
      <c r="C393" s="14" t="s">
        <v>677</v>
      </c>
      <c r="D393" s="14"/>
      <c r="E393" s="14" t="s">
        <v>690</v>
      </c>
      <c r="F393" s="14"/>
      <c r="G393" s="14" t="s">
        <v>677</v>
      </c>
      <c r="H393" s="14"/>
      <c r="I393" s="14"/>
      <c r="J393" s="14"/>
      <c r="K393" s="14"/>
      <c r="L393" s="14"/>
      <c r="M393" s="14"/>
      <c r="N393" s="14"/>
      <c r="O393" s="14"/>
      <c r="P393" s="14"/>
      <c r="Q393" s="14"/>
    </row>
    <row r="394" spans="1:17">
      <c r="A394" s="14"/>
      <c r="B394" s="14"/>
      <c r="C394" s="14" t="s">
        <v>692</v>
      </c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</row>
    <row r="395" spans="1:17">
      <c r="A395" s="14"/>
      <c r="B395" s="14"/>
      <c r="C395" s="14" t="s">
        <v>438</v>
      </c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</row>
    <row r="396" spans="1:17">
      <c r="A396" s="14" t="s">
        <v>16</v>
      </c>
      <c r="B396" s="14" t="s">
        <v>147</v>
      </c>
      <c r="C396" s="14" t="s">
        <v>678</v>
      </c>
      <c r="D396" s="14"/>
      <c r="E396" s="14" t="s">
        <v>71</v>
      </c>
      <c r="F396" s="14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</row>
    <row r="397" spans="1:17">
      <c r="A397" s="14"/>
      <c r="B397" s="14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</row>
    <row r="398" spans="1:17">
      <c r="A398" s="14" t="s">
        <v>16</v>
      </c>
      <c r="B398" s="16" t="s">
        <v>32</v>
      </c>
      <c r="C398" s="14" t="s">
        <v>399</v>
      </c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</row>
    <row r="399" spans="1:17">
      <c r="A399" s="14"/>
      <c r="B399" s="14"/>
      <c r="C399" s="14" t="s">
        <v>417</v>
      </c>
      <c r="D399" s="14"/>
      <c r="E399" s="14" t="s">
        <v>117</v>
      </c>
      <c r="F399" s="14"/>
      <c r="G399" s="14" t="s">
        <v>922</v>
      </c>
      <c r="H399" s="14"/>
      <c r="I399" s="14"/>
      <c r="J399" s="14"/>
      <c r="K399" s="14"/>
      <c r="L399" s="14"/>
      <c r="M399" s="14"/>
      <c r="N399" s="14"/>
      <c r="O399" s="14"/>
      <c r="P399" s="14"/>
      <c r="Q399" s="14"/>
    </row>
    <row r="400" spans="1:17">
      <c r="A400" s="14"/>
      <c r="B400" s="14"/>
      <c r="C400" s="14" t="s">
        <v>118</v>
      </c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</row>
    <row r="401" spans="1:17">
      <c r="A401" s="14" t="s">
        <v>16</v>
      </c>
      <c r="B401" s="14" t="s">
        <v>118</v>
      </c>
      <c r="C401" s="14" t="s">
        <v>418</v>
      </c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</row>
    <row r="402" spans="1:17">
      <c r="A402" s="14"/>
      <c r="B402" s="14"/>
      <c r="C402" s="14" t="s">
        <v>660</v>
      </c>
      <c r="D402" s="14"/>
      <c r="E402" s="14"/>
      <c r="F402" s="14"/>
      <c r="G402" s="14" t="s">
        <v>346</v>
      </c>
      <c r="H402" s="14"/>
      <c r="I402" s="14"/>
      <c r="J402" s="14"/>
      <c r="K402" s="14"/>
      <c r="L402" s="14"/>
      <c r="M402" s="14"/>
      <c r="N402" s="14"/>
      <c r="O402" s="14"/>
      <c r="P402" s="14"/>
      <c r="Q402" s="14"/>
    </row>
    <row r="403" spans="1:17">
      <c r="A403" s="14"/>
      <c r="B403" s="14"/>
      <c r="C403" s="14" t="s">
        <v>421</v>
      </c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</row>
    <row r="404" spans="1:17">
      <c r="A404" s="14"/>
      <c r="B404" s="14"/>
      <c r="C404" s="14" t="s">
        <v>556</v>
      </c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</row>
    <row r="405" spans="1:17">
      <c r="A405" s="14"/>
      <c r="B405" s="14"/>
      <c r="C405" s="14" t="s">
        <v>424</v>
      </c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</row>
    <row r="406" spans="1:17">
      <c r="A406" s="14"/>
      <c r="B406" s="14"/>
      <c r="C406" s="14" t="s">
        <v>679</v>
      </c>
      <c r="D406" s="14"/>
      <c r="E406" s="14" t="s">
        <v>680</v>
      </c>
      <c r="F406" s="14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</row>
    <row r="407" spans="1:17">
      <c r="A407" s="14"/>
      <c r="B407" s="14"/>
      <c r="C407" s="14" t="s">
        <v>431</v>
      </c>
      <c r="D407" s="14"/>
      <c r="E407" s="14" t="s">
        <v>313</v>
      </c>
      <c r="F407" s="14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</row>
    <row r="408" spans="1:17">
      <c r="A408" s="14"/>
      <c r="B408" s="14"/>
      <c r="C408" s="14" t="s">
        <v>556</v>
      </c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</row>
    <row r="409" spans="1:17">
      <c r="A409" s="14" t="s">
        <v>16</v>
      </c>
      <c r="B409" s="14" t="s">
        <v>402</v>
      </c>
      <c r="C409" s="14" t="s">
        <v>309</v>
      </c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</row>
    <row r="410" spans="1:17">
      <c r="A410" s="14"/>
      <c r="B410" s="14"/>
      <c r="C410" s="14" t="s">
        <v>24</v>
      </c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</row>
    <row r="411" spans="1:17">
      <c r="A411" s="14"/>
      <c r="B411" s="14"/>
      <c r="C411" s="14" t="s">
        <v>311</v>
      </c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</row>
    <row r="412" spans="1:17">
      <c r="A412" s="14"/>
      <c r="B412" s="14"/>
      <c r="C412" s="14" t="s">
        <v>310</v>
      </c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</row>
    <row r="413" spans="1:17">
      <c r="A413" s="14"/>
      <c r="B413" s="14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</row>
    <row r="414" spans="1:17">
      <c r="A414" s="14"/>
      <c r="B414" s="14" t="s">
        <v>310</v>
      </c>
      <c r="C414" s="14" t="s">
        <v>309</v>
      </c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</row>
    <row r="415" spans="1:17">
      <c r="A415" s="14"/>
      <c r="B415" s="14"/>
      <c r="C415" s="14" t="s">
        <v>24</v>
      </c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</row>
    <row r="416" spans="1:17">
      <c r="A416" s="14"/>
      <c r="B416" s="14"/>
      <c r="C416" s="14" t="s">
        <v>311</v>
      </c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</row>
    <row r="417" spans="1:17">
      <c r="A417" s="14"/>
      <c r="B417" s="14"/>
      <c r="C417" s="14" t="s">
        <v>312</v>
      </c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</row>
    <row r="418" spans="1:17">
      <c r="A418" s="14"/>
      <c r="B418" s="14"/>
      <c r="C418" s="14" t="s">
        <v>313</v>
      </c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</row>
    <row r="419" spans="1:17">
      <c r="A419" s="14"/>
      <c r="B419" s="14" t="s">
        <v>316</v>
      </c>
      <c r="C419" s="14" t="s">
        <v>315</v>
      </c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</row>
    <row r="420" spans="1:17">
      <c r="A420" s="14"/>
      <c r="B420" s="14"/>
      <c r="C420" s="14" t="s">
        <v>314</v>
      </c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</row>
    <row r="421" spans="1:17">
      <c r="A421" s="14"/>
      <c r="B421" s="14"/>
      <c r="C421" s="14" t="s">
        <v>151</v>
      </c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</row>
    <row r="422" spans="1:17">
      <c r="A422" s="14"/>
      <c r="B422" s="14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</row>
    <row r="423" spans="1:17">
      <c r="A423" s="14" t="s">
        <v>15</v>
      </c>
      <c r="B423" s="14" t="s">
        <v>357</v>
      </c>
      <c r="C423" s="14" t="s">
        <v>359</v>
      </c>
      <c r="D423" s="14" t="s">
        <v>627</v>
      </c>
      <c r="E423" s="14"/>
      <c r="F423" s="14"/>
      <c r="G423" s="14" t="s">
        <v>361</v>
      </c>
      <c r="H423" s="14"/>
      <c r="I423" s="14"/>
      <c r="J423" s="14"/>
      <c r="K423" s="14"/>
      <c r="L423" s="14"/>
      <c r="M423" s="14"/>
      <c r="N423" s="14"/>
      <c r="O423" s="14"/>
      <c r="P423" s="14"/>
      <c r="Q423" s="14"/>
    </row>
    <row r="424" spans="1:17">
      <c r="A424" s="14"/>
      <c r="B424" s="14"/>
      <c r="C424" s="14" t="s">
        <v>252</v>
      </c>
      <c r="D424" s="14" t="s">
        <v>626</v>
      </c>
      <c r="E424" s="14"/>
      <c r="F424" s="14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</row>
    <row r="425" spans="1:17">
      <c r="A425" s="14"/>
      <c r="B425" s="14"/>
      <c r="C425" s="14" t="s">
        <v>364</v>
      </c>
      <c r="D425" s="14" t="s">
        <v>627</v>
      </c>
      <c r="E425" s="14"/>
      <c r="F425" s="14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</row>
    <row r="426" spans="1:17">
      <c r="A426" s="14"/>
      <c r="B426" s="14"/>
      <c r="C426" s="14" t="s">
        <v>366</v>
      </c>
      <c r="D426" s="14" t="str">
        <f>"D:/OneDrive-Sync/Christian Dior Couture/APAC Management - Reports - Reports/iCristal/Images/"&amp;const_VM&amp;"/"</f>
        <v>D:/OneDrive-Sync/Christian Dior Couture/APAC Management - Reports - Reports/iCristal/Images/VM24/</v>
      </c>
      <c r="E426" s="14"/>
      <c r="F426" s="14"/>
      <c r="G426" s="14" t="s">
        <v>686</v>
      </c>
      <c r="H426" s="14"/>
      <c r="I426" s="14"/>
      <c r="J426" s="14"/>
      <c r="K426" s="14"/>
      <c r="L426" s="14"/>
      <c r="M426" s="14"/>
      <c r="N426" s="14"/>
      <c r="O426" s="14"/>
      <c r="P426" s="14"/>
      <c r="Q426" s="14"/>
    </row>
    <row r="427" spans="1:17">
      <c r="A427" s="14"/>
      <c r="B427" s="14"/>
      <c r="C427" s="14"/>
      <c r="D427" s="14"/>
      <c r="E427" s="14"/>
      <c r="F427" s="14"/>
      <c r="G427" s="14" t="s">
        <v>753</v>
      </c>
      <c r="H427" s="14"/>
      <c r="I427" s="14"/>
      <c r="J427" s="14"/>
      <c r="K427" s="14"/>
      <c r="L427" s="14"/>
      <c r="M427" s="14"/>
      <c r="N427" s="14"/>
      <c r="O427" s="14"/>
      <c r="P427" s="14"/>
      <c r="Q427" s="14"/>
    </row>
    <row r="428" spans="1:17">
      <c r="A428" s="14" t="s">
        <v>15</v>
      </c>
      <c r="B428" s="14" t="s">
        <v>404</v>
      </c>
      <c r="C428" s="14" t="s">
        <v>405</v>
      </c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</row>
    <row r="429" spans="1:17">
      <c r="A429" s="14"/>
      <c r="B429" s="14"/>
      <c r="C429" s="14" t="s">
        <v>406</v>
      </c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</row>
    <row r="430" spans="1:17">
      <c r="A430" s="14"/>
      <c r="B430" s="14"/>
      <c r="C430" s="14" t="s">
        <v>408</v>
      </c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</row>
    <row r="431" spans="1:17">
      <c r="A431" s="14"/>
      <c r="B431" s="14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</row>
    <row r="432" spans="1:17">
      <c r="A432" s="14" t="s">
        <v>16</v>
      </c>
      <c r="B432" s="14" t="s">
        <v>272</v>
      </c>
      <c r="C432" s="14" t="s">
        <v>548</v>
      </c>
      <c r="D432" s="14"/>
      <c r="E432" s="14" t="s">
        <v>430</v>
      </c>
      <c r="F432" s="14"/>
      <c r="G432" s="14" t="s">
        <v>287</v>
      </c>
      <c r="H432" s="14"/>
      <c r="I432" s="14"/>
      <c r="J432" s="14"/>
      <c r="K432" s="14"/>
      <c r="L432" s="14"/>
      <c r="M432" s="14"/>
      <c r="N432" s="14"/>
      <c r="O432" s="14"/>
      <c r="P432" s="14"/>
      <c r="Q432" s="14"/>
    </row>
    <row r="433" spans="1:17">
      <c r="A433" s="14" t="s">
        <v>16</v>
      </c>
      <c r="B433" s="14" t="s">
        <v>273</v>
      </c>
      <c r="C433" s="14" t="s">
        <v>288</v>
      </c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</row>
    <row r="434" spans="1:17">
      <c r="A434" s="14" t="s">
        <v>16</v>
      </c>
      <c r="B434" s="14" t="s">
        <v>274</v>
      </c>
      <c r="C434" s="14" t="s">
        <v>289</v>
      </c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</row>
    <row r="435" spans="1:17">
      <c r="A435" s="14" t="s">
        <v>16</v>
      </c>
      <c r="B435" s="14" t="s">
        <v>275</v>
      </c>
      <c r="C435" s="14" t="s">
        <v>290</v>
      </c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</row>
    <row r="436" spans="1:17">
      <c r="A436" s="14" t="s">
        <v>16</v>
      </c>
      <c r="B436" s="14" t="s">
        <v>628</v>
      </c>
      <c r="C436" s="14" t="s">
        <v>629</v>
      </c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</row>
    <row r="437" spans="1:17">
      <c r="A437" s="14" t="s">
        <v>16</v>
      </c>
      <c r="B437" s="14" t="s">
        <v>630</v>
      </c>
      <c r="C437" s="14" t="s">
        <v>631</v>
      </c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</row>
    <row r="438" spans="1:17">
      <c r="A438" s="14" t="s">
        <v>16</v>
      </c>
      <c r="B438" s="14" t="s">
        <v>276</v>
      </c>
      <c r="C438" s="14" t="s">
        <v>291</v>
      </c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</row>
    <row r="439" spans="1:17">
      <c r="A439" s="14" t="s">
        <v>16</v>
      </c>
      <c r="B439" s="14" t="s">
        <v>277</v>
      </c>
      <c r="C439" s="14" t="s">
        <v>292</v>
      </c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</row>
    <row r="440" spans="1:17">
      <c r="A440" s="14" t="s">
        <v>16</v>
      </c>
      <c r="B440" s="14" t="s">
        <v>278</v>
      </c>
      <c r="C440" s="14" t="s">
        <v>293</v>
      </c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</row>
    <row r="441" spans="1:17">
      <c r="A441" s="14" t="s">
        <v>16</v>
      </c>
      <c r="B441" s="14" t="s">
        <v>279</v>
      </c>
      <c r="C441" s="14" t="s">
        <v>294</v>
      </c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</row>
    <row r="442" spans="1:17">
      <c r="A442" s="14" t="s">
        <v>16</v>
      </c>
      <c r="B442" s="14" t="s">
        <v>280</v>
      </c>
      <c r="C442" s="14" t="s">
        <v>295</v>
      </c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</row>
    <row r="443" spans="1:17">
      <c r="A443" s="14" t="s">
        <v>16</v>
      </c>
      <c r="B443" s="14" t="s">
        <v>281</v>
      </c>
      <c r="C443" s="14" t="s">
        <v>296</v>
      </c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</row>
    <row r="444" spans="1:17">
      <c r="A444" s="14" t="s">
        <v>16</v>
      </c>
      <c r="B444" s="14" t="s">
        <v>282</v>
      </c>
      <c r="C444" s="14" t="s">
        <v>297</v>
      </c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</row>
    <row r="445" spans="1:17">
      <c r="A445" s="14" t="s">
        <v>16</v>
      </c>
      <c r="B445" s="14" t="s">
        <v>283</v>
      </c>
      <c r="C445" s="14" t="s">
        <v>298</v>
      </c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</row>
    <row r="446" spans="1:17">
      <c r="A446" s="14" t="s">
        <v>16</v>
      </c>
      <c r="B446" s="14" t="s">
        <v>284</v>
      </c>
      <c r="C446" s="14" t="s">
        <v>299</v>
      </c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</row>
    <row r="447" spans="1:17">
      <c r="A447" s="14" t="s">
        <v>16</v>
      </c>
      <c r="B447" s="14" t="s">
        <v>591</v>
      </c>
      <c r="C447" s="14" t="s">
        <v>601</v>
      </c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</row>
    <row r="448" spans="1:17">
      <c r="A448" s="14" t="s">
        <v>16</v>
      </c>
      <c r="B448" s="14" t="s">
        <v>592</v>
      </c>
      <c r="C448" s="14" t="s">
        <v>606</v>
      </c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</row>
    <row r="449" spans="1:17">
      <c r="A449" s="14" t="s">
        <v>16</v>
      </c>
      <c r="B449" s="14" t="s">
        <v>593</v>
      </c>
      <c r="C449" s="14" t="s">
        <v>602</v>
      </c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</row>
    <row r="450" spans="1:17">
      <c r="A450" s="14" t="s">
        <v>16</v>
      </c>
      <c r="B450" s="14" t="s">
        <v>615</v>
      </c>
      <c r="C450" s="14" t="s">
        <v>613</v>
      </c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</row>
    <row r="451" spans="1:17">
      <c r="A451" s="14" t="s">
        <v>16</v>
      </c>
      <c r="B451" s="14" t="s">
        <v>616</v>
      </c>
      <c r="C451" s="14" t="s">
        <v>614</v>
      </c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</row>
    <row r="452" spans="1:17">
      <c r="A452" s="14" t="s">
        <v>16</v>
      </c>
      <c r="B452" s="14" t="s">
        <v>594</v>
      </c>
      <c r="C452" s="14" t="s">
        <v>603</v>
      </c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</row>
    <row r="453" spans="1:17">
      <c r="A453" s="14" t="s">
        <v>16</v>
      </c>
      <c r="B453" s="14" t="s">
        <v>595</v>
      </c>
      <c r="C453" s="14" t="s">
        <v>608</v>
      </c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</row>
    <row r="454" spans="1:17">
      <c r="A454" s="14" t="s">
        <v>16</v>
      </c>
      <c r="B454" s="14" t="s">
        <v>596</v>
      </c>
      <c r="C454" s="14" t="s">
        <v>604</v>
      </c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</row>
    <row r="455" spans="1:17">
      <c r="A455" s="14" t="s">
        <v>16</v>
      </c>
      <c r="B455" s="14" t="s">
        <v>597</v>
      </c>
      <c r="C455" s="14" t="s">
        <v>607</v>
      </c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</row>
    <row r="456" spans="1:17">
      <c r="A456" s="14" t="s">
        <v>16</v>
      </c>
      <c r="B456" s="14" t="s">
        <v>598</v>
      </c>
      <c r="C456" s="14" t="s">
        <v>609</v>
      </c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</row>
    <row r="457" spans="1:17">
      <c r="A457" s="14" t="s">
        <v>16</v>
      </c>
      <c r="B457" s="14" t="s">
        <v>599</v>
      </c>
      <c r="C457" s="14" t="s">
        <v>610</v>
      </c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</row>
    <row r="458" spans="1:17">
      <c r="A458" s="14" t="s">
        <v>16</v>
      </c>
      <c r="B458" s="14" t="s">
        <v>600</v>
      </c>
      <c r="C458" s="14" t="s">
        <v>605</v>
      </c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</row>
    <row r="459" spans="1:17">
      <c r="A459" s="14" t="s">
        <v>16</v>
      </c>
      <c r="B459" s="14" t="s">
        <v>618</v>
      </c>
      <c r="C459" s="14" t="s">
        <v>619</v>
      </c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</row>
    <row r="460" spans="1:17">
      <c r="A460" s="14" t="s">
        <v>16</v>
      </c>
      <c r="B460" s="14" t="s">
        <v>285</v>
      </c>
      <c r="C460" s="14" t="s">
        <v>300</v>
      </c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</row>
    <row r="461" spans="1:17">
      <c r="A461" s="14" t="s">
        <v>16</v>
      </c>
      <c r="B461" s="14" t="s">
        <v>286</v>
      </c>
      <c r="C461" s="14" t="s">
        <v>301</v>
      </c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</row>
    <row r="462" spans="1:17">
      <c r="A462" s="14"/>
      <c r="B462" s="14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</row>
    <row r="463" spans="1:17">
      <c r="A463" s="14" t="s">
        <v>15</v>
      </c>
      <c r="B463" s="14" t="s">
        <v>9</v>
      </c>
      <c r="C463" s="14" t="s">
        <v>19</v>
      </c>
      <c r="D463" s="14" t="s">
        <v>20</v>
      </c>
      <c r="E463" s="14"/>
      <c r="F463" s="14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</row>
    <row r="464" spans="1:17">
      <c r="A464" s="14"/>
      <c r="B464" s="14"/>
      <c r="C464" s="14" t="s">
        <v>153</v>
      </c>
      <c r="D464" s="14" t="s">
        <v>154</v>
      </c>
      <c r="E464" s="14"/>
      <c r="F464" s="14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</row>
    <row r="465" spans="1:17">
      <c r="A465" s="14" t="s">
        <v>16</v>
      </c>
      <c r="B465" s="16" t="s">
        <v>0</v>
      </c>
      <c r="C465" s="14" t="s">
        <v>21</v>
      </c>
      <c r="D465" s="15"/>
      <c r="E465" s="14" t="s">
        <v>397</v>
      </c>
      <c r="F465" s="14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</row>
    <row r="466" spans="1:17">
      <c r="A466" s="14"/>
      <c r="B466" s="14"/>
      <c r="C466" s="14" t="s">
        <v>1</v>
      </c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</row>
    <row r="467" spans="1:17">
      <c r="A467" s="14"/>
      <c r="B467" s="14"/>
      <c r="C467" s="14" t="s">
        <v>338</v>
      </c>
      <c r="D467" s="14"/>
      <c r="E467" s="14" t="s">
        <v>104</v>
      </c>
      <c r="F467" s="14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</row>
    <row r="468" spans="1:17">
      <c r="A468" s="14"/>
      <c r="B468" s="14"/>
      <c r="C468" s="14" t="s">
        <v>107</v>
      </c>
      <c r="D468" s="14"/>
      <c r="E468" s="14" t="s">
        <v>108</v>
      </c>
      <c r="F468" s="14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</row>
    <row r="469" spans="1:17">
      <c r="A469" s="14" t="s">
        <v>16</v>
      </c>
      <c r="B469" s="1" t="s">
        <v>107</v>
      </c>
      <c r="C469" s="14" t="s">
        <v>440</v>
      </c>
      <c r="D469" s="14"/>
      <c r="E469" s="1" t="s">
        <v>343</v>
      </c>
      <c r="F469" s="14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</row>
    <row r="470" spans="1:17">
      <c r="A470" s="14"/>
      <c r="B470" s="1"/>
      <c r="C470" s="14" t="s">
        <v>22</v>
      </c>
      <c r="D470" s="14"/>
      <c r="E470" s="1" t="s">
        <v>105</v>
      </c>
      <c r="F470" s="14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</row>
    <row r="471" spans="1:17">
      <c r="A471" s="14"/>
      <c r="B471" s="14"/>
      <c r="C471" s="14" t="s">
        <v>34</v>
      </c>
      <c r="D471" s="14"/>
      <c r="E471" s="14" t="s">
        <v>106</v>
      </c>
      <c r="F471" s="14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</row>
    <row r="472" spans="1:17">
      <c r="A472" s="14"/>
      <c r="B472" s="14"/>
      <c r="C472" s="14" t="s">
        <v>411</v>
      </c>
      <c r="D472" s="14"/>
      <c r="E472" s="14" t="s">
        <v>38</v>
      </c>
      <c r="F472" s="14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</row>
    <row r="473" spans="1:17">
      <c r="A473" s="14"/>
      <c r="B473" s="14"/>
      <c r="C473" s="14" t="s">
        <v>7</v>
      </c>
      <c r="D473" s="14"/>
      <c r="E473" s="14" t="s">
        <v>110</v>
      </c>
      <c r="F473" s="14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</row>
    <row r="474" spans="1:17">
      <c r="A474" s="14"/>
      <c r="B474" s="14"/>
      <c r="C474" s="14" t="s">
        <v>449</v>
      </c>
      <c r="D474" s="14"/>
      <c r="E474" s="14" t="s">
        <v>450</v>
      </c>
      <c r="F474" s="14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</row>
    <row r="475" spans="1:17">
      <c r="A475" s="14"/>
      <c r="B475" s="14"/>
      <c r="C475" s="14" t="s">
        <v>452</v>
      </c>
      <c r="D475" s="14"/>
      <c r="E475" s="14" t="s">
        <v>453</v>
      </c>
      <c r="F475" s="14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</row>
    <row r="476" spans="1:17">
      <c r="A476" s="14"/>
      <c r="B476" s="14"/>
      <c r="C476" s="14" t="s">
        <v>344</v>
      </c>
      <c r="D476" s="14"/>
      <c r="E476" s="14" t="s">
        <v>111</v>
      </c>
      <c r="F476" s="14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</row>
    <row r="477" spans="1:17">
      <c r="A477" s="14"/>
      <c r="B477" s="14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</row>
    <row r="478" spans="1:17">
      <c r="A478" s="14" t="s">
        <v>16</v>
      </c>
      <c r="B478" s="14" t="s">
        <v>410</v>
      </c>
      <c r="C478" s="14" t="s">
        <v>37</v>
      </c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</row>
    <row r="479" spans="1:17">
      <c r="A479" s="14"/>
      <c r="B479" s="14"/>
      <c r="C479" s="14" t="s">
        <v>456</v>
      </c>
      <c r="D479" s="14"/>
      <c r="E479" s="14" t="s">
        <v>455</v>
      </c>
      <c r="F479" s="14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</row>
    <row r="480" spans="1:17">
      <c r="A480" s="14"/>
      <c r="B480" s="14"/>
      <c r="C480" s="14" t="s">
        <v>27</v>
      </c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</row>
    <row r="481" spans="1:17">
      <c r="A481" s="14"/>
      <c r="B481" s="14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</row>
    <row r="482" spans="1:17">
      <c r="A482" s="14" t="s">
        <v>16</v>
      </c>
      <c r="B482" s="14" t="s">
        <v>451</v>
      </c>
      <c r="C482" s="14" t="s">
        <v>454</v>
      </c>
      <c r="D482" s="14"/>
      <c r="E482" s="14" t="s">
        <v>455</v>
      </c>
      <c r="F482" s="14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</row>
    <row r="483" spans="1:17">
      <c r="A483" s="14"/>
      <c r="B483" s="14"/>
      <c r="C483" s="14" t="s">
        <v>27</v>
      </c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</row>
    <row r="484" spans="1:17">
      <c r="A484" s="14"/>
      <c r="B484" s="14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</row>
    <row r="485" spans="1:17">
      <c r="A485" s="14" t="s">
        <v>16</v>
      </c>
      <c r="B485" s="16" t="s">
        <v>155</v>
      </c>
      <c r="C485" s="14" t="s">
        <v>156</v>
      </c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</row>
    <row r="486" spans="1:17">
      <c r="A486" s="14"/>
      <c r="B486" s="16"/>
      <c r="C486" s="14" t="s">
        <v>305</v>
      </c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</row>
    <row r="487" spans="1:17">
      <c r="A487" s="14" t="s">
        <v>16</v>
      </c>
      <c r="B487" s="14" t="s">
        <v>305</v>
      </c>
      <c r="C487" s="14" t="s">
        <v>407</v>
      </c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</row>
    <row r="488" spans="1:17">
      <c r="A488" s="14"/>
      <c r="B488" s="14"/>
      <c r="C488" s="14" t="s">
        <v>302</v>
      </c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</row>
    <row r="489" spans="1:17">
      <c r="A489" s="14"/>
      <c r="B489" s="14"/>
      <c r="C489" s="14" t="s">
        <v>303</v>
      </c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</row>
    <row r="490" spans="1:17">
      <c r="A490" s="14"/>
      <c r="B490" s="14"/>
      <c r="C490" s="14" t="s">
        <v>403</v>
      </c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</row>
    <row r="491" spans="1:17">
      <c r="A491" s="14"/>
      <c r="B491" s="14"/>
      <c r="C491" s="14" t="s">
        <v>409</v>
      </c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</row>
    <row r="492" spans="1:17">
      <c r="A492" s="14"/>
      <c r="B492" s="14"/>
      <c r="C492" s="14" t="s">
        <v>412</v>
      </c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</row>
    <row r="493" spans="1:17">
      <c r="A493" s="14"/>
      <c r="B493" s="14"/>
      <c r="C493" s="14" t="s">
        <v>304</v>
      </c>
      <c r="D493" s="14"/>
      <c r="E493" s="14" t="s">
        <v>104</v>
      </c>
      <c r="F493" s="14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</row>
    <row r="494" spans="1:17">
      <c r="A494" s="14"/>
      <c r="B494" s="14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</row>
    <row r="495" spans="1:17">
      <c r="A495" s="14" t="s">
        <v>16</v>
      </c>
      <c r="B495" s="14" t="s">
        <v>413</v>
      </c>
      <c r="C495" s="14" t="s">
        <v>37</v>
      </c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</row>
    <row r="496" spans="1:17">
      <c r="A496" s="14"/>
      <c r="B496" s="14"/>
      <c r="C496" s="14" t="s">
        <v>414</v>
      </c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</row>
    <row r="497" spans="1:17">
      <c r="A497" s="14"/>
      <c r="B497" s="14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</row>
    <row r="498" spans="1:17">
      <c r="A498" s="14" t="s">
        <v>16</v>
      </c>
      <c r="B498" s="14" t="s">
        <v>429</v>
      </c>
      <c r="C498" s="14" t="s">
        <v>425</v>
      </c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</row>
    <row r="499" spans="1:17">
      <c r="A499" s="14"/>
      <c r="B499" s="14"/>
      <c r="C499" s="14" t="s">
        <v>428</v>
      </c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</row>
    <row r="500" spans="1:17">
      <c r="A500" s="14"/>
      <c r="B500" s="14"/>
      <c r="C500" s="14" t="s">
        <v>129</v>
      </c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</row>
    <row r="501" spans="1:17">
      <c r="A501" s="14"/>
      <c r="B501" s="14"/>
      <c r="C501" s="14" t="s">
        <v>427</v>
      </c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</row>
    <row r="502" spans="1:17">
      <c r="A502" s="14"/>
      <c r="B502" s="14"/>
      <c r="C502" s="14" t="s">
        <v>426</v>
      </c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</row>
    <row r="503" spans="1:17">
      <c r="A503" s="14"/>
      <c r="B503" s="14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</row>
    <row r="504" spans="1:17">
      <c r="A504" s="14"/>
      <c r="B504" s="14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</row>
    <row r="505" spans="1:17">
      <c r="A505" s="14"/>
      <c r="B505" s="14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</row>
    <row r="506" spans="1:17">
      <c r="A506" s="14"/>
      <c r="B506" s="14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</row>
    <row r="507" spans="1:17">
      <c r="A507" s="14"/>
      <c r="B507" s="14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</row>
    <row r="508" spans="1:17">
      <c r="A508" s="14"/>
      <c r="B508" s="14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</row>
    <row r="509" spans="1:17">
      <c r="A509" s="14"/>
      <c r="B509" s="14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</row>
    <row r="510" spans="1:17">
      <c r="A510" s="14"/>
      <c r="B510" s="14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</row>
    <row r="511" spans="1:17">
      <c r="A511" s="14"/>
      <c r="B511" s="14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</row>
    <row r="512" spans="1:17">
      <c r="A512" s="14"/>
      <c r="B512" s="14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</row>
    <row r="513" spans="1:17">
      <c r="A513" s="14"/>
      <c r="B513" s="14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</row>
    <row r="514" spans="1:17">
      <c r="A514" s="14"/>
      <c r="B514" s="14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</row>
    <row r="515" spans="1:17">
      <c r="A515" s="14"/>
      <c r="B515" s="14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</row>
    <row r="516" spans="1:17">
      <c r="A516" s="14"/>
      <c r="B516" s="14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</row>
    <row r="517" spans="1:17">
      <c r="A517" s="14"/>
      <c r="B517" s="14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</row>
    <row r="518" spans="1:17">
      <c r="A518" s="14"/>
      <c r="B518" s="14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</row>
    <row r="519" spans="1:17">
      <c r="A519" s="14"/>
      <c r="B519" s="14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</row>
    <row r="520" spans="1:17">
      <c r="A520" s="14"/>
      <c r="B520" s="14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</row>
    <row r="521" spans="1:17">
      <c r="A521" s="14"/>
      <c r="B521" s="14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</row>
    <row r="522" spans="1:17">
      <c r="A522" s="14"/>
      <c r="B522" s="14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</row>
    <row r="523" spans="1:17">
      <c r="A523" s="14"/>
      <c r="B523" s="14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</row>
    <row r="524" spans="1:17">
      <c r="A524" s="14"/>
      <c r="B524" s="14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</row>
    <row r="525" spans="1:17">
      <c r="A525" s="14"/>
      <c r="B525" s="14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</row>
    <row r="526" spans="1:17">
      <c r="A526" s="14"/>
      <c r="B526" s="14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</row>
    <row r="527" spans="1:17">
      <c r="A527" s="14"/>
      <c r="B527" s="14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</row>
    <row r="528" spans="1:17">
      <c r="A528" s="14"/>
      <c r="B528" s="14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</row>
    <row r="529" spans="1:17">
      <c r="A529" s="14"/>
      <c r="B529" s="14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</row>
    <row r="530" spans="1:17">
      <c r="A530" s="14"/>
      <c r="B530" s="14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</row>
    <row r="531" spans="1:17">
      <c r="A531" s="14"/>
      <c r="B531" s="14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</row>
    <row r="532" spans="1:17">
      <c r="A532" s="14"/>
      <c r="B532" s="14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</row>
    <row r="533" spans="1:17">
      <c r="A533" s="14"/>
      <c r="B533" s="14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</row>
    <row r="534" spans="1:17">
      <c r="A534" s="14"/>
      <c r="B534" s="14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</row>
    <row r="535" spans="1:17">
      <c r="A535" s="14"/>
      <c r="B535" s="14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</row>
    <row r="536" spans="1:17">
      <c r="A536" s="14"/>
      <c r="B536" s="14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</row>
    <row r="537" spans="1:17">
      <c r="A537" s="14"/>
      <c r="B537" s="14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</row>
    <row r="538" spans="1:17">
      <c r="A538" s="14"/>
      <c r="B538" s="14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</row>
    <row r="539" spans="1:17">
      <c r="A539" s="14"/>
      <c r="B539" s="14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</row>
    <row r="540" spans="1:17">
      <c r="A540" s="14"/>
      <c r="B540" s="14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</row>
    <row r="541" spans="1:17">
      <c r="A541" s="14"/>
      <c r="B541" s="14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</row>
    <row r="542" spans="1:17">
      <c r="A542" s="14"/>
      <c r="B542" s="14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</row>
    <row r="543" spans="1:17">
      <c r="A543" s="14"/>
      <c r="B543" s="14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</row>
    <row r="544" spans="1:17">
      <c r="A544" s="14"/>
      <c r="B544" s="14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</row>
    <row r="545" spans="1:17">
      <c r="A545" s="14"/>
      <c r="B545" s="14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</row>
    <row r="546" spans="1:17">
      <c r="A546" s="14"/>
      <c r="B546" s="14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</row>
    <row r="547" spans="1:17">
      <c r="A547" s="14"/>
      <c r="B547" s="14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</row>
    <row r="548" spans="1:17">
      <c r="A548" s="14"/>
      <c r="B548" s="14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</row>
    <row r="549" spans="1:17">
      <c r="A549" s="14"/>
      <c r="B549" s="14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</row>
    <row r="550" spans="1:17">
      <c r="A550" s="14"/>
      <c r="B550" s="14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</row>
    <row r="551" spans="1:17">
      <c r="A551" s="14"/>
      <c r="B551" s="14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</row>
    <row r="552" spans="1:17">
      <c r="A552" s="14"/>
      <c r="B552" s="14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</row>
    <row r="553" spans="1:17">
      <c r="A553" s="14"/>
      <c r="B553" s="14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</row>
    <row r="554" spans="1:17">
      <c r="A554" s="14"/>
      <c r="B554" s="14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</row>
    <row r="555" spans="1:17">
      <c r="A555" s="14"/>
      <c r="B555" s="14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</row>
    <row r="556" spans="1:17">
      <c r="A556" s="14"/>
      <c r="B556" s="14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</row>
    <row r="557" spans="1:17">
      <c r="A557" s="14"/>
      <c r="B557" s="14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</row>
    <row r="558" spans="1:17">
      <c r="A558" s="14"/>
      <c r="B558" s="14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</row>
    <row r="559" spans="1:17">
      <c r="A559" s="14"/>
      <c r="B559" s="14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</row>
    <row r="560" spans="1:17">
      <c r="A560" s="14"/>
      <c r="B560" s="14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</row>
    <row r="561" spans="1:17">
      <c r="A561" s="14"/>
      <c r="B561" s="14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</row>
    <row r="562" spans="1:17">
      <c r="A562" s="14"/>
      <c r="B562" s="14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</row>
    <row r="563" spans="1:17">
      <c r="A563" s="14"/>
      <c r="B563" s="14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</row>
    <row r="564" spans="1:17">
      <c r="A564" s="14"/>
      <c r="B564" s="14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</row>
    <row r="565" spans="1:17">
      <c r="A565" s="14"/>
      <c r="B565" s="14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</row>
    <row r="566" spans="1:17">
      <c r="A566" s="14"/>
      <c r="B566" s="14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</row>
    <row r="567" spans="1:17">
      <c r="A567" s="14"/>
      <c r="B567" s="14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</row>
    <row r="568" spans="1:17">
      <c r="A568" s="14"/>
      <c r="B568" s="14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</row>
    <row r="569" spans="1:17">
      <c r="A569" s="14"/>
      <c r="B569" s="14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</row>
    <row r="570" spans="1:17">
      <c r="A570" s="14"/>
      <c r="B570" s="14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</row>
    <row r="571" spans="1:17">
      <c r="A571" s="14"/>
      <c r="B571" s="14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</row>
    <row r="572" spans="1:17">
      <c r="A572" s="14"/>
      <c r="B572" s="14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</row>
    <row r="573" spans="1:17">
      <c r="A573" s="14"/>
      <c r="B573" s="14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</row>
    <row r="574" spans="1:17">
      <c r="A574" s="14"/>
      <c r="B574" s="14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</row>
    <row r="575" spans="1:17">
      <c r="A575" s="14"/>
      <c r="B575" s="14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</row>
    <row r="576" spans="1:17">
      <c r="A576" s="14"/>
      <c r="B576" s="14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</row>
    <row r="577" spans="1:17">
      <c r="A577" s="14"/>
      <c r="B577" s="14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</row>
    <row r="578" spans="1:17">
      <c r="A578" s="14"/>
      <c r="B578" s="14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</row>
    <row r="579" spans="1:17">
      <c r="A579" s="14"/>
      <c r="B579" s="14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</row>
    <row r="580" spans="1:17">
      <c r="A580" s="14"/>
      <c r="B580" s="14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</row>
    <row r="581" spans="1:17">
      <c r="A581" s="14"/>
      <c r="B581" s="14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</row>
    <row r="582" spans="1:17">
      <c r="A582" s="14"/>
      <c r="B582" s="14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</row>
    <row r="583" spans="1:17">
      <c r="A583" s="14"/>
      <c r="B583" s="14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</row>
    <row r="584" spans="1:17">
      <c r="A584" s="14"/>
      <c r="B584" s="14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</row>
    <row r="585" spans="1:17">
      <c r="A585" s="14"/>
      <c r="B585" s="14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</row>
    <row r="586" spans="1:17">
      <c r="A586" s="14"/>
      <c r="B586" s="14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</row>
    <row r="587" spans="1:17">
      <c r="A587" s="14"/>
      <c r="B587" s="14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</row>
    <row r="588" spans="1:17">
      <c r="A588" s="14"/>
      <c r="B588" s="14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</row>
    <row r="589" spans="1:17">
      <c r="A589" s="14"/>
      <c r="B589" s="14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</row>
    <row r="590" spans="1:17">
      <c r="A590" s="14"/>
      <c r="B590" s="14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</row>
    <row r="591" spans="1:17">
      <c r="A591" s="14"/>
      <c r="B591" s="14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</row>
    <row r="592" spans="1:17">
      <c r="A592" s="14"/>
      <c r="B592" s="14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</row>
    <row r="593" spans="1:17">
      <c r="A593" s="14"/>
      <c r="B593" s="14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</row>
    <row r="594" spans="1:17">
      <c r="A594" s="14"/>
      <c r="B594" s="14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</row>
    <row r="595" spans="1:17">
      <c r="A595" s="14"/>
      <c r="B595" s="14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</row>
    <row r="596" spans="1:17">
      <c r="A596" s="14"/>
      <c r="B596" s="14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</row>
    <row r="597" spans="1:17">
      <c r="A597" s="14"/>
      <c r="B597" s="14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</row>
    <row r="598" spans="1:17">
      <c r="A598" s="14"/>
      <c r="B598" s="14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</row>
    <row r="599" spans="1:17">
      <c r="A599" s="14"/>
      <c r="B599" s="14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</row>
    <row r="600" spans="1:17">
      <c r="A600" s="14"/>
      <c r="B600" s="14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</row>
    <row r="601" spans="1:17">
      <c r="A601" s="14"/>
      <c r="B601" s="14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</row>
    <row r="602" spans="1:17">
      <c r="A602" s="14"/>
      <c r="B602" s="14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</row>
    <row r="603" spans="1:17">
      <c r="A603" s="14"/>
      <c r="B603" s="14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</row>
    <row r="604" spans="1:17">
      <c r="A604" s="14"/>
      <c r="B604" s="14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</row>
    <row r="605" spans="1:17">
      <c r="A605" s="14"/>
      <c r="B605" s="14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</row>
    <row r="606" spans="1:17">
      <c r="A606" s="14"/>
      <c r="B606" s="14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</row>
    <row r="607" spans="1:17">
      <c r="A607" s="14"/>
      <c r="B607" s="14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</row>
    <row r="608" spans="1:17">
      <c r="A608" s="14"/>
      <c r="B608" s="14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</row>
    <row r="609" spans="1:17">
      <c r="A609" s="14"/>
      <c r="B609" s="14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</row>
    <row r="610" spans="1:17">
      <c r="A610" s="14"/>
      <c r="B610" s="14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</row>
    <row r="611" spans="1:17">
      <c r="A611" s="14"/>
      <c r="B611" s="14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</row>
    <row r="612" spans="1:17">
      <c r="A612" s="14"/>
      <c r="B612" s="14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</row>
    <row r="613" spans="1:17">
      <c r="A613" s="14"/>
      <c r="B613" s="14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</row>
    <row r="614" spans="1:17">
      <c r="A614" s="14"/>
      <c r="B614" s="14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</row>
    <row r="615" spans="1:17">
      <c r="A615" s="14"/>
      <c r="B615" s="14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</row>
    <row r="616" spans="1:17">
      <c r="A616" s="14"/>
      <c r="B616" s="14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</row>
    <row r="617" spans="1:17">
      <c r="A617" s="14"/>
      <c r="B617" s="14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</row>
    <row r="618" spans="1:17">
      <c r="A618" s="14"/>
      <c r="B618" s="14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</row>
    <row r="619" spans="1:17">
      <c r="A619" s="14"/>
      <c r="B619" s="14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</row>
    <row r="620" spans="1:17">
      <c r="A620" s="14"/>
      <c r="B620" s="14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</row>
    <row r="621" spans="1:17">
      <c r="A621" s="14"/>
      <c r="B621" s="14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</row>
    <row r="622" spans="1:17">
      <c r="A622" s="14"/>
      <c r="B622" s="14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</row>
    <row r="623" spans="1:17">
      <c r="A623" s="14"/>
      <c r="B623" s="14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</row>
    <row r="624" spans="1:17">
      <c r="A624" s="14"/>
      <c r="B624" s="14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</row>
    <row r="625" spans="1:17">
      <c r="A625" s="14"/>
      <c r="B625" s="14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</row>
    <row r="626" spans="1:17">
      <c r="A626" s="14"/>
      <c r="B626" s="14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</row>
    <row r="627" spans="1:17">
      <c r="A627" s="14"/>
      <c r="B627" s="14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</row>
    <row r="628" spans="1:17">
      <c r="A628" s="14"/>
      <c r="B628" s="14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</row>
    <row r="629" spans="1:17">
      <c r="A629" s="14"/>
      <c r="B629" s="14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</row>
    <row r="630" spans="1:17">
      <c r="A630" s="14"/>
      <c r="B630" s="14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</row>
    <row r="631" spans="1:17">
      <c r="A631" s="14"/>
      <c r="B631" s="14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</row>
    <row r="632" spans="1:17">
      <c r="A632" s="14"/>
      <c r="B632" s="14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</row>
    <row r="633" spans="1:17">
      <c r="A633" s="14"/>
      <c r="B633" s="14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</row>
    <row r="634" spans="1:17">
      <c r="A634" s="14"/>
      <c r="B634" s="14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</row>
    <row r="635" spans="1:17">
      <c r="A635" s="14"/>
      <c r="B635" s="14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</row>
    <row r="636" spans="1:17">
      <c r="A636" s="14"/>
      <c r="B636" s="14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</row>
    <row r="637" spans="1:17">
      <c r="A637" s="14"/>
      <c r="B637" s="14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</row>
    <row r="638" spans="1:17">
      <c r="A638" s="14"/>
      <c r="B638" s="14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</row>
    <row r="639" spans="1:17">
      <c r="A639" s="14"/>
      <c r="B639" s="14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</row>
    <row r="640" spans="1:17">
      <c r="A640" s="14"/>
      <c r="B640" s="14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</row>
    <row r="641" spans="1:17">
      <c r="A641" s="14"/>
      <c r="B641" s="14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</row>
    <row r="642" spans="1:17">
      <c r="A642" s="14"/>
      <c r="B642" s="14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</row>
    <row r="643" spans="1:17">
      <c r="A643" s="14"/>
      <c r="B643" s="14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</row>
    <row r="644" spans="1:17">
      <c r="A644" s="14"/>
      <c r="B644" s="14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</row>
    <row r="645" spans="1:17">
      <c r="A645" s="14"/>
      <c r="B645" s="14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</row>
    <row r="646" spans="1:17">
      <c r="A646" s="14"/>
      <c r="B646" s="14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</row>
    <row r="647" spans="1:17">
      <c r="A647" s="14"/>
      <c r="B647" s="14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</row>
    <row r="648" spans="1:17">
      <c r="A648" s="14"/>
      <c r="B648" s="14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</row>
    <row r="649" spans="1:17">
      <c r="A649" s="14"/>
      <c r="B649" s="14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</row>
    <row r="650" spans="1:17">
      <c r="A650" s="14"/>
      <c r="B650" s="14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</row>
    <row r="651" spans="1:17">
      <c r="A651" s="14"/>
      <c r="B651" s="14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</row>
    <row r="652" spans="1:17">
      <c r="A652" s="14"/>
      <c r="B652" s="14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</row>
    <row r="653" spans="1:17">
      <c r="A653" s="14"/>
      <c r="B653" s="14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</row>
    <row r="654" spans="1:17">
      <c r="A654" s="14"/>
      <c r="B654" s="14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</row>
    <row r="655" spans="1:17">
      <c r="A655" s="14"/>
      <c r="B655" s="14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</row>
    <row r="656" spans="1:17">
      <c r="A656" s="14"/>
      <c r="B656" s="14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</row>
    <row r="657" spans="1:17">
      <c r="A657" s="14"/>
      <c r="B657" s="14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</row>
    <row r="658" spans="1:17">
      <c r="A658" s="14"/>
      <c r="B658" s="14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</row>
    <row r="659" spans="1:17">
      <c r="A659" s="14"/>
      <c r="B659" s="14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</row>
    <row r="660" spans="1:17">
      <c r="A660" s="14"/>
      <c r="B660" s="14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</row>
    <row r="661" spans="1:17">
      <c r="A661" s="14"/>
      <c r="B661" s="14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</row>
    <row r="662" spans="1:17">
      <c r="A662" s="14"/>
      <c r="B662" s="14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</row>
    <row r="663" spans="1:17">
      <c r="A663" s="14"/>
      <c r="B663" s="14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</row>
    <row r="664" spans="1:17">
      <c r="A664" s="14"/>
      <c r="B664" s="14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</row>
    <row r="665" spans="1:17">
      <c r="A665" s="14"/>
      <c r="B665" s="14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</row>
    <row r="666" spans="1:17">
      <c r="A666" s="14"/>
      <c r="B666" s="14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</row>
    <row r="667" spans="1:17">
      <c r="A667" s="14"/>
      <c r="B667" s="14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</row>
    <row r="668" spans="1:17">
      <c r="A668" s="14"/>
      <c r="B668" s="14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</row>
    <row r="669" spans="1:17">
      <c r="A669" s="14"/>
      <c r="B669" s="14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</row>
    <row r="670" spans="1:17">
      <c r="A670" s="14"/>
      <c r="B670" s="14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</row>
    <row r="671" spans="1:17">
      <c r="A671" s="14"/>
      <c r="B671" s="14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</row>
    <row r="672" spans="1:17">
      <c r="A672" s="14"/>
      <c r="B672" s="14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</row>
    <row r="673" spans="1:17">
      <c r="A673" s="14"/>
      <c r="B673" s="14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</row>
    <row r="674" spans="1:17">
      <c r="A674" s="14"/>
      <c r="B674" s="14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</row>
    <row r="675" spans="1:17">
      <c r="A675" s="14"/>
      <c r="B675" s="14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</row>
    <row r="676" spans="1:17">
      <c r="A676" s="14"/>
      <c r="B676" s="14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</row>
    <row r="677" spans="1:17">
      <c r="A677" s="14"/>
      <c r="B677" s="14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</row>
    <row r="678" spans="1:17">
      <c r="A678" s="14"/>
      <c r="B678" s="14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</row>
    <row r="679" spans="1:17">
      <c r="A679" s="14"/>
      <c r="B679" s="14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</row>
    <row r="680" spans="1:17">
      <c r="A680" s="14"/>
      <c r="B680" s="14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</row>
    <row r="681" spans="1:17">
      <c r="A681" s="14"/>
      <c r="B681" s="14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</row>
    <row r="682" spans="1:17">
      <c r="A682" s="14"/>
      <c r="B682" s="14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</row>
    <row r="683" spans="1:17">
      <c r="A683" s="14"/>
      <c r="B683" s="14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</row>
    <row r="684" spans="1:17">
      <c r="A684" s="14"/>
      <c r="B684" s="14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</row>
    <row r="685" spans="1:17">
      <c r="A685" s="14"/>
      <c r="B685" s="14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</row>
    <row r="686" spans="1:17">
      <c r="A686" s="14"/>
      <c r="B686" s="14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</row>
    <row r="687" spans="1:17">
      <c r="A687" s="14"/>
      <c r="B687" s="14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</row>
    <row r="688" spans="1:17">
      <c r="A688" s="14"/>
      <c r="B688" s="14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</row>
    <row r="689" spans="1:17">
      <c r="A689" s="14"/>
      <c r="B689" s="14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</row>
    <row r="690" spans="1:17">
      <c r="A690" s="14"/>
      <c r="B690" s="14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</row>
    <row r="691" spans="1:17">
      <c r="A691" s="14"/>
      <c r="B691" s="14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</row>
    <row r="692" spans="1:17">
      <c r="A692" s="14"/>
      <c r="B692" s="14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</row>
    <row r="693" spans="1:17">
      <c r="A693" s="14"/>
      <c r="B693" s="14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</row>
    <row r="694" spans="1:17">
      <c r="A694" s="14"/>
      <c r="B694" s="14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</row>
    <row r="695" spans="1:17">
      <c r="A695" s="14"/>
      <c r="B695" s="14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</row>
    <row r="696" spans="1:17">
      <c r="A696" s="14"/>
      <c r="B696" s="14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</row>
    <row r="697" spans="1:17">
      <c r="A697" s="14"/>
      <c r="B697" s="14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</row>
    <row r="698" spans="1:17">
      <c r="A698" s="14"/>
      <c r="B698" s="14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</row>
    <row r="699" spans="1:17">
      <c r="A699" s="14"/>
      <c r="B699" s="14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</row>
    <row r="700" spans="1:17">
      <c r="A700" s="14"/>
      <c r="B700" s="14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</row>
    <row r="701" spans="1:17">
      <c r="A701" s="14"/>
      <c r="B701" s="14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</row>
    <row r="702" spans="1:17">
      <c r="A702" s="14"/>
      <c r="B702" s="14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</row>
    <row r="703" spans="1:17">
      <c r="A703" s="14"/>
      <c r="B703" s="14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</row>
    <row r="704" spans="1:17">
      <c r="A704" s="14"/>
      <c r="B704" s="14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</row>
    <row r="705" spans="1:17">
      <c r="A705" s="14"/>
      <c r="B705" s="14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</row>
    <row r="706" spans="1:17">
      <c r="A706" s="14"/>
      <c r="B706" s="14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</row>
    <row r="707" spans="1:17">
      <c r="A707" s="14"/>
      <c r="B707" s="14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</row>
    <row r="708" spans="1:17">
      <c r="A708" s="14"/>
      <c r="B708" s="14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</row>
    <row r="709" spans="1:17">
      <c r="A709" s="14"/>
      <c r="B709" s="14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</row>
    <row r="710" spans="1:17">
      <c r="A710" s="14"/>
      <c r="B710" s="14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</row>
    <row r="711" spans="1:17">
      <c r="A711" s="14"/>
      <c r="B711" s="14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</row>
    <row r="712" spans="1:17">
      <c r="A712" s="14"/>
      <c r="B712" s="14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</row>
    <row r="713" spans="1:17">
      <c r="A713" s="14"/>
      <c r="B713" s="14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</row>
    <row r="714" spans="1:17">
      <c r="A714" s="14"/>
      <c r="B714" s="14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</row>
    <row r="715" spans="1:17">
      <c r="A715" s="14"/>
      <c r="B715" s="14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</row>
    <row r="716" spans="1:17">
      <c r="A716" s="14"/>
      <c r="B716" s="14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</row>
    <row r="717" spans="1:17">
      <c r="A717" s="14"/>
      <c r="B717" s="14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</row>
    <row r="718" spans="1:17">
      <c r="A718" s="14"/>
      <c r="B718" s="14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</row>
    <row r="719" spans="1:17">
      <c r="A719" s="14"/>
      <c r="B719" s="14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</row>
    <row r="720" spans="1:17">
      <c r="A720" s="14"/>
      <c r="B720" s="14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</row>
    <row r="721" spans="1:17">
      <c r="A721" s="14"/>
      <c r="B721" s="14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</row>
    <row r="722" spans="1:17">
      <c r="A722" s="14"/>
      <c r="B722" s="14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</row>
    <row r="723" spans="1:17">
      <c r="A723" s="14"/>
      <c r="B723" s="14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</row>
    <row r="724" spans="1:17">
      <c r="A724" s="14"/>
      <c r="B724" s="14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</row>
    <row r="725" spans="1:17">
      <c r="A725" s="14"/>
      <c r="B725" s="14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</row>
    <row r="726" spans="1:17">
      <c r="A726" s="14"/>
      <c r="B726" s="14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</row>
    <row r="727" spans="1:17">
      <c r="A727" s="14"/>
      <c r="B727" s="14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</row>
    <row r="728" spans="1:17">
      <c r="A728" s="14"/>
      <c r="B728" s="14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</row>
    <row r="729" spans="1:17">
      <c r="A729" s="14"/>
      <c r="B729" s="14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</row>
    <row r="730" spans="1:17">
      <c r="A730" s="14"/>
      <c r="B730" s="14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</row>
    <row r="731" spans="1:17">
      <c r="A731" s="14"/>
      <c r="B731" s="14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</row>
    <row r="732" spans="1:17">
      <c r="A732" s="14"/>
      <c r="B732" s="14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</row>
    <row r="733" spans="1:17">
      <c r="A733" s="14"/>
      <c r="B733" s="14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</row>
    <row r="734" spans="1:17">
      <c r="A734" s="14"/>
      <c r="B734" s="14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</row>
    <row r="735" spans="1:17">
      <c r="A735" s="14"/>
      <c r="B735" s="14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</row>
    <row r="736" spans="1:17">
      <c r="A736" s="14"/>
      <c r="B736" s="14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</row>
    <row r="737" spans="1:17">
      <c r="A737" s="14"/>
      <c r="B737" s="14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</row>
    <row r="738" spans="1:17">
      <c r="A738" s="14"/>
      <c r="B738" s="14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</row>
    <row r="739" spans="1:17">
      <c r="A739" s="14"/>
      <c r="B739" s="14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</row>
    <row r="740" spans="1:17">
      <c r="A740" s="14"/>
      <c r="B740" s="14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</row>
    <row r="741" spans="1:17">
      <c r="A741" s="14"/>
      <c r="B741" s="14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</row>
    <row r="742" spans="1:17">
      <c r="A742" s="14"/>
      <c r="B742" s="14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</row>
    <row r="743" spans="1:17">
      <c r="A743" s="14"/>
      <c r="B743" s="14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</row>
    <row r="744" spans="1:17">
      <c r="A744" s="14"/>
      <c r="B744" s="14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</row>
    <row r="745" spans="1:17">
      <c r="A745" s="14"/>
      <c r="B745" s="14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</row>
    <row r="746" spans="1:17">
      <c r="A746" s="14"/>
      <c r="B746" s="14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</row>
    <row r="747" spans="1:17">
      <c r="A747" s="14"/>
      <c r="B747" s="14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</row>
    <row r="748" spans="1:17">
      <c r="A748" s="14"/>
      <c r="B748" s="14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</row>
    <row r="749" spans="1:17">
      <c r="A749" s="14"/>
      <c r="B749" s="14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</row>
    <row r="750" spans="1:17">
      <c r="A750" s="14"/>
      <c r="B750" s="14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</row>
    <row r="751" spans="1:17">
      <c r="A751" s="14"/>
      <c r="B751" s="14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</row>
    <row r="752" spans="1:17">
      <c r="A752" s="14"/>
      <c r="B752" s="14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</row>
    <row r="753" spans="1:17">
      <c r="A753" s="14"/>
      <c r="B753" s="14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</row>
    <row r="754" spans="1:17">
      <c r="A754" s="14"/>
      <c r="B754" s="14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</row>
    <row r="755" spans="1:17">
      <c r="A755" s="14"/>
      <c r="B755" s="14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</row>
    <row r="756" spans="1:17">
      <c r="A756" s="14"/>
      <c r="B756" s="14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</row>
    <row r="757" spans="1:17">
      <c r="A757" s="14"/>
      <c r="B757" s="14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</row>
    <row r="758" spans="1:17">
      <c r="A758" s="14"/>
      <c r="B758" s="14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</row>
    <row r="759" spans="1:17">
      <c r="A759" s="14"/>
      <c r="B759" s="14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</row>
    <row r="760" spans="1:17">
      <c r="A760" s="14"/>
      <c r="B760" s="14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</row>
    <row r="761" spans="1:17">
      <c r="A761" s="14"/>
      <c r="B761" s="14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</row>
    <row r="762" spans="1:17">
      <c r="A762" s="14"/>
      <c r="B762" s="14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</row>
    <row r="763" spans="1:17">
      <c r="A763" s="14"/>
      <c r="B763" s="14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</row>
    <row r="764" spans="1:17">
      <c r="A764" s="14"/>
      <c r="B764" s="14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</row>
    <row r="765" spans="1:17">
      <c r="A765" s="14"/>
      <c r="B765" s="14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</row>
    <row r="766" spans="1:17">
      <c r="A766" s="14"/>
      <c r="B766" s="14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</row>
    <row r="767" spans="1:17">
      <c r="A767" s="14"/>
      <c r="B767" s="14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</row>
    <row r="768" spans="1:17">
      <c r="A768" s="14"/>
      <c r="B768" s="14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</row>
    <row r="769" spans="1:17">
      <c r="A769" s="14"/>
      <c r="B769" s="14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</row>
    <row r="770" spans="1:17">
      <c r="A770" s="14"/>
      <c r="B770" s="14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</row>
    <row r="771" spans="1:17">
      <c r="A771" s="14"/>
      <c r="B771" s="14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</row>
    <row r="772" spans="1:17">
      <c r="A772" s="14"/>
      <c r="B772" s="14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</row>
    <row r="773" spans="1:17">
      <c r="A773" s="14"/>
      <c r="B773" s="14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</row>
    <row r="774" spans="1:17">
      <c r="A774" s="14"/>
      <c r="B774" s="14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</row>
    <row r="775" spans="1:17">
      <c r="A775" s="14"/>
      <c r="B775" s="14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</row>
    <row r="776" spans="1:17">
      <c r="A776" s="14"/>
      <c r="B776" s="14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</row>
    <row r="777" spans="1:17">
      <c r="A777" s="14"/>
      <c r="B777" s="14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</row>
    <row r="778" spans="1:17">
      <c r="A778" s="14"/>
      <c r="B778" s="14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</row>
    <row r="779" spans="1:17">
      <c r="A779" s="14"/>
      <c r="B779" s="14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</row>
    <row r="780" spans="1:17">
      <c r="A780" s="14"/>
      <c r="B780" s="14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</row>
    <row r="781" spans="1:17">
      <c r="A781" s="14"/>
      <c r="B781" s="14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</row>
    <row r="782" spans="1:17">
      <c r="A782" s="14"/>
      <c r="B782" s="14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</row>
    <row r="783" spans="1:17">
      <c r="A783" s="14"/>
      <c r="B783" s="14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</row>
    <row r="784" spans="1:17">
      <c r="A784" s="14"/>
      <c r="B784" s="14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</row>
    <row r="785" spans="1:17">
      <c r="A785" s="14"/>
      <c r="B785" s="14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</row>
    <row r="786" spans="1:17">
      <c r="A786" s="14"/>
      <c r="B786" s="14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</row>
    <row r="787" spans="1:17">
      <c r="A787" s="14"/>
      <c r="B787" s="14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</row>
    <row r="788" spans="1:17">
      <c r="A788" s="14"/>
      <c r="B788" s="14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</row>
    <row r="789" spans="1:17">
      <c r="A789" s="14"/>
      <c r="B789" s="14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</row>
    <row r="790" spans="1:17">
      <c r="A790" s="14"/>
      <c r="B790" s="14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</row>
    <row r="791" spans="1:17">
      <c r="A791" s="14"/>
      <c r="B791" s="14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</row>
    <row r="792" spans="1:17">
      <c r="A792" s="14"/>
      <c r="B792" s="14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</row>
    <row r="793" spans="1:17">
      <c r="A793" s="14"/>
      <c r="B793" s="14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</row>
    <row r="794" spans="1:17">
      <c r="A794" s="14"/>
      <c r="B794" s="14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</row>
    <row r="795" spans="1:17">
      <c r="A795" s="14"/>
      <c r="B795" s="14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</row>
    <row r="796" spans="1:17">
      <c r="A796" s="14"/>
      <c r="B796" s="14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</row>
    <row r="797" spans="1:17">
      <c r="A797" s="14"/>
      <c r="B797" s="14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</row>
    <row r="798" spans="1:17">
      <c r="A798" s="14"/>
      <c r="B798" s="14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</row>
    <row r="799" spans="1:17">
      <c r="A799" s="14"/>
      <c r="B799" s="14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</row>
    <row r="800" spans="1:17">
      <c r="A800" s="14"/>
      <c r="B800" s="14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</row>
    <row r="801" spans="1:17">
      <c r="A801" s="14"/>
      <c r="B801" s="14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</row>
    <row r="802" spans="1:17">
      <c r="A802" s="14"/>
      <c r="B802" s="14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</row>
    <row r="803" spans="1:17">
      <c r="A803" s="14"/>
      <c r="B803" s="14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</row>
    <row r="804" spans="1:17">
      <c r="A804" s="14"/>
      <c r="B804" s="14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</row>
    <row r="805" spans="1:17">
      <c r="A805" s="14"/>
      <c r="B805" s="14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</row>
    <row r="806" spans="1:17">
      <c r="A806" s="14"/>
      <c r="B806" s="14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</row>
    <row r="807" spans="1:17">
      <c r="A807" s="14"/>
      <c r="B807" s="14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</row>
    <row r="808" spans="1:17">
      <c r="A808" s="14"/>
      <c r="B808" s="14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</row>
    <row r="809" spans="1:17">
      <c r="A809" s="14"/>
      <c r="B809" s="14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</row>
    <row r="810" spans="1:17">
      <c r="A810" s="14"/>
      <c r="B810" s="14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</row>
    <row r="811" spans="1:17">
      <c r="A811" s="14"/>
      <c r="B811" s="14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</row>
    <row r="812" spans="1:17">
      <c r="A812" s="14"/>
      <c r="B812" s="14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</row>
    <row r="813" spans="1:17">
      <c r="A813" s="14"/>
      <c r="B813" s="14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</row>
    <row r="814" spans="1:17">
      <c r="A814" s="14"/>
      <c r="B814" s="14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</row>
    <row r="815" spans="1:17">
      <c r="A815" s="14"/>
      <c r="B815" s="14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</row>
    <row r="816" spans="1:17">
      <c r="A816" s="14"/>
      <c r="B816" s="14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</row>
    <row r="817" spans="1:17">
      <c r="A817" s="14"/>
      <c r="B817" s="14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</row>
    <row r="818" spans="1:17">
      <c r="A818" s="14"/>
      <c r="B818" s="14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</row>
    <row r="819" spans="1:17">
      <c r="A819" s="14"/>
      <c r="B819" s="14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</row>
    <row r="820" spans="1:17">
      <c r="A820" s="14"/>
      <c r="B820" s="14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</row>
    <row r="821" spans="1:17">
      <c r="A821" s="14"/>
      <c r="B821" s="14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</row>
    <row r="822" spans="1:17">
      <c r="A822" s="14"/>
      <c r="B822" s="14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</row>
    <row r="823" spans="1:17">
      <c r="A823" s="14"/>
      <c r="B823" s="14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</row>
    <row r="824" spans="1:17">
      <c r="A824" s="14"/>
      <c r="B824" s="14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</row>
    <row r="825" spans="1:17">
      <c r="A825" s="14"/>
      <c r="B825" s="14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</row>
    <row r="826" spans="1:17">
      <c r="A826" s="14"/>
      <c r="B826" s="14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</row>
    <row r="827" spans="1:17">
      <c r="A827" s="14"/>
      <c r="B827" s="14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</row>
    <row r="828" spans="1:17">
      <c r="A828" s="14"/>
      <c r="B828" s="14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</row>
    <row r="829" spans="1:17">
      <c r="A829" s="14"/>
      <c r="B829" s="14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</row>
    <row r="830" spans="1:17">
      <c r="A830" s="14"/>
      <c r="B830" s="14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</row>
    <row r="831" spans="1:17">
      <c r="A831" s="14"/>
      <c r="B831" s="14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</row>
    <row r="832" spans="1:17">
      <c r="A832" s="14"/>
      <c r="B832" s="14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</row>
    <row r="833" spans="1:17">
      <c r="A833" s="14"/>
      <c r="B833" s="14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</row>
    <row r="834" spans="1:17">
      <c r="A834" s="14"/>
      <c r="B834" s="14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</row>
    <row r="835" spans="1:17">
      <c r="A835" s="14"/>
      <c r="B835" s="14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</row>
    <row r="836" spans="1:17">
      <c r="A836" s="14"/>
      <c r="B836" s="14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</row>
    <row r="837" spans="1:17">
      <c r="A837" s="14"/>
      <c r="B837" s="14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</row>
    <row r="838" spans="1:17">
      <c r="A838" s="14"/>
      <c r="B838" s="14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</row>
    <row r="839" spans="1:17">
      <c r="A839" s="14"/>
      <c r="B839" s="14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</row>
    <row r="840" spans="1:17">
      <c r="A840" s="14"/>
      <c r="B840" s="14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</row>
    <row r="841" spans="1:17">
      <c r="A841" s="14"/>
      <c r="B841" s="14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</row>
    <row r="842" spans="1:17">
      <c r="A842" s="14"/>
      <c r="B842" s="14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</row>
    <row r="843" spans="1:17">
      <c r="A843" s="14"/>
      <c r="B843" s="14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</row>
    <row r="844" spans="1:17">
      <c r="A844" s="14"/>
      <c r="B844" s="14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</row>
    <row r="845" spans="1:17">
      <c r="A845" s="14"/>
      <c r="B845" s="14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</row>
    <row r="846" spans="1:17">
      <c r="A846" s="14"/>
      <c r="B846" s="14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</row>
    <row r="847" spans="1:17">
      <c r="A847" s="14"/>
      <c r="B847" s="14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</row>
    <row r="848" spans="1:17">
      <c r="A848" s="14"/>
      <c r="B848" s="14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</row>
    <row r="849" spans="1:17">
      <c r="A849" s="14"/>
      <c r="B849" s="14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</row>
    <row r="850" spans="1:17">
      <c r="A850" s="14"/>
      <c r="B850" s="14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</row>
    <row r="851" spans="1:17">
      <c r="A851" s="14"/>
      <c r="B851" s="14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</row>
    <row r="852" spans="1:17">
      <c r="A852" s="14"/>
      <c r="B852" s="14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</row>
    <row r="853" spans="1:17">
      <c r="A853" s="14"/>
      <c r="B853" s="14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</row>
    <row r="854" spans="1:17">
      <c r="A854" s="14"/>
      <c r="B854" s="14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</row>
    <row r="855" spans="1:17">
      <c r="A855" s="14"/>
      <c r="B855" s="14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</row>
    <row r="856" spans="1:17">
      <c r="A856" s="14"/>
      <c r="B856" s="14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</row>
    <row r="857" spans="1:17">
      <c r="A857" s="14"/>
      <c r="B857" s="14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</row>
    <row r="858" spans="1:17">
      <c r="A858" s="14"/>
      <c r="B858" s="14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</row>
    <row r="859" spans="1:17">
      <c r="A859" s="14"/>
      <c r="B859" s="14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</row>
    <row r="860" spans="1:17">
      <c r="A860" s="14"/>
      <c r="B860" s="14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</row>
    <row r="861" spans="1:17">
      <c r="A861" s="14"/>
      <c r="B861" s="14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</row>
    <row r="862" spans="1:17">
      <c r="A862" s="14"/>
      <c r="B862" s="14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</row>
    <row r="863" spans="1:17">
      <c r="A863" s="14"/>
      <c r="B863" s="14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</row>
    <row r="864" spans="1:17">
      <c r="A864" s="14"/>
      <c r="B864" s="14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</row>
    <row r="865" spans="1:17">
      <c r="A865" s="14"/>
      <c r="B865" s="14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</row>
    <row r="866" spans="1:17">
      <c r="A866" s="14"/>
      <c r="B866" s="14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</row>
    <row r="867" spans="1:17">
      <c r="A867" s="14"/>
      <c r="B867" s="14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</row>
    <row r="868" spans="1:17">
      <c r="A868" s="14"/>
      <c r="B868" s="14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</row>
    <row r="869" spans="1:17">
      <c r="A869" s="14"/>
      <c r="B869" s="14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</row>
    <row r="870" spans="1:17">
      <c r="A870" s="14"/>
      <c r="B870" s="14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</row>
    <row r="871" spans="1:17">
      <c r="A871" s="14"/>
      <c r="B871" s="14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</row>
    <row r="872" spans="1:17">
      <c r="A872" s="14"/>
      <c r="B872" s="14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</row>
    <row r="873" spans="1:17">
      <c r="A873" s="14"/>
      <c r="B873" s="14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</row>
    <row r="874" spans="1:17">
      <c r="A874" s="14"/>
      <c r="B874" s="14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</row>
    <row r="875" spans="1:17">
      <c r="A875" s="14"/>
      <c r="B875" s="14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</row>
    <row r="876" spans="1:17">
      <c r="A876" s="14"/>
      <c r="B876" s="14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</row>
    <row r="877" spans="1:17">
      <c r="A877" s="14"/>
      <c r="B877" s="14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</row>
    <row r="878" spans="1:17">
      <c r="A878" s="14"/>
      <c r="B878" s="14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</row>
    <row r="879" spans="1:17">
      <c r="A879" s="14"/>
      <c r="B879" s="14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</row>
    <row r="880" spans="1:17">
      <c r="A880" s="14"/>
      <c r="B880" s="14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</row>
    <row r="881" spans="1:17">
      <c r="A881" s="14"/>
      <c r="B881" s="14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</row>
    <row r="882" spans="1:17">
      <c r="A882" s="14"/>
      <c r="B882" s="14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</row>
    <row r="883" spans="1:17">
      <c r="A883" s="14"/>
      <c r="B883" s="14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</row>
    <row r="884" spans="1:17">
      <c r="A884" s="14"/>
      <c r="B884" s="14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</row>
    <row r="885" spans="1:17">
      <c r="A885" s="14"/>
      <c r="B885" s="14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</row>
    <row r="886" spans="1:17">
      <c r="A886" s="14"/>
      <c r="B886" s="14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</row>
    <row r="887" spans="1:17">
      <c r="A887" s="14"/>
      <c r="B887" s="14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</row>
    <row r="888" spans="1:17">
      <c r="A888" s="14"/>
      <c r="B888" s="14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</row>
    <row r="889" spans="1:17">
      <c r="A889" s="14"/>
      <c r="B889" s="14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</row>
    <row r="890" spans="1:17">
      <c r="A890" s="14"/>
      <c r="B890" s="14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</row>
    <row r="891" spans="1:17">
      <c r="A891" s="14"/>
      <c r="B891" s="14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</row>
    <row r="892" spans="1:17">
      <c r="A892" s="14"/>
      <c r="B892" s="14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</row>
    <row r="893" spans="1:17">
      <c r="A893" s="14"/>
      <c r="B893" s="14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</row>
    <row r="894" spans="1:17">
      <c r="A894" s="14"/>
      <c r="B894" s="14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</row>
    <row r="895" spans="1:17">
      <c r="A895" s="14"/>
      <c r="B895" s="14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</row>
    <row r="896" spans="1:17">
      <c r="A896" s="14"/>
      <c r="B896" s="14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</row>
    <row r="897" spans="1:17">
      <c r="A897" s="14"/>
      <c r="B897" s="14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</row>
    <row r="898" spans="1:17">
      <c r="A898" s="14"/>
      <c r="B898" s="14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</row>
    <row r="899" spans="1:17">
      <c r="A899" s="14"/>
      <c r="B899" s="14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</row>
    <row r="900" spans="1:17">
      <c r="A900" s="14"/>
      <c r="B900" s="14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</row>
    <row r="901" spans="1:17">
      <c r="A901" s="14"/>
      <c r="B901" s="14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</row>
    <row r="902" spans="1:17">
      <c r="A902" s="14"/>
      <c r="B902" s="14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</row>
    <row r="903" spans="1:17">
      <c r="A903" s="14"/>
      <c r="B903" s="14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</row>
    <row r="904" spans="1:17">
      <c r="A904" s="14"/>
      <c r="B904" s="14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</row>
    <row r="905" spans="1:17">
      <c r="A905" s="14"/>
      <c r="B905" s="14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</row>
    <row r="906" spans="1:17">
      <c r="A906" s="14"/>
      <c r="B906" s="14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</row>
  </sheetData>
  <hyperlinks>
    <hyperlink ref="C485" r:id="rId1" display="url:DCLICK" xr:uid="{5C90032E-7717-49A3-BDC5-BB039BE93E9D}"/>
    <hyperlink ref="G399" r:id="rId2" display="url:URL_Dclick_Pages" xr:uid="{9F55EFA7-DC10-450F-84C7-27401C61B55B}"/>
    <hyperlink ref="C399" r:id="rId3" display="url:URL_Dclick_Pages" xr:uid="{E300F281-587D-4956-BF80-2AA41FD9DD1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5AF6D-65FC-4068-99C1-7B4C42832D4C}">
  <sheetPr codeName="Sheet17"/>
  <dimension ref="A1:L74"/>
  <sheetViews>
    <sheetView topLeftCell="A16" workbookViewId="0">
      <selection activeCell="B28" sqref="B28"/>
    </sheetView>
  </sheetViews>
  <sheetFormatPr defaultRowHeight="15"/>
  <cols>
    <col min="1" max="1" width="9.140625" style="14"/>
    <col min="2" max="2" width="21.85546875" style="14" customWidth="1"/>
    <col min="3" max="3" width="33.5703125" style="14" customWidth="1"/>
    <col min="4" max="4" width="47.28515625" style="14" customWidth="1"/>
    <col min="5" max="5" width="24.7109375" style="14" customWidth="1"/>
    <col min="6" max="6" width="15.28515625" style="14" customWidth="1"/>
    <col min="7" max="7" width="21.140625" style="14" customWidth="1"/>
    <col min="8" max="10" width="9.140625" style="14"/>
    <col min="11" max="11" width="9.7109375" style="14" bestFit="1" customWidth="1"/>
    <col min="12" max="16384" width="9.140625" style="14"/>
  </cols>
  <sheetData>
    <row r="1" spans="1:12">
      <c r="A1" s="14" t="s">
        <v>14</v>
      </c>
      <c r="B1" s="14" t="s">
        <v>18</v>
      </c>
      <c r="C1" s="14" t="s">
        <v>11</v>
      </c>
      <c r="D1" s="14" t="s">
        <v>10</v>
      </c>
      <c r="E1" s="14" t="s">
        <v>8</v>
      </c>
    </row>
    <row r="3" spans="1:12">
      <c r="A3" s="14" t="s">
        <v>15</v>
      </c>
      <c r="B3" s="14" t="s">
        <v>415</v>
      </c>
      <c r="C3" s="14" t="s">
        <v>11</v>
      </c>
      <c r="D3" s="14" t="s">
        <v>9</v>
      </c>
      <c r="E3" s="14" t="s">
        <v>645</v>
      </c>
      <c r="F3" s="14" t="s">
        <v>850</v>
      </c>
      <c r="G3" s="14" t="s">
        <v>857</v>
      </c>
    </row>
    <row r="4" spans="1:12">
      <c r="C4" s="14" t="s">
        <v>876</v>
      </c>
      <c r="D4" s="15" t="s">
        <v>875</v>
      </c>
      <c r="E4" s="14" t="s">
        <v>719</v>
      </c>
      <c r="F4" s="14">
        <v>0</v>
      </c>
      <c r="G4" s="14" t="s">
        <v>899</v>
      </c>
      <c r="L4" s="14" t="s">
        <v>820</v>
      </c>
    </row>
    <row r="5" spans="1:12">
      <c r="C5" s="14" t="s">
        <v>877</v>
      </c>
      <c r="D5" s="14" t="s">
        <v>761</v>
      </c>
      <c r="E5" s="14" t="s">
        <v>719</v>
      </c>
      <c r="G5" s="14" t="s">
        <v>899</v>
      </c>
      <c r="L5" s="14" t="s">
        <v>820</v>
      </c>
    </row>
    <row r="6" spans="1:12">
      <c r="C6" s="14" t="s">
        <v>878</v>
      </c>
      <c r="G6" s="14" t="s">
        <v>899</v>
      </c>
    </row>
    <row r="7" spans="1:12">
      <c r="C7" s="14" t="s">
        <v>879</v>
      </c>
      <c r="G7" s="14" t="s">
        <v>899</v>
      </c>
    </row>
    <row r="8" spans="1:12">
      <c r="C8" s="14" t="s">
        <v>880</v>
      </c>
      <c r="G8" s="14" t="s">
        <v>899</v>
      </c>
    </row>
    <row r="9" spans="1:12">
      <c r="C9" s="14" t="s">
        <v>881</v>
      </c>
      <c r="G9" s="14" t="s">
        <v>899</v>
      </c>
    </row>
    <row r="10" spans="1:12">
      <c r="E10" s="15" t="s">
        <v>886</v>
      </c>
    </row>
    <row r="11" spans="1:12">
      <c r="D11" s="14" t="s">
        <v>883</v>
      </c>
    </row>
    <row r="12" spans="1:12">
      <c r="D12" s="14" t="s">
        <v>884</v>
      </c>
      <c r="G12" s="15" t="s">
        <v>888</v>
      </c>
    </row>
    <row r="13" spans="1:12">
      <c r="D13" s="14" t="s">
        <v>885</v>
      </c>
    </row>
    <row r="14" spans="1:12">
      <c r="D14" s="14" t="s">
        <v>887</v>
      </c>
    </row>
    <row r="15" spans="1:12">
      <c r="A15" s="14" t="s">
        <v>15</v>
      </c>
      <c r="B15" s="14" t="s">
        <v>645</v>
      </c>
      <c r="C15" s="14" t="s">
        <v>719</v>
      </c>
      <c r="D15" s="14">
        <v>0</v>
      </c>
      <c r="E15" s="14" t="s">
        <v>646</v>
      </c>
    </row>
    <row r="16" spans="1:12">
      <c r="C16" s="14" t="s">
        <v>719</v>
      </c>
      <c r="E16" s="14" t="s">
        <v>703</v>
      </c>
    </row>
    <row r="18" spans="1:10">
      <c r="A18" s="14" t="s">
        <v>15</v>
      </c>
      <c r="B18" s="14" t="s">
        <v>704</v>
      </c>
      <c r="C18" s="14" t="s">
        <v>820</v>
      </c>
      <c r="J18" s="14" t="s">
        <v>820</v>
      </c>
    </row>
    <row r="19" spans="1:10">
      <c r="C19" s="14" t="s">
        <v>820</v>
      </c>
      <c r="E19" s="14" t="s">
        <v>715</v>
      </c>
    </row>
    <row r="21" spans="1:10">
      <c r="A21" s="14" t="s">
        <v>15</v>
      </c>
      <c r="B21" s="16" t="s">
        <v>357</v>
      </c>
      <c r="C21" s="14" t="s">
        <v>252</v>
      </c>
      <c r="D21" s="14" t="s">
        <v>632</v>
      </c>
      <c r="E21" s="16" t="s">
        <v>432</v>
      </c>
    </row>
    <row r="22" spans="1:10">
      <c r="C22" s="14" t="s">
        <v>364</v>
      </c>
      <c r="D22" s="14" t="s">
        <v>748</v>
      </c>
    </row>
    <row r="24" spans="1:10">
      <c r="A24" s="14" t="s">
        <v>15</v>
      </c>
      <c r="B24" s="14" t="s">
        <v>9</v>
      </c>
      <c r="C24" s="14" t="s">
        <v>889</v>
      </c>
      <c r="D24" s="15" t="s">
        <v>875</v>
      </c>
      <c r="E24" s="16" t="s">
        <v>433</v>
      </c>
    </row>
    <row r="26" spans="1:10">
      <c r="A26" s="14" t="s">
        <v>15</v>
      </c>
      <c r="B26" s="14" t="s">
        <v>404</v>
      </c>
      <c r="C26" s="14" t="s">
        <v>405</v>
      </c>
      <c r="E26" s="16" t="s">
        <v>436</v>
      </c>
    </row>
    <row r="27" spans="1:10">
      <c r="E27" s="16"/>
    </row>
    <row r="28" spans="1:10">
      <c r="A28" s="14" t="s">
        <v>16</v>
      </c>
      <c r="B28" s="16" t="s">
        <v>25</v>
      </c>
      <c r="C28" s="14" t="s">
        <v>882</v>
      </c>
      <c r="E28" s="14" t="s">
        <v>148</v>
      </c>
    </row>
    <row r="29" spans="1:10">
      <c r="B29" s="16"/>
      <c r="C29" s="14" t="s">
        <v>896</v>
      </c>
      <c r="D29" s="16"/>
    </row>
    <row r="30" spans="1:10">
      <c r="C30" s="14" t="s">
        <v>637</v>
      </c>
    </row>
    <row r="31" spans="1:10">
      <c r="C31" s="14" t="s">
        <v>856</v>
      </c>
      <c r="E31" s="14" t="s">
        <v>370</v>
      </c>
      <c r="J31" s="14" t="s">
        <v>416</v>
      </c>
    </row>
    <row r="32" spans="1:10">
      <c r="E32" s="14" t="s">
        <v>717</v>
      </c>
    </row>
    <row r="33" spans="1:7">
      <c r="A33" s="14" t="s">
        <v>16</v>
      </c>
      <c r="B33" s="16" t="s">
        <v>637</v>
      </c>
      <c r="C33" s="14" t="s">
        <v>890</v>
      </c>
    </row>
    <row r="34" spans="1:7">
      <c r="C34" s="14" t="s">
        <v>638</v>
      </c>
    </row>
    <row r="35" spans="1:7">
      <c r="A35" s="14" t="s">
        <v>16</v>
      </c>
      <c r="B35" s="14" t="s">
        <v>638</v>
      </c>
      <c r="C35" s="14" t="s">
        <v>891</v>
      </c>
      <c r="E35" s="14" t="s">
        <v>636</v>
      </c>
    </row>
    <row r="37" spans="1:7">
      <c r="A37" s="14" t="s">
        <v>16</v>
      </c>
      <c r="B37" s="16" t="s">
        <v>32</v>
      </c>
      <c r="C37" s="14" t="s">
        <v>894</v>
      </c>
    </row>
    <row r="38" spans="1:7">
      <c r="B38" s="16"/>
      <c r="C38" s="14" t="s">
        <v>895</v>
      </c>
      <c r="E38" s="14" t="s">
        <v>117</v>
      </c>
      <c r="G38" s="14" t="s">
        <v>858</v>
      </c>
    </row>
    <row r="39" spans="1:7">
      <c r="B39" s="16"/>
      <c r="C39" s="14" t="s">
        <v>24</v>
      </c>
    </row>
    <row r="40" spans="1:7">
      <c r="A40" s="14" t="s">
        <v>16</v>
      </c>
      <c r="B40" s="14" t="s">
        <v>892</v>
      </c>
      <c r="C40" s="14" t="s">
        <v>118</v>
      </c>
    </row>
    <row r="41" spans="1:7">
      <c r="A41" s="14" t="s">
        <v>16</v>
      </c>
      <c r="B41" s="14" t="s">
        <v>118</v>
      </c>
      <c r="C41" s="14" t="s">
        <v>422</v>
      </c>
    </row>
    <row r="42" spans="1:7">
      <c r="C42" s="14" t="s">
        <v>859</v>
      </c>
      <c r="E42" s="14" t="s">
        <v>706</v>
      </c>
    </row>
    <row r="43" spans="1:7">
      <c r="C43" s="14" t="s">
        <v>860</v>
      </c>
      <c r="E43" s="14" t="s">
        <v>707</v>
      </c>
    </row>
    <row r="44" spans="1:7">
      <c r="C44" s="14" t="s">
        <v>24</v>
      </c>
    </row>
    <row r="46" spans="1:7">
      <c r="A46" s="14" t="s">
        <v>16</v>
      </c>
      <c r="B46" s="14" t="s">
        <v>897</v>
      </c>
      <c r="C46" s="14" t="s">
        <v>884</v>
      </c>
    </row>
    <row r="47" spans="1:7">
      <c r="C47" s="14" t="s">
        <v>902</v>
      </c>
      <c r="G47" s="14" t="s">
        <v>901</v>
      </c>
    </row>
    <row r="48" spans="1:7">
      <c r="C48" s="14" t="s">
        <v>727</v>
      </c>
    </row>
    <row r="49" spans="1:10">
      <c r="A49" s="14" t="s">
        <v>16</v>
      </c>
      <c r="B49" s="14" t="s">
        <v>898</v>
      </c>
      <c r="C49" s="17" t="s">
        <v>900</v>
      </c>
      <c r="J49" s="17" t="s">
        <v>870</v>
      </c>
    </row>
    <row r="50" spans="1:10">
      <c r="C50" s="17" t="s">
        <v>903</v>
      </c>
      <c r="E50" s="14" t="s">
        <v>64</v>
      </c>
    </row>
    <row r="52" spans="1:10">
      <c r="A52" s="14" t="s">
        <v>16</v>
      </c>
      <c r="B52" s="14" t="s">
        <v>814</v>
      </c>
      <c r="C52" s="14" t="s">
        <v>24</v>
      </c>
    </row>
    <row r="53" spans="1:10">
      <c r="C53" s="14" t="s">
        <v>869</v>
      </c>
      <c r="E53" s="14" t="s">
        <v>711</v>
      </c>
    </row>
    <row r="54" spans="1:10">
      <c r="C54" s="14" t="s">
        <v>868</v>
      </c>
      <c r="E54" s="14" t="s">
        <v>5</v>
      </c>
    </row>
    <row r="55" spans="1:10">
      <c r="C55" s="14" t="s">
        <v>867</v>
      </c>
      <c r="E55" s="14" t="s">
        <v>815</v>
      </c>
    </row>
    <row r="56" spans="1:10">
      <c r="C56" s="14" t="s">
        <v>24</v>
      </c>
    </row>
    <row r="57" spans="1:10">
      <c r="C57" s="14" t="s">
        <v>865</v>
      </c>
    </row>
    <row r="58" spans="1:10">
      <c r="C58" s="14" t="s">
        <v>866</v>
      </c>
    </row>
    <row r="59" spans="1:10">
      <c r="C59" s="14" t="s">
        <v>727</v>
      </c>
    </row>
    <row r="60" spans="1:10">
      <c r="C60" s="17" t="s">
        <v>870</v>
      </c>
      <c r="E60" s="14" t="s">
        <v>64</v>
      </c>
      <c r="J60" s="17"/>
    </row>
    <row r="62" spans="1:10">
      <c r="A62" s="14" t="s">
        <v>16</v>
      </c>
      <c r="B62" s="14" t="s">
        <v>737</v>
      </c>
      <c r="C62" s="14" t="s">
        <v>821</v>
      </c>
    </row>
    <row r="63" spans="1:10">
      <c r="A63" s="17"/>
      <c r="B63" s="17"/>
      <c r="C63" s="14" t="s">
        <v>822</v>
      </c>
      <c r="E63" s="14" t="s">
        <v>774</v>
      </c>
      <c r="J63" s="14" t="s">
        <v>807</v>
      </c>
    </row>
    <row r="64" spans="1:10">
      <c r="C64" s="14" t="s">
        <v>861</v>
      </c>
      <c r="E64" s="14" t="s">
        <v>776</v>
      </c>
      <c r="J64" s="14" t="s">
        <v>813</v>
      </c>
    </row>
    <row r="65" spans="1:10">
      <c r="C65" s="14" t="s">
        <v>862</v>
      </c>
      <c r="E65" s="14" t="s">
        <v>775</v>
      </c>
    </row>
    <row r="67" spans="1:10">
      <c r="A67" s="14" t="s">
        <v>16</v>
      </c>
      <c r="B67" s="14" t="s">
        <v>759</v>
      </c>
      <c r="C67" s="14" t="s">
        <v>740</v>
      </c>
      <c r="E67" s="14" t="s">
        <v>739</v>
      </c>
    </row>
    <row r="69" spans="1:10">
      <c r="A69" s="14" t="s">
        <v>16</v>
      </c>
      <c r="B69" s="14" t="s">
        <v>742</v>
      </c>
      <c r="C69" s="16" t="s">
        <v>863</v>
      </c>
      <c r="E69" s="14" t="s">
        <v>818</v>
      </c>
    </row>
    <row r="70" spans="1:10">
      <c r="C70" s="14" t="s">
        <v>864</v>
      </c>
      <c r="E70" s="14" t="s">
        <v>817</v>
      </c>
    </row>
    <row r="72" spans="1:10">
      <c r="A72" s="14" t="s">
        <v>16</v>
      </c>
      <c r="B72" s="14" t="s">
        <v>744</v>
      </c>
      <c r="C72" s="14" t="s">
        <v>812</v>
      </c>
    </row>
    <row r="74" spans="1:10">
      <c r="A74" s="14" t="s">
        <v>16</v>
      </c>
      <c r="B74" s="14" t="s">
        <v>659</v>
      </c>
      <c r="C74" s="14" t="s">
        <v>813</v>
      </c>
      <c r="J74" s="14" t="s">
        <v>807</v>
      </c>
    </row>
  </sheetData>
  <hyperlinks>
    <hyperlink ref="L38" r:id="rId1" display="url:URL_Dclick_Pages" xr:uid="{A1821755-1F7F-4CDC-8785-E3964F7326F9}"/>
    <hyperlink ref="D4" r:id="rId2" xr:uid="{8407BE35-5B0D-4FB0-BC49-93B084CC44CD}"/>
    <hyperlink ref="E10" r:id="rId3" xr:uid="{573E1C6A-84E0-4C62-979E-98913AEBC06B}"/>
    <hyperlink ref="G12" r:id="rId4" xr:uid="{4CD0472C-A255-4AE6-8FC6-3AB0479EDFD7}"/>
    <hyperlink ref="C33" r:id="rId5" display="url:DCLICK" xr:uid="{D1FF248A-7CE9-44AD-92B6-2EB187F7A09B}"/>
    <hyperlink ref="G38" r:id="rId6" display="url:URL_Dclick_Pages" xr:uid="{927F3434-D855-498C-900A-FA141B77EEE0}"/>
  </hyperlinks>
  <pageMargins left="0.7" right="0.7" top="0.75" bottom="0.75" header="0.3" footer="0.3"/>
  <pageSetup orientation="portrait" r:id="rId7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8B9CC-40CC-4B2F-8691-4BFD35AC4459}">
  <sheetPr codeName="Sheet12"/>
  <dimension ref="A1:R143"/>
  <sheetViews>
    <sheetView workbookViewId="0">
      <selection activeCell="C144" sqref="C144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800</v>
      </c>
      <c r="D2" s="2" t="s">
        <v>783</v>
      </c>
      <c r="I2" t="s">
        <v>640</v>
      </c>
    </row>
    <row r="3" spans="1:18">
      <c r="E3" t="s">
        <v>92</v>
      </c>
      <c r="I3" t="s">
        <v>641</v>
      </c>
    </row>
    <row r="5" spans="1:18">
      <c r="E5" t="s">
        <v>784</v>
      </c>
    </row>
    <row r="6" spans="1:18">
      <c r="A6" t="s">
        <v>15</v>
      </c>
      <c r="B6" t="s">
        <v>645</v>
      </c>
      <c r="C6" t="s">
        <v>786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719</v>
      </c>
      <c r="E7" t="s">
        <v>703</v>
      </c>
      <c r="Q7" t="s">
        <v>643</v>
      </c>
      <c r="R7" t="s">
        <v>655</v>
      </c>
    </row>
    <row r="8" spans="1:18">
      <c r="Q8" t="s">
        <v>653</v>
      </c>
      <c r="R8" t="s">
        <v>652</v>
      </c>
    </row>
    <row r="9" spans="1:18">
      <c r="E9" t="s">
        <v>715</v>
      </c>
      <c r="Q9" t="s">
        <v>642</v>
      </c>
      <c r="R9" t="s">
        <v>654</v>
      </c>
    </row>
    <row r="10" spans="1:18">
      <c r="A10" t="s">
        <v>15</v>
      </c>
      <c r="B10" t="s">
        <v>704</v>
      </c>
      <c r="C10" t="s">
        <v>799</v>
      </c>
      <c r="L10" t="s">
        <v>705</v>
      </c>
    </row>
    <row r="11" spans="1:18">
      <c r="C11" t="s">
        <v>738</v>
      </c>
    </row>
    <row r="12" spans="1:18">
      <c r="I12" t="b">
        <f>D2=J12</f>
        <v>0</v>
      </c>
      <c r="J12" t="s">
        <v>762</v>
      </c>
    </row>
    <row r="13" spans="1:18">
      <c r="I13" t="b">
        <f>D3=J13</f>
        <v>0</v>
      </c>
      <c r="J13" t="s">
        <v>761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801</v>
      </c>
      <c r="H16" t="s">
        <v>362</v>
      </c>
    </row>
    <row r="17" spans="1:8">
      <c r="C17" t="s">
        <v>366</v>
      </c>
      <c r="D17" t="s">
        <v>358</v>
      </c>
      <c r="H17" t="s">
        <v>746</v>
      </c>
    </row>
    <row r="18" spans="1:8">
      <c r="C18" t="s">
        <v>36</v>
      </c>
      <c r="D18" t="b">
        <v>0</v>
      </c>
      <c r="H18" t="s">
        <v>747</v>
      </c>
    </row>
    <row r="19" spans="1:8">
      <c r="C19" t="s">
        <v>459</v>
      </c>
      <c r="D19" t="s">
        <v>520</v>
      </c>
      <c r="H19" t="s">
        <v>736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  <c r="H21" t="s">
        <v>801</v>
      </c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780</v>
      </c>
      <c r="D26" s="2" t="s">
        <v>781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25</v>
      </c>
      <c r="C37" t="s">
        <v>779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698</v>
      </c>
    </row>
    <row r="40" spans="1:11">
      <c r="C40" t="s">
        <v>637</v>
      </c>
    </row>
    <row r="41" spans="1:11">
      <c r="C41" t="s">
        <v>687</v>
      </c>
      <c r="E41" t="s">
        <v>698</v>
      </c>
    </row>
    <row r="42" spans="1:11">
      <c r="C42" t="s">
        <v>416</v>
      </c>
      <c r="E42" t="s">
        <v>370</v>
      </c>
    </row>
    <row r="43" spans="1:11">
      <c r="C43" t="s">
        <v>771</v>
      </c>
    </row>
    <row r="44" spans="1:11">
      <c r="C44" t="s">
        <v>770</v>
      </c>
      <c r="K44" t="str">
        <f ca="1">_xlfn.CONCAT("createPDF:imagelist,./Output/Images/,./Output/APAC_Daily_Sales_",K48,".pdf")</f>
        <v>createPDF:imagelist,./Output/Images/,./Output/APAC_Daily_Sales_20221103104758.pdf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20221103104758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782</v>
      </c>
    </row>
    <row r="70" spans="1:5">
      <c r="B70" s="3"/>
      <c r="C70" t="s">
        <v>338</v>
      </c>
    </row>
    <row r="71" spans="1:5">
      <c r="C71" t="s">
        <v>638</v>
      </c>
    </row>
    <row r="72" spans="1:5">
      <c r="A72" t="s">
        <v>16</v>
      </c>
      <c r="B72" t="s">
        <v>638</v>
      </c>
      <c r="C72" t="s">
        <v>788</v>
      </c>
      <c r="E72" t="s">
        <v>636</v>
      </c>
    </row>
    <row r="74" spans="1:5">
      <c r="A74" t="s">
        <v>16</v>
      </c>
      <c r="B74" s="3" t="s">
        <v>32</v>
      </c>
      <c r="C74" t="s">
        <v>399</v>
      </c>
    </row>
    <row r="75" spans="1:5">
      <c r="B75" s="3"/>
      <c r="C75" t="s">
        <v>417</v>
      </c>
      <c r="E75" t="s">
        <v>117</v>
      </c>
    </row>
    <row r="76" spans="1:5">
      <c r="C76" t="s">
        <v>118</v>
      </c>
    </row>
    <row r="77" spans="1:5">
      <c r="A77" t="s">
        <v>16</v>
      </c>
      <c r="B77" t="s">
        <v>118</v>
      </c>
      <c r="C77" t="s">
        <v>656</v>
      </c>
    </row>
    <row r="78" spans="1:5">
      <c r="C78" t="s">
        <v>657</v>
      </c>
    </row>
    <row r="79" spans="1:5">
      <c r="C79" t="s">
        <v>422</v>
      </c>
    </row>
    <row r="80" spans="1:5">
      <c r="C80" t="s">
        <v>647</v>
      </c>
      <c r="E80" t="s">
        <v>706</v>
      </c>
    </row>
    <row r="81" spans="1:5">
      <c r="C81" t="s">
        <v>658</v>
      </c>
      <c r="E81" t="s">
        <v>707</v>
      </c>
    </row>
    <row r="82" spans="1:5">
      <c r="C82" t="s">
        <v>727</v>
      </c>
    </row>
    <row r="83" spans="1:5">
      <c r="C83" t="s">
        <v>716</v>
      </c>
      <c r="E83" t="s">
        <v>717</v>
      </c>
    </row>
    <row r="84" spans="1:5">
      <c r="C84" t="s">
        <v>556</v>
      </c>
    </row>
    <row r="86" spans="1:5">
      <c r="A86" t="s">
        <v>16</v>
      </c>
      <c r="B86" t="s">
        <v>429</v>
      </c>
      <c r="C86" t="s">
        <v>425</v>
      </c>
    </row>
    <row r="87" spans="1:5">
      <c r="C87" t="s">
        <v>428</v>
      </c>
    </row>
    <row r="88" spans="1:5">
      <c r="C88" t="s">
        <v>129</v>
      </c>
    </row>
    <row r="89" spans="1:5">
      <c r="C89" t="s">
        <v>427</v>
      </c>
    </row>
    <row r="90" spans="1:5">
      <c r="C90" t="s">
        <v>426</v>
      </c>
    </row>
    <row r="92" spans="1:5">
      <c r="A92" t="s">
        <v>16</v>
      </c>
      <c r="B92" t="s">
        <v>650</v>
      </c>
      <c r="C92" t="s">
        <v>651</v>
      </c>
    </row>
    <row r="94" spans="1:5">
      <c r="A94" t="s">
        <v>16</v>
      </c>
      <c r="B94" t="s">
        <v>708</v>
      </c>
      <c r="C94" t="s">
        <v>431</v>
      </c>
    </row>
    <row r="96" spans="1:5">
      <c r="A96" t="s">
        <v>16</v>
      </c>
      <c r="B96" t="s">
        <v>709</v>
      </c>
      <c r="C96" t="s">
        <v>24</v>
      </c>
    </row>
    <row r="97" spans="1:10">
      <c r="C97" t="s">
        <v>772</v>
      </c>
      <c r="E97" t="s">
        <v>713</v>
      </c>
    </row>
    <row r="98" spans="1:10">
      <c r="C98" t="s">
        <v>773</v>
      </c>
      <c r="E98" t="s">
        <v>712</v>
      </c>
    </row>
    <row r="99" spans="1:10">
      <c r="C99" t="s">
        <v>722</v>
      </c>
      <c r="E99" t="s">
        <v>711</v>
      </c>
    </row>
    <row r="100" spans="1:10">
      <c r="C100" t="s">
        <v>723</v>
      </c>
      <c r="E100" t="s">
        <v>5</v>
      </c>
    </row>
    <row r="101" spans="1:10">
      <c r="C101" t="s">
        <v>724</v>
      </c>
      <c r="E101" t="s">
        <v>714</v>
      </c>
    </row>
    <row r="102" spans="1:10">
      <c r="C102" t="s">
        <v>24</v>
      </c>
    </row>
    <row r="103" spans="1:10">
      <c r="C103" t="s">
        <v>726</v>
      </c>
      <c r="E103" t="s">
        <v>721</v>
      </c>
    </row>
    <row r="104" spans="1:10">
      <c r="C104" t="s">
        <v>725</v>
      </c>
    </row>
    <row r="105" spans="1:10">
      <c r="C105" t="s">
        <v>1</v>
      </c>
      <c r="E105" t="s">
        <v>728</v>
      </c>
    </row>
    <row r="106" spans="1:10">
      <c r="C106" t="s">
        <v>765</v>
      </c>
      <c r="E106" t="s">
        <v>64</v>
      </c>
    </row>
    <row r="108" spans="1:10">
      <c r="A108" t="s">
        <v>16</v>
      </c>
      <c r="B108" t="s">
        <v>737</v>
      </c>
      <c r="C108" t="s">
        <v>743</v>
      </c>
      <c r="E108" t="s">
        <v>774</v>
      </c>
      <c r="J108" t="s">
        <v>740</v>
      </c>
    </row>
    <row r="109" spans="1:10">
      <c r="C109" t="s">
        <v>778</v>
      </c>
      <c r="E109" t="s">
        <v>776</v>
      </c>
    </row>
    <row r="110" spans="1:10">
      <c r="C110" t="s">
        <v>768</v>
      </c>
      <c r="E110" t="s">
        <v>775</v>
      </c>
    </row>
    <row r="113" spans="1:10">
      <c r="A113" t="s">
        <v>16</v>
      </c>
      <c r="B113" t="s">
        <v>710</v>
      </c>
      <c r="C113" t="s">
        <v>718</v>
      </c>
      <c r="F113" t="s">
        <v>705</v>
      </c>
    </row>
    <row r="115" spans="1:10">
      <c r="A115" t="s">
        <v>16</v>
      </c>
      <c r="B115" t="s">
        <v>759</v>
      </c>
      <c r="C115" t="s">
        <v>740</v>
      </c>
      <c r="E115" t="s">
        <v>739</v>
      </c>
      <c r="J115" t="s">
        <v>740</v>
      </c>
    </row>
    <row r="116" spans="1:10">
      <c r="E116" s="11" t="s">
        <v>729</v>
      </c>
      <c r="J116" t="s">
        <v>741</v>
      </c>
    </row>
    <row r="117" spans="1:10">
      <c r="A117" t="s">
        <v>16</v>
      </c>
      <c r="B117" t="s">
        <v>742</v>
      </c>
      <c r="C117" t="s">
        <v>766</v>
      </c>
      <c r="E117" s="11" t="s">
        <v>730</v>
      </c>
    </row>
    <row r="118" spans="1:10">
      <c r="C118" t="s">
        <v>767</v>
      </c>
    </row>
    <row r="119" spans="1:10">
      <c r="E119" s="12" t="s">
        <v>731</v>
      </c>
    </row>
    <row r="121" spans="1:10">
      <c r="A121" t="s">
        <v>16</v>
      </c>
      <c r="B121" t="s">
        <v>744</v>
      </c>
      <c r="C121" t="s">
        <v>745</v>
      </c>
      <c r="E121" s="13" t="s">
        <v>732</v>
      </c>
    </row>
    <row r="122" spans="1:10">
      <c r="E122" s="12"/>
    </row>
    <row r="123" spans="1:10">
      <c r="E123" s="12" t="s">
        <v>733</v>
      </c>
    </row>
    <row r="124" spans="1:10">
      <c r="A124" t="s">
        <v>16</v>
      </c>
      <c r="B124" t="s">
        <v>785</v>
      </c>
      <c r="C124" t="s">
        <v>786</v>
      </c>
    </row>
    <row r="125" spans="1:10">
      <c r="C125" t="s">
        <v>787</v>
      </c>
    </row>
    <row r="126" spans="1:10">
      <c r="C126" t="s">
        <v>789</v>
      </c>
      <c r="E126" t="s">
        <v>734</v>
      </c>
    </row>
    <row r="127" spans="1:10">
      <c r="C127" t="s">
        <v>790</v>
      </c>
    </row>
    <row r="128" spans="1:10">
      <c r="C128" t="s">
        <v>791</v>
      </c>
    </row>
    <row r="129" spans="3:5">
      <c r="C129" t="s">
        <v>338</v>
      </c>
      <c r="E129" t="s">
        <v>735</v>
      </c>
    </row>
    <row r="130" spans="3:5">
      <c r="C130" t="s">
        <v>792</v>
      </c>
    </row>
    <row r="131" spans="3:5">
      <c r="C131" t="s">
        <v>790</v>
      </c>
    </row>
    <row r="132" spans="3:5">
      <c r="C132" t="s">
        <v>793</v>
      </c>
    </row>
    <row r="133" spans="3:5">
      <c r="C133" t="s">
        <v>338</v>
      </c>
    </row>
    <row r="134" spans="3:5">
      <c r="C134" t="s">
        <v>798</v>
      </c>
    </row>
    <row r="135" spans="3:5">
      <c r="C135" t="s">
        <v>790</v>
      </c>
    </row>
    <row r="136" spans="3:5">
      <c r="C136" t="s">
        <v>794</v>
      </c>
    </row>
    <row r="137" spans="3:5">
      <c r="C137" t="s">
        <v>338</v>
      </c>
    </row>
    <row r="138" spans="3:5">
      <c r="C138" t="s">
        <v>795</v>
      </c>
    </row>
    <row r="139" spans="3:5">
      <c r="C139" t="s">
        <v>727</v>
      </c>
    </row>
    <row r="140" spans="3:5">
      <c r="C140" t="s">
        <v>796</v>
      </c>
    </row>
    <row r="141" spans="3:5">
      <c r="C141" t="s">
        <v>797</v>
      </c>
    </row>
    <row r="142" spans="3:5">
      <c r="C142" t="s">
        <v>727</v>
      </c>
    </row>
    <row r="143" spans="3:5">
      <c r="C143" t="s">
        <v>802</v>
      </c>
    </row>
  </sheetData>
  <hyperlinks>
    <hyperlink ref="L75" r:id="rId1" display="url:URL_Dclick_Pages" xr:uid="{18CC2C60-2FCA-4D97-BF3D-91A1B64090E1}"/>
    <hyperlink ref="C75" r:id="rId2" display="url:URL_Dclick_Pages" xr:uid="{707A6D4C-8412-4452-AC65-D819935979F8}"/>
    <hyperlink ref="D26" r:id="rId3" xr:uid="{3DF921C1-A046-4BDA-BFC9-FCBB7E100FD4}"/>
    <hyperlink ref="C69" r:id="rId4" display="url:DCLICK" xr:uid="{E0702C11-BD78-4B60-A4D6-C45653707986}"/>
    <hyperlink ref="D2" r:id="rId5" tooltip="https://bi-retail-report-shopindior-ap-jp.eu.dior.fashion/Reports/report/DIOR/Margin%20report" display="https://bi-retail-report-shopindior-ap-jp.eu.dior.fashion/Reports/report/DIOR/Margin report" xr:uid="{71B0E120-049E-40DB-BAEA-F76798092C5D}"/>
  </hyperlinks>
  <pageMargins left="0.7" right="0.7" top="0.75" bottom="0.75" header="0.3" footer="0.3"/>
  <pageSetup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F88F2-99A3-4031-B016-366D7A5F027B}">
  <sheetPr codeName="Sheet15"/>
  <dimension ref="A1:K123"/>
  <sheetViews>
    <sheetView workbookViewId="0">
      <selection activeCell="C13" sqref="C13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>
      <c r="A1" s="14" t="s">
        <v>14</v>
      </c>
      <c r="B1" s="14" t="s">
        <v>18</v>
      </c>
      <c r="C1" s="14" t="s">
        <v>11</v>
      </c>
      <c r="D1" s="14" t="s">
        <v>10</v>
      </c>
      <c r="E1" s="14" t="s">
        <v>8</v>
      </c>
    </row>
    <row r="2" spans="1:5">
      <c r="A2" s="14" t="s">
        <v>15</v>
      </c>
      <c r="B2" s="14" t="s">
        <v>415</v>
      </c>
      <c r="C2" s="14" t="s">
        <v>823</v>
      </c>
      <c r="D2" s="15" t="s">
        <v>824</v>
      </c>
      <c r="E2" s="14" t="s">
        <v>825</v>
      </c>
    </row>
    <row r="4" spans="1:5">
      <c r="A4" s="14" t="s">
        <v>15</v>
      </c>
      <c r="B4" s="14" t="s">
        <v>645</v>
      </c>
      <c r="C4" s="14" t="s">
        <v>786</v>
      </c>
      <c r="D4" s="14">
        <v>0</v>
      </c>
      <c r="E4" s="14" t="s">
        <v>646</v>
      </c>
    </row>
    <row r="6" spans="1:5">
      <c r="A6" s="14" t="s">
        <v>15</v>
      </c>
      <c r="B6" s="14" t="s">
        <v>704</v>
      </c>
      <c r="C6" s="14" t="s">
        <v>826</v>
      </c>
      <c r="D6" s="14"/>
      <c r="E6" s="14"/>
    </row>
    <row r="8" spans="1:5">
      <c r="A8" s="14" t="s">
        <v>15</v>
      </c>
      <c r="B8" s="16" t="s">
        <v>357</v>
      </c>
      <c r="C8" s="14" t="s">
        <v>359</v>
      </c>
      <c r="D8" s="14" t="s">
        <v>827</v>
      </c>
      <c r="E8" s="14"/>
    </row>
    <row r="9" spans="1:5">
      <c r="A9" s="14"/>
      <c r="B9" s="16"/>
      <c r="C9" s="14" t="s">
        <v>828</v>
      </c>
      <c r="D9" s="14" t="s">
        <v>829</v>
      </c>
      <c r="E9" s="14"/>
    </row>
    <row r="10" spans="1:5">
      <c r="A10" s="14"/>
      <c r="B10" s="14"/>
      <c r="C10" s="14" t="s">
        <v>36</v>
      </c>
      <c r="D10" s="14" t="b">
        <v>0</v>
      </c>
      <c r="E10" s="14"/>
    </row>
    <row r="12" spans="1:5">
      <c r="A12" s="14" t="s">
        <v>15</v>
      </c>
      <c r="B12" s="14" t="s">
        <v>9</v>
      </c>
      <c r="C12" s="14" t="s">
        <v>780</v>
      </c>
      <c r="D12" s="15" t="s">
        <v>781</v>
      </c>
      <c r="E12" s="16" t="s">
        <v>433</v>
      </c>
    </row>
    <row r="13" spans="1:5">
      <c r="A13" s="14"/>
      <c r="B13" s="14"/>
      <c r="C13" s="14"/>
      <c r="D13" s="14"/>
      <c r="E13" s="16"/>
    </row>
    <row r="14" spans="1:5">
      <c r="A14" s="14" t="s">
        <v>16</v>
      </c>
      <c r="B14" s="16" t="s">
        <v>25</v>
      </c>
      <c r="C14" s="14" t="s">
        <v>779</v>
      </c>
      <c r="D14" s="14"/>
      <c r="E14" s="14" t="s">
        <v>148</v>
      </c>
    </row>
    <row r="15" spans="1:5">
      <c r="A15" s="14"/>
      <c r="B15" s="16"/>
      <c r="C15" s="14" t="s">
        <v>644</v>
      </c>
      <c r="D15" s="16"/>
      <c r="E15" s="14"/>
    </row>
    <row r="16" spans="1:5">
      <c r="A16" s="14"/>
      <c r="B16" s="14"/>
      <c r="C16" s="14" t="s">
        <v>637</v>
      </c>
      <c r="D16" s="14"/>
      <c r="E16" s="14"/>
    </row>
    <row r="17" spans="1:5">
      <c r="A17" s="14"/>
      <c r="B17" s="14"/>
      <c r="C17" s="14" t="s">
        <v>416</v>
      </c>
      <c r="D17" s="14"/>
      <c r="E17" s="14" t="s">
        <v>370</v>
      </c>
    </row>
    <row r="19" spans="1:5">
      <c r="A19" s="14" t="s">
        <v>16</v>
      </c>
      <c r="B19" s="16" t="s">
        <v>637</v>
      </c>
      <c r="C19" s="14" t="s">
        <v>782</v>
      </c>
      <c r="D19" s="14"/>
      <c r="E19" s="14"/>
    </row>
    <row r="20" spans="1:5">
      <c r="A20" s="14"/>
      <c r="B20" s="16"/>
      <c r="C20" s="14" t="s">
        <v>1</v>
      </c>
      <c r="D20" s="14"/>
      <c r="E20" s="14"/>
    </row>
    <row r="21" spans="1:5">
      <c r="A21" s="14"/>
      <c r="B21" s="16"/>
      <c r="C21" s="14" t="s">
        <v>338</v>
      </c>
      <c r="D21" s="14"/>
      <c r="E21" s="14"/>
    </row>
    <row r="22" spans="1:5">
      <c r="A22" s="14"/>
      <c r="B22" s="14"/>
      <c r="C22" s="14" t="s">
        <v>638</v>
      </c>
      <c r="D22" s="14"/>
      <c r="E22" s="14"/>
    </row>
    <row r="23" spans="1:5">
      <c r="A23" s="14" t="s">
        <v>16</v>
      </c>
      <c r="B23" s="14" t="s">
        <v>638</v>
      </c>
      <c r="C23" s="14" t="s">
        <v>788</v>
      </c>
      <c r="D23" s="14"/>
      <c r="E23" s="14" t="s">
        <v>636</v>
      </c>
    </row>
    <row r="25" spans="1:5">
      <c r="A25" s="14" t="s">
        <v>16</v>
      </c>
      <c r="B25" s="16" t="s">
        <v>32</v>
      </c>
      <c r="C25" s="14" t="s">
        <v>399</v>
      </c>
      <c r="D25" s="14"/>
      <c r="E25" s="14"/>
    </row>
    <row r="26" spans="1:5">
      <c r="A26" s="14"/>
      <c r="B26" s="16"/>
      <c r="C26" s="14" t="s">
        <v>417</v>
      </c>
      <c r="D26" s="14"/>
      <c r="E26" s="14" t="s">
        <v>117</v>
      </c>
    </row>
    <row r="27" spans="1:5">
      <c r="A27" s="14"/>
      <c r="B27" s="14"/>
      <c r="C27" s="14" t="s">
        <v>118</v>
      </c>
      <c r="D27" s="14"/>
      <c r="E27" s="14"/>
    </row>
    <row r="28" spans="1:5">
      <c r="A28" s="14" t="s">
        <v>16</v>
      </c>
      <c r="B28" s="14" t="s">
        <v>118</v>
      </c>
      <c r="C28" s="14" t="s">
        <v>422</v>
      </c>
      <c r="D28" s="14"/>
      <c r="E28" s="14"/>
    </row>
    <row r="29" spans="1:5">
      <c r="A29" s="14"/>
      <c r="B29" s="14"/>
      <c r="C29" s="14" t="s">
        <v>647</v>
      </c>
      <c r="D29" s="14"/>
      <c r="E29" s="14" t="s">
        <v>706</v>
      </c>
    </row>
    <row r="30" spans="1:5">
      <c r="A30" s="14"/>
      <c r="B30" s="14"/>
      <c r="C30" s="14" t="s">
        <v>830</v>
      </c>
      <c r="D30" s="14"/>
      <c r="E30" s="14" t="s">
        <v>707</v>
      </c>
    </row>
    <row r="31" spans="1:5">
      <c r="A31" s="14"/>
      <c r="B31" s="14"/>
      <c r="C31" s="14" t="s">
        <v>716</v>
      </c>
      <c r="D31" s="14"/>
      <c r="E31" s="14" t="s">
        <v>717</v>
      </c>
    </row>
    <row r="33" spans="1:11">
      <c r="A33" s="14" t="s">
        <v>16</v>
      </c>
      <c r="B33" s="14" t="s">
        <v>785</v>
      </c>
      <c r="C33" s="14" t="s">
        <v>786</v>
      </c>
      <c r="D33" s="14"/>
      <c r="E33" s="14"/>
    </row>
    <row r="34" spans="1:11">
      <c r="A34" s="14"/>
      <c r="B34" s="14"/>
      <c r="C34" s="14" t="s">
        <v>831</v>
      </c>
      <c r="D34" s="14"/>
      <c r="E34" s="14"/>
    </row>
    <row r="35" spans="1:11">
      <c r="A35" s="14"/>
      <c r="B35" s="14"/>
      <c r="C35" s="14" t="s">
        <v>792</v>
      </c>
      <c r="D35" s="14"/>
      <c r="E35" s="14"/>
    </row>
    <row r="36" spans="1:11">
      <c r="A36" s="14"/>
      <c r="B36" s="14"/>
      <c r="C36" s="14" t="s">
        <v>790</v>
      </c>
      <c r="D36" s="14"/>
      <c r="E36" s="14"/>
    </row>
    <row r="37" spans="1:11">
      <c r="A37" s="14"/>
      <c r="B37" s="14"/>
      <c r="C37" s="14" t="s">
        <v>832</v>
      </c>
      <c r="D37" s="14"/>
      <c r="E37" s="14"/>
    </row>
    <row r="38" spans="1:11">
      <c r="A38" s="14"/>
      <c r="B38" s="14"/>
      <c r="C38" s="14" t="s">
        <v>833</v>
      </c>
      <c r="D38" s="14"/>
      <c r="E38" s="14"/>
    </row>
    <row r="39" spans="1:11">
      <c r="A39" s="14"/>
      <c r="B39" s="14"/>
      <c r="C39" s="14" t="s">
        <v>834</v>
      </c>
      <c r="D39" s="14"/>
      <c r="E39" s="14"/>
    </row>
    <row r="40" spans="1:11">
      <c r="A40" s="14"/>
      <c r="B40" s="14"/>
      <c r="C40" s="14" t="s">
        <v>338</v>
      </c>
      <c r="D40" s="14"/>
      <c r="E40" s="14"/>
    </row>
    <row r="41" spans="1:11">
      <c r="A41" s="14"/>
      <c r="B41" s="14"/>
      <c r="C41" s="14" t="s">
        <v>835</v>
      </c>
      <c r="D41" s="14"/>
      <c r="E41" s="14"/>
    </row>
    <row r="42" spans="1:11">
      <c r="A42" s="14"/>
      <c r="B42" s="14"/>
      <c r="C42" s="14" t="s">
        <v>836</v>
      </c>
      <c r="D42" s="14"/>
      <c r="E42" s="14"/>
    </row>
    <row r="43" spans="1:11">
      <c r="A43" s="14"/>
      <c r="B43" s="14"/>
      <c r="C43" s="14" t="s">
        <v>837</v>
      </c>
      <c r="D43" s="14"/>
      <c r="E43" s="14"/>
    </row>
    <row r="44" spans="1:11">
      <c r="A44" s="14"/>
      <c r="B44" s="14"/>
      <c r="C44" s="14" t="s">
        <v>838</v>
      </c>
      <c r="D44" s="14"/>
      <c r="E44" s="14"/>
    </row>
    <row r="45" spans="1:11">
      <c r="A45" s="14"/>
      <c r="B45" s="14"/>
      <c r="C45" s="14" t="s">
        <v>338</v>
      </c>
      <c r="D45" s="14"/>
      <c r="E45" s="14"/>
    </row>
    <row r="46" spans="1:11">
      <c r="A46" s="14"/>
      <c r="B46" s="14"/>
      <c r="C46" s="14" t="s">
        <v>1</v>
      </c>
      <c r="D46" s="14"/>
      <c r="E46" s="14"/>
    </row>
    <row r="47" spans="1:11">
      <c r="A47" s="14"/>
      <c r="B47" s="14"/>
      <c r="C47" s="14" t="s">
        <v>795</v>
      </c>
      <c r="D47" s="14"/>
      <c r="E47" s="14"/>
    </row>
    <row r="48" spans="1:11">
      <c r="A48" s="14"/>
      <c r="B48" s="14"/>
      <c r="C48" s="14" t="s">
        <v>839</v>
      </c>
      <c r="D48" s="14"/>
      <c r="E48" s="14" t="s">
        <v>840</v>
      </c>
      <c r="K48" s="4"/>
    </row>
    <row r="49" spans="1:10">
      <c r="A49" s="14"/>
      <c r="B49" s="14"/>
      <c r="C49" s="14" t="s">
        <v>796</v>
      </c>
      <c r="D49" s="14"/>
      <c r="E49" s="14"/>
      <c r="F49" s="14"/>
      <c r="G49" s="14"/>
      <c r="H49" s="14"/>
      <c r="I49" s="14"/>
      <c r="J49" s="14"/>
    </row>
    <row r="50" spans="1:10">
      <c r="A50" s="14"/>
      <c r="B50" s="14"/>
      <c r="C50" s="14" t="s">
        <v>797</v>
      </c>
      <c r="D50" s="14"/>
      <c r="E50" s="14"/>
      <c r="F50" s="14"/>
      <c r="G50" s="14"/>
      <c r="H50" s="14"/>
      <c r="I50" s="14"/>
      <c r="J50" s="14"/>
    </row>
    <row r="51" spans="1:10">
      <c r="A51" s="14"/>
      <c r="B51" s="14"/>
      <c r="C51" s="14" t="s">
        <v>841</v>
      </c>
      <c r="D51" s="14"/>
      <c r="E51" s="14"/>
      <c r="F51" s="14" t="s">
        <v>842</v>
      </c>
      <c r="G51" s="14" t="s">
        <v>843</v>
      </c>
      <c r="H51" s="14"/>
      <c r="I51" s="14"/>
      <c r="J51" s="14"/>
    </row>
    <row r="52" spans="1:10">
      <c r="A52" s="14"/>
      <c r="B52" s="14"/>
      <c r="C52" s="14" t="s">
        <v>844</v>
      </c>
      <c r="D52" s="14"/>
      <c r="E52" s="14" t="s">
        <v>845</v>
      </c>
      <c r="F52" s="14"/>
      <c r="G52" s="14"/>
      <c r="H52" s="14"/>
      <c r="I52" s="14"/>
      <c r="J52" s="14"/>
    </row>
    <row r="53" spans="1:10">
      <c r="A53" s="14"/>
      <c r="B53" s="14"/>
      <c r="C53" s="14" t="s">
        <v>846</v>
      </c>
      <c r="D53" s="14"/>
      <c r="E53" s="14"/>
      <c r="F53" s="14"/>
      <c r="G53" s="14"/>
      <c r="H53" s="14"/>
      <c r="I53" s="14"/>
      <c r="J53" s="14"/>
    </row>
    <row r="54" spans="1:10">
      <c r="A54" s="14"/>
      <c r="B54" s="14"/>
      <c r="C54" s="14" t="s">
        <v>847</v>
      </c>
      <c r="D54" s="14"/>
      <c r="E54" s="14"/>
      <c r="F54" s="14"/>
      <c r="G54" s="14"/>
      <c r="H54" s="14"/>
      <c r="I54" s="14"/>
      <c r="J54" s="14"/>
    </row>
    <row r="55" spans="1:10">
      <c r="B55" s="1"/>
      <c r="E55" s="1"/>
    </row>
    <row r="56" spans="1:10">
      <c r="B56" s="1"/>
      <c r="E56" s="1"/>
    </row>
    <row r="57" spans="1:10">
      <c r="A57" s="14" t="s">
        <v>16</v>
      </c>
      <c r="B57" s="14" t="s">
        <v>737</v>
      </c>
      <c r="C57" s="14" t="s">
        <v>743</v>
      </c>
      <c r="D57" s="14"/>
      <c r="E57" s="14" t="s">
        <v>774</v>
      </c>
      <c r="F57" s="14"/>
      <c r="G57" s="14"/>
      <c r="H57" s="14"/>
      <c r="I57" s="14"/>
      <c r="J57" s="14" t="s">
        <v>740</v>
      </c>
    </row>
    <row r="58" spans="1:10">
      <c r="A58" s="14"/>
      <c r="B58" s="14"/>
      <c r="C58" s="14" t="s">
        <v>778</v>
      </c>
      <c r="D58" s="14"/>
      <c r="E58" s="14" t="s">
        <v>776</v>
      </c>
      <c r="F58" s="14"/>
      <c r="G58" s="14"/>
      <c r="H58" s="14"/>
      <c r="I58" s="14"/>
      <c r="J58" s="14"/>
    </row>
    <row r="59" spans="1:10">
      <c r="A59" s="14"/>
      <c r="B59" s="14"/>
      <c r="C59" s="14" t="s">
        <v>768</v>
      </c>
      <c r="D59" s="14"/>
      <c r="E59" s="14" t="s">
        <v>775</v>
      </c>
      <c r="F59" s="14"/>
      <c r="G59" s="14"/>
      <c r="H59" s="14"/>
      <c r="I59" s="14"/>
      <c r="J59" s="14"/>
    </row>
    <row r="69" spans="2:2">
      <c r="B69" s="3"/>
    </row>
    <row r="70" spans="2:2">
      <c r="B70" s="3"/>
    </row>
    <row r="74" spans="2:2">
      <c r="B74" s="3"/>
    </row>
    <row r="75" spans="2:2">
      <c r="B75" s="3"/>
    </row>
    <row r="116" spans="5:5">
      <c r="E116" s="11"/>
    </row>
    <row r="117" spans="5:5">
      <c r="E117" s="11"/>
    </row>
    <row r="119" spans="5:5">
      <c r="E119" s="12"/>
    </row>
    <row r="121" spans="5:5">
      <c r="E121" s="13"/>
    </row>
    <row r="122" spans="5:5">
      <c r="E122" s="12"/>
    </row>
    <row r="123" spans="5:5">
      <c r="E123" s="12"/>
    </row>
  </sheetData>
  <hyperlinks>
    <hyperlink ref="C26" r:id="rId1" display="url:URL_Dclick_Pages" xr:uid="{AAE84E4A-2218-40C6-99A7-C3C24003999A}"/>
    <hyperlink ref="C19" r:id="rId2" display="url:DCLICK" xr:uid="{28970F34-B856-4FCC-B6C5-7A712EB15712}"/>
    <hyperlink ref="D12" r:id="rId3" xr:uid="{D07381AF-8C2F-4468-97D6-74395B50689E}"/>
    <hyperlink ref="D2" r:id="rId4" xr:uid="{2337D96E-180B-479C-9AEC-2625B438BB8A}"/>
  </hyperlinks>
  <pageMargins left="0.7" right="0.7" top="0.75" bottom="0.75" header="0.3" footer="0.3"/>
  <pageSetup orientation="portrait"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79BC7-DDB7-4979-9291-F30035697A73}">
  <sheetPr codeName="Sheet9"/>
  <dimension ref="A1:J61"/>
  <sheetViews>
    <sheetView workbookViewId="0">
      <selection activeCell="D5" sqref="D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6" max="6" width="15.28515625" customWidth="1"/>
    <col min="7" max="7" width="21.14062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0" s="14" customFormat="1"/>
    <row r="3" spans="1:10" s="14" customFormat="1">
      <c r="A3" s="14" t="s">
        <v>15</v>
      </c>
      <c r="B3" s="14" t="s">
        <v>415</v>
      </c>
      <c r="C3" s="14" t="s">
        <v>11</v>
      </c>
      <c r="D3" s="14" t="s">
        <v>9</v>
      </c>
      <c r="E3" s="14" t="s">
        <v>645</v>
      </c>
      <c r="F3" s="14" t="s">
        <v>850</v>
      </c>
      <c r="G3" s="14" t="s">
        <v>857</v>
      </c>
    </row>
    <row r="4" spans="1:10">
      <c r="C4" t="s">
        <v>763</v>
      </c>
      <c r="D4" t="s">
        <v>762</v>
      </c>
      <c r="E4" s="14" t="s">
        <v>719</v>
      </c>
      <c r="F4" s="14">
        <v>0</v>
      </c>
      <c r="G4" s="14" t="s">
        <v>820</v>
      </c>
    </row>
    <row r="5" spans="1:10">
      <c r="C5" t="s">
        <v>764</v>
      </c>
      <c r="D5" t="s">
        <v>761</v>
      </c>
      <c r="E5" s="14" t="s">
        <v>719</v>
      </c>
      <c r="F5" s="14"/>
      <c r="G5" s="14" t="s">
        <v>820</v>
      </c>
    </row>
    <row r="8" spans="1:10">
      <c r="A8" t="s">
        <v>15</v>
      </c>
      <c r="B8" t="s">
        <v>645</v>
      </c>
      <c r="C8" t="s">
        <v>719</v>
      </c>
      <c r="D8">
        <v>0</v>
      </c>
      <c r="E8" t="s">
        <v>646</v>
      </c>
    </row>
    <row r="9" spans="1:10">
      <c r="C9" t="s">
        <v>719</v>
      </c>
      <c r="E9" t="s">
        <v>703</v>
      </c>
    </row>
    <row r="11" spans="1:10">
      <c r="A11" t="s">
        <v>15</v>
      </c>
      <c r="B11" t="s">
        <v>704</v>
      </c>
      <c r="C11" t="s">
        <v>820</v>
      </c>
      <c r="J11" t="s">
        <v>820</v>
      </c>
    </row>
    <row r="12" spans="1:10">
      <c r="C12" t="s">
        <v>820</v>
      </c>
      <c r="E12" t="s">
        <v>715</v>
      </c>
    </row>
    <row r="14" spans="1:10">
      <c r="A14" t="s">
        <v>15</v>
      </c>
      <c r="B14" s="3" t="s">
        <v>357</v>
      </c>
      <c r="C14" t="s">
        <v>252</v>
      </c>
      <c r="D14" t="s">
        <v>632</v>
      </c>
      <c r="E14" s="3" t="s">
        <v>432</v>
      </c>
    </row>
    <row r="15" spans="1:10">
      <c r="C15" t="s">
        <v>364</v>
      </c>
      <c r="D15" t="s">
        <v>748</v>
      </c>
    </row>
    <row r="17" spans="1:10">
      <c r="A17" t="s">
        <v>15</v>
      </c>
      <c r="B17" t="s">
        <v>9</v>
      </c>
      <c r="C17" t="s">
        <v>634</v>
      </c>
      <c r="D17" t="s">
        <v>633</v>
      </c>
      <c r="E17" s="3" t="s">
        <v>433</v>
      </c>
    </row>
    <row r="19" spans="1:10">
      <c r="A19" t="s">
        <v>15</v>
      </c>
      <c r="B19" t="s">
        <v>404</v>
      </c>
      <c r="C19" t="s">
        <v>405</v>
      </c>
      <c r="E19" s="3" t="s">
        <v>436</v>
      </c>
    </row>
    <row r="20" spans="1:10">
      <c r="E20" s="3"/>
    </row>
    <row r="21" spans="1:10">
      <c r="A21" t="s">
        <v>16</v>
      </c>
      <c r="B21" s="3" t="s">
        <v>25</v>
      </c>
      <c r="C21" t="s">
        <v>760</v>
      </c>
      <c r="E21" t="s">
        <v>148</v>
      </c>
    </row>
    <row r="22" spans="1:10">
      <c r="B22" s="3"/>
      <c r="C22" s="14" t="s">
        <v>851</v>
      </c>
      <c r="D22" s="3"/>
    </row>
    <row r="23" spans="1:10">
      <c r="C23" t="s">
        <v>637</v>
      </c>
    </row>
    <row r="24" spans="1:10">
      <c r="C24" t="s">
        <v>856</v>
      </c>
      <c r="E24" t="s">
        <v>370</v>
      </c>
      <c r="J24" t="s">
        <v>416</v>
      </c>
    </row>
    <row r="25" spans="1:10">
      <c r="E25" t="s">
        <v>717</v>
      </c>
    </row>
    <row r="26" spans="1:10">
      <c r="A26" t="s">
        <v>16</v>
      </c>
      <c r="B26" s="3" t="s">
        <v>637</v>
      </c>
      <c r="C26" t="s">
        <v>635</v>
      </c>
    </row>
    <row r="27" spans="1:10">
      <c r="C27" t="s">
        <v>638</v>
      </c>
    </row>
    <row r="28" spans="1:10">
      <c r="A28" t="s">
        <v>16</v>
      </c>
      <c r="B28" t="s">
        <v>638</v>
      </c>
      <c r="C28" t="s">
        <v>639</v>
      </c>
      <c r="E28" t="s">
        <v>636</v>
      </c>
    </row>
    <row r="30" spans="1:10">
      <c r="A30" t="s">
        <v>16</v>
      </c>
      <c r="B30" s="3" t="s">
        <v>32</v>
      </c>
      <c r="C30" t="s">
        <v>399</v>
      </c>
    </row>
    <row r="31" spans="1:10">
      <c r="B31" s="3"/>
      <c r="C31" t="s">
        <v>858</v>
      </c>
      <c r="E31" t="s">
        <v>117</v>
      </c>
    </row>
    <row r="32" spans="1:10">
      <c r="C32" t="s">
        <v>118</v>
      </c>
    </row>
    <row r="33" spans="1:5">
      <c r="A33" t="s">
        <v>16</v>
      </c>
      <c r="B33" t="s">
        <v>118</v>
      </c>
      <c r="C33" t="s">
        <v>422</v>
      </c>
    </row>
    <row r="34" spans="1:5">
      <c r="C34" t="s">
        <v>859</v>
      </c>
      <c r="E34" t="s">
        <v>706</v>
      </c>
    </row>
    <row r="35" spans="1:5">
      <c r="C35" t="s">
        <v>860</v>
      </c>
      <c r="E35" t="s">
        <v>707</v>
      </c>
    </row>
    <row r="36" spans="1:5">
      <c r="C36" t="s">
        <v>24</v>
      </c>
    </row>
    <row r="39" spans="1:5">
      <c r="A39" t="s">
        <v>16</v>
      </c>
      <c r="B39" t="s">
        <v>814</v>
      </c>
      <c r="C39" t="s">
        <v>24</v>
      </c>
    </row>
    <row r="40" spans="1:5">
      <c r="C40" t="s">
        <v>869</v>
      </c>
      <c r="E40" t="s">
        <v>711</v>
      </c>
    </row>
    <row r="41" spans="1:5">
      <c r="C41" t="s">
        <v>868</v>
      </c>
      <c r="E41" t="s">
        <v>5</v>
      </c>
    </row>
    <row r="42" spans="1:5">
      <c r="C42" t="s">
        <v>867</v>
      </c>
      <c r="E42" t="s">
        <v>815</v>
      </c>
    </row>
    <row r="43" spans="1:5">
      <c r="C43" t="s">
        <v>24</v>
      </c>
    </row>
    <row r="44" spans="1:5">
      <c r="C44" t="s">
        <v>865</v>
      </c>
    </row>
    <row r="45" spans="1:5">
      <c r="C45" t="s">
        <v>866</v>
      </c>
    </row>
    <row r="46" spans="1:5">
      <c r="C46" t="s">
        <v>727</v>
      </c>
    </row>
    <row r="47" spans="1:5">
      <c r="C47" s="17" t="s">
        <v>870</v>
      </c>
      <c r="E47" t="s">
        <v>64</v>
      </c>
    </row>
    <row r="49" spans="1:10">
      <c r="A49" t="s">
        <v>16</v>
      </c>
      <c r="B49" t="s">
        <v>737</v>
      </c>
      <c r="C49" t="s">
        <v>821</v>
      </c>
    </row>
    <row r="50" spans="1:10">
      <c r="A50" s="17"/>
      <c r="B50" s="17"/>
      <c r="C50" t="s">
        <v>822</v>
      </c>
      <c r="E50" t="s">
        <v>774</v>
      </c>
      <c r="J50" t="s">
        <v>807</v>
      </c>
    </row>
    <row r="51" spans="1:10">
      <c r="C51" t="s">
        <v>861</v>
      </c>
      <c r="E51" t="s">
        <v>776</v>
      </c>
      <c r="J51" t="s">
        <v>813</v>
      </c>
    </row>
    <row r="52" spans="1:10">
      <c r="C52" t="s">
        <v>862</v>
      </c>
      <c r="E52" t="s">
        <v>775</v>
      </c>
    </row>
    <row r="54" spans="1:10">
      <c r="A54" t="s">
        <v>16</v>
      </c>
      <c r="B54" t="s">
        <v>759</v>
      </c>
      <c r="C54" t="s">
        <v>740</v>
      </c>
      <c r="E54" t="s">
        <v>739</v>
      </c>
    </row>
    <row r="56" spans="1:10">
      <c r="A56" t="s">
        <v>16</v>
      </c>
      <c r="B56" t="s">
        <v>742</v>
      </c>
      <c r="C56" s="3" t="s">
        <v>863</v>
      </c>
      <c r="E56" t="s">
        <v>818</v>
      </c>
    </row>
    <row r="57" spans="1:10">
      <c r="C57" t="s">
        <v>864</v>
      </c>
      <c r="E57" t="s">
        <v>817</v>
      </c>
    </row>
    <row r="59" spans="1:10">
      <c r="A59" t="s">
        <v>16</v>
      </c>
      <c r="B59" t="s">
        <v>744</v>
      </c>
      <c r="C59" t="s">
        <v>812</v>
      </c>
    </row>
    <row r="61" spans="1:10">
      <c r="A61" t="s">
        <v>16</v>
      </c>
      <c r="B61" t="s">
        <v>659</v>
      </c>
      <c r="C61" t="s">
        <v>813</v>
      </c>
      <c r="J61" t="s">
        <v>807</v>
      </c>
    </row>
  </sheetData>
  <hyperlinks>
    <hyperlink ref="C26" r:id="rId1" display="url:DCLICK" xr:uid="{11524327-24B7-4F40-B5C7-075E0D45EFC7}"/>
    <hyperlink ref="L31" r:id="rId2" display="url:URL_Dclick_Pages" xr:uid="{BD2A25AC-DFF1-4DD8-A8C2-D312570AD9F1}"/>
    <hyperlink ref="C31" r:id="rId3" display="url:URL_Dclick_Pages" xr:uid="{B1783E5F-B27D-48C4-9F4F-F412BF9C46AB}"/>
  </hyperlinks>
  <pageMargins left="0.7" right="0.7" top="0.75" bottom="0.75" header="0.3" footer="0.3"/>
  <pageSetup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B3649-E573-4F5E-BF2D-10A3AAE6BA44}">
  <sheetPr codeName="Sheet16"/>
  <dimension ref="A1:J59"/>
  <sheetViews>
    <sheetView workbookViewId="0">
      <selection activeCell="C20" sqref="C20"/>
    </sheetView>
  </sheetViews>
  <sheetFormatPr defaultRowHeight="15"/>
  <cols>
    <col min="1" max="1" width="9.140625" style="14"/>
    <col min="2" max="2" width="21.85546875" style="14" customWidth="1"/>
    <col min="3" max="3" width="33.5703125" style="14" customWidth="1"/>
    <col min="4" max="4" width="47.28515625" style="14" customWidth="1"/>
    <col min="5" max="5" width="24.7109375" style="14" customWidth="1"/>
    <col min="6" max="10" width="9.140625" style="14"/>
    <col min="11" max="11" width="9.7109375" style="14" bestFit="1" customWidth="1"/>
    <col min="12" max="16384" width="9.140625" style="14"/>
  </cols>
  <sheetData>
    <row r="1" spans="1:10">
      <c r="A1" s="14" t="s">
        <v>14</v>
      </c>
      <c r="B1" s="14" t="s">
        <v>18</v>
      </c>
      <c r="C1" s="14" t="s">
        <v>11</v>
      </c>
      <c r="D1" s="14" t="s">
        <v>10</v>
      </c>
      <c r="E1" s="14" t="s">
        <v>8</v>
      </c>
    </row>
    <row r="2" spans="1:10">
      <c r="A2" s="14" t="s">
        <v>15</v>
      </c>
      <c r="B2" s="14" t="s">
        <v>415</v>
      </c>
      <c r="C2" s="14" t="s">
        <v>763</v>
      </c>
      <c r="D2" s="14" t="s">
        <v>762</v>
      </c>
      <c r="E2" s="14" t="s">
        <v>92</v>
      </c>
    </row>
    <row r="3" spans="1:10">
      <c r="C3" s="14" t="s">
        <v>764</v>
      </c>
      <c r="D3" s="14" t="s">
        <v>761</v>
      </c>
      <c r="E3" s="14" t="s">
        <v>92</v>
      </c>
    </row>
    <row r="6" spans="1:10">
      <c r="A6" s="14" t="s">
        <v>15</v>
      </c>
      <c r="B6" s="14" t="s">
        <v>645</v>
      </c>
      <c r="C6" s="14" t="s">
        <v>719</v>
      </c>
      <c r="D6" s="14">
        <v>0</v>
      </c>
      <c r="E6" s="14" t="s">
        <v>646</v>
      </c>
    </row>
    <row r="7" spans="1:10">
      <c r="C7" s="14" t="s">
        <v>719</v>
      </c>
      <c r="E7" s="14" t="s">
        <v>703</v>
      </c>
    </row>
    <row r="9" spans="1:10">
      <c r="A9" s="14" t="s">
        <v>15</v>
      </c>
      <c r="B9" s="14" t="s">
        <v>704</v>
      </c>
      <c r="C9" s="14" t="s">
        <v>820</v>
      </c>
      <c r="J9" s="14" t="s">
        <v>820</v>
      </c>
    </row>
    <row r="10" spans="1:10">
      <c r="C10" s="14" t="s">
        <v>820</v>
      </c>
      <c r="E10" s="14" t="s">
        <v>715</v>
      </c>
    </row>
    <row r="12" spans="1:10">
      <c r="A12" s="14" t="s">
        <v>15</v>
      </c>
      <c r="B12" s="16" t="s">
        <v>357</v>
      </c>
      <c r="C12" s="14" t="s">
        <v>252</v>
      </c>
      <c r="D12" s="14" t="s">
        <v>632</v>
      </c>
      <c r="E12" s="16" t="s">
        <v>432</v>
      </c>
    </row>
    <row r="13" spans="1:10">
      <c r="C13" s="14" t="s">
        <v>364</v>
      </c>
      <c r="D13" s="14" t="s">
        <v>748</v>
      </c>
    </row>
    <row r="15" spans="1:10">
      <c r="A15" s="14" t="s">
        <v>15</v>
      </c>
      <c r="B15" s="14" t="s">
        <v>9</v>
      </c>
      <c r="C15" s="14" t="s">
        <v>634</v>
      </c>
      <c r="D15" s="14" t="s">
        <v>633</v>
      </c>
      <c r="E15" s="16" t="s">
        <v>433</v>
      </c>
    </row>
    <row r="17" spans="1:10">
      <c r="A17" s="14" t="s">
        <v>15</v>
      </c>
      <c r="B17" s="14" t="s">
        <v>404</v>
      </c>
      <c r="C17" s="14" t="s">
        <v>405</v>
      </c>
      <c r="E17" s="16" t="s">
        <v>436</v>
      </c>
    </row>
    <row r="18" spans="1:10">
      <c r="E18" s="16"/>
    </row>
    <row r="19" spans="1:10">
      <c r="A19" s="14" t="s">
        <v>16</v>
      </c>
      <c r="B19" s="16" t="s">
        <v>25</v>
      </c>
      <c r="C19" s="14" t="s">
        <v>760</v>
      </c>
      <c r="E19" s="14" t="s">
        <v>148</v>
      </c>
    </row>
    <row r="20" spans="1:10">
      <c r="B20" s="16"/>
      <c r="C20" s="14" t="s">
        <v>644</v>
      </c>
      <c r="D20" s="16"/>
    </row>
    <row r="21" spans="1:10">
      <c r="C21" s="14" t="s">
        <v>637</v>
      </c>
    </row>
    <row r="22" spans="1:10">
      <c r="C22" s="14" t="s">
        <v>819</v>
      </c>
      <c r="E22" s="14" t="s">
        <v>370</v>
      </c>
      <c r="J22" s="14" t="s">
        <v>416</v>
      </c>
    </row>
    <row r="23" spans="1:10">
      <c r="E23" s="14" t="s">
        <v>717</v>
      </c>
    </row>
    <row r="24" spans="1:10">
      <c r="A24" s="14" t="s">
        <v>16</v>
      </c>
      <c r="B24" s="16" t="s">
        <v>637</v>
      </c>
      <c r="C24" s="14" t="s">
        <v>635</v>
      </c>
    </row>
    <row r="25" spans="1:10">
      <c r="C25" s="14" t="s">
        <v>638</v>
      </c>
    </row>
    <row r="26" spans="1:10">
      <c r="A26" s="14" t="s">
        <v>16</v>
      </c>
      <c r="B26" s="14" t="s">
        <v>638</v>
      </c>
      <c r="C26" s="14" t="s">
        <v>639</v>
      </c>
      <c r="E26" s="14" t="s">
        <v>636</v>
      </c>
    </row>
    <row r="28" spans="1:10">
      <c r="A28" s="14" t="s">
        <v>16</v>
      </c>
      <c r="B28" s="16" t="s">
        <v>32</v>
      </c>
      <c r="C28" s="14" t="s">
        <v>399</v>
      </c>
    </row>
    <row r="29" spans="1:10">
      <c r="B29" s="16"/>
      <c r="C29" s="14" t="s">
        <v>417</v>
      </c>
      <c r="E29" s="14" t="s">
        <v>117</v>
      </c>
    </row>
    <row r="30" spans="1:10">
      <c r="C30" s="14" t="s">
        <v>118</v>
      </c>
    </row>
    <row r="31" spans="1:10">
      <c r="A31" s="14" t="s">
        <v>16</v>
      </c>
      <c r="B31" s="14" t="s">
        <v>118</v>
      </c>
      <c r="C31" s="14" t="s">
        <v>422</v>
      </c>
    </row>
    <row r="32" spans="1:10">
      <c r="C32" s="14" t="s">
        <v>647</v>
      </c>
      <c r="E32" s="14" t="s">
        <v>706</v>
      </c>
    </row>
    <row r="33" spans="1:10">
      <c r="C33" s="14" t="s">
        <v>658</v>
      </c>
      <c r="E33" s="14" t="s">
        <v>707</v>
      </c>
    </row>
    <row r="34" spans="1:10">
      <c r="C34" s="14" t="s">
        <v>24</v>
      </c>
    </row>
    <row r="37" spans="1:10">
      <c r="A37" s="14" t="s">
        <v>16</v>
      </c>
      <c r="B37" s="14" t="s">
        <v>814</v>
      </c>
      <c r="C37" s="14" t="s">
        <v>24</v>
      </c>
    </row>
    <row r="38" spans="1:10">
      <c r="C38" s="14" t="s">
        <v>722</v>
      </c>
      <c r="E38" s="14" t="s">
        <v>711</v>
      </c>
    </row>
    <row r="39" spans="1:10">
      <c r="C39" s="14" t="s">
        <v>723</v>
      </c>
      <c r="E39" s="14" t="s">
        <v>5</v>
      </c>
    </row>
    <row r="40" spans="1:10">
      <c r="C40" s="14" t="s">
        <v>808</v>
      </c>
      <c r="E40" s="14" t="s">
        <v>815</v>
      </c>
    </row>
    <row r="41" spans="1:10">
      <c r="C41" s="14" t="s">
        <v>24</v>
      </c>
    </row>
    <row r="42" spans="1:10">
      <c r="C42" s="14" t="s">
        <v>726</v>
      </c>
    </row>
    <row r="43" spans="1:10">
      <c r="C43" s="14" t="s">
        <v>725</v>
      </c>
    </row>
    <row r="44" spans="1:10">
      <c r="C44" s="14" t="s">
        <v>727</v>
      </c>
    </row>
    <row r="45" spans="1:10">
      <c r="C45" s="14" t="s">
        <v>809</v>
      </c>
      <c r="E45" s="14" t="s">
        <v>64</v>
      </c>
    </row>
    <row r="47" spans="1:10">
      <c r="A47" s="14" t="s">
        <v>16</v>
      </c>
      <c r="B47" s="14" t="s">
        <v>737</v>
      </c>
      <c r="C47" s="14" t="s">
        <v>821</v>
      </c>
    </row>
    <row r="48" spans="1:10">
      <c r="C48" s="14" t="s">
        <v>822</v>
      </c>
      <c r="E48" s="14" t="s">
        <v>774</v>
      </c>
      <c r="J48" s="14" t="s">
        <v>807</v>
      </c>
    </row>
    <row r="49" spans="1:10">
      <c r="C49" s="14" t="s">
        <v>806</v>
      </c>
      <c r="E49" s="14" t="s">
        <v>776</v>
      </c>
      <c r="J49" s="14" t="s">
        <v>813</v>
      </c>
    </row>
    <row r="50" spans="1:10">
      <c r="C50" s="14" t="s">
        <v>805</v>
      </c>
      <c r="E50" s="14" t="s">
        <v>775</v>
      </c>
    </row>
    <row r="52" spans="1:10">
      <c r="A52" s="14" t="s">
        <v>16</v>
      </c>
      <c r="B52" s="14" t="s">
        <v>759</v>
      </c>
      <c r="C52" s="14" t="s">
        <v>740</v>
      </c>
      <c r="E52" s="14" t="s">
        <v>739</v>
      </c>
    </row>
    <row r="54" spans="1:10">
      <c r="A54" s="14" t="s">
        <v>16</v>
      </c>
      <c r="B54" s="14" t="s">
        <v>742</v>
      </c>
      <c r="C54" s="16" t="s">
        <v>804</v>
      </c>
      <c r="E54" s="14" t="s">
        <v>818</v>
      </c>
    </row>
    <row r="55" spans="1:10">
      <c r="C55" s="14" t="s">
        <v>803</v>
      </c>
      <c r="E55" s="14" t="s">
        <v>817</v>
      </c>
    </row>
    <row r="57" spans="1:10">
      <c r="A57" s="14" t="s">
        <v>16</v>
      </c>
      <c r="B57" s="14" t="s">
        <v>744</v>
      </c>
      <c r="C57" s="14" t="s">
        <v>812</v>
      </c>
    </row>
    <row r="59" spans="1:10">
      <c r="A59" s="14" t="s">
        <v>16</v>
      </c>
      <c r="B59" s="14" t="s">
        <v>659</v>
      </c>
      <c r="C59" s="14" t="s">
        <v>813</v>
      </c>
      <c r="J59" s="14" t="s">
        <v>807</v>
      </c>
    </row>
  </sheetData>
  <hyperlinks>
    <hyperlink ref="C24" r:id="rId1" display="url:DCLICK" xr:uid="{22949287-66D8-4A81-82EE-2F37CAA35F0D}"/>
    <hyperlink ref="L29" r:id="rId2" display="url:URL_Dclick_Pages" xr:uid="{EF924C29-6C9C-44F0-8ABD-B0BA1ABFE426}"/>
    <hyperlink ref="C29" r:id="rId3" display="url:URL_Dclick_Pages" xr:uid="{B5B5DCB8-92EF-4825-99A9-D95183E83E50}"/>
  </hyperlinks>
  <pageMargins left="0.7" right="0.7" top="0.75" bottom="0.75" header="0.3" footer="0.3"/>
  <pageSetup orientation="portrait"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660C-FCBF-4D35-A561-F68190E9D8C3}">
  <sheetPr codeName="Sheet11"/>
  <dimension ref="A1:R128"/>
  <sheetViews>
    <sheetView topLeftCell="A16" workbookViewId="0">
      <selection activeCell="C45" sqref="C45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763</v>
      </c>
      <c r="D2" t="s">
        <v>762</v>
      </c>
      <c r="I2" t="s">
        <v>640</v>
      </c>
    </row>
    <row r="3" spans="1:18">
      <c r="C3" t="s">
        <v>764</v>
      </c>
      <c r="D3" t="s">
        <v>761</v>
      </c>
      <c r="E3" t="s">
        <v>92</v>
      </c>
      <c r="I3" t="s">
        <v>641</v>
      </c>
    </row>
    <row r="4" spans="1:18">
      <c r="C4" t="s">
        <v>653</v>
      </c>
      <c r="D4" t="s">
        <v>652</v>
      </c>
    </row>
    <row r="5" spans="1:18">
      <c r="C5" t="s">
        <v>642</v>
      </c>
      <c r="D5" t="s">
        <v>654</v>
      </c>
      <c r="E5" t="s">
        <v>702</v>
      </c>
    </row>
    <row r="6" spans="1:18">
      <c r="A6" t="s">
        <v>15</v>
      </c>
      <c r="B6" t="s">
        <v>645</v>
      </c>
      <c r="C6" t="s">
        <v>719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719</v>
      </c>
      <c r="E7" t="s">
        <v>703</v>
      </c>
      <c r="Q7" t="s">
        <v>643</v>
      </c>
      <c r="R7" t="s">
        <v>655</v>
      </c>
    </row>
    <row r="8" spans="1:18">
      <c r="C8" t="s">
        <v>649</v>
      </c>
      <c r="D8">
        <v>-1</v>
      </c>
      <c r="Q8" t="s">
        <v>653</v>
      </c>
      <c r="R8" t="s">
        <v>652</v>
      </c>
    </row>
    <row r="9" spans="1:18">
      <c r="C9" t="s">
        <v>649</v>
      </c>
      <c r="E9" t="s">
        <v>715</v>
      </c>
      <c r="Q9" t="s">
        <v>642</v>
      </c>
      <c r="R9" t="s">
        <v>654</v>
      </c>
    </row>
    <row r="10" spans="1:18">
      <c r="A10" t="s">
        <v>15</v>
      </c>
      <c r="B10" t="s">
        <v>704</v>
      </c>
      <c r="C10" t="s">
        <v>738</v>
      </c>
      <c r="L10" t="s">
        <v>705</v>
      </c>
    </row>
    <row r="11" spans="1:18">
      <c r="C11" t="s">
        <v>738</v>
      </c>
    </row>
    <row r="12" spans="1:18">
      <c r="C12" t="s">
        <v>708</v>
      </c>
      <c r="I12" t="b">
        <f>D2=J12</f>
        <v>1</v>
      </c>
      <c r="J12" t="s">
        <v>762</v>
      </c>
    </row>
    <row r="13" spans="1:18">
      <c r="C13" t="s">
        <v>708</v>
      </c>
      <c r="I13" t="b">
        <f>D3=J13</f>
        <v>1</v>
      </c>
      <c r="J13" t="s">
        <v>761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748</v>
      </c>
      <c r="H16" t="s">
        <v>362</v>
      </c>
    </row>
    <row r="17" spans="1:8">
      <c r="C17" t="s">
        <v>366</v>
      </c>
      <c r="D17" t="s">
        <v>358</v>
      </c>
      <c r="H17" t="s">
        <v>746</v>
      </c>
    </row>
    <row r="18" spans="1:8">
      <c r="C18" t="s">
        <v>36</v>
      </c>
      <c r="D18" t="b">
        <v>0</v>
      </c>
      <c r="H18" t="s">
        <v>747</v>
      </c>
    </row>
    <row r="19" spans="1:8">
      <c r="C19" t="s">
        <v>459</v>
      </c>
      <c r="D19" t="s">
        <v>520</v>
      </c>
      <c r="H19" t="s">
        <v>736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634</v>
      </c>
      <c r="D26" t="s">
        <v>633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25</v>
      </c>
      <c r="C37" t="s">
        <v>760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698</v>
      </c>
    </row>
    <row r="40" spans="1:11">
      <c r="C40" t="s">
        <v>637</v>
      </c>
    </row>
    <row r="41" spans="1:11">
      <c r="C41" t="s">
        <v>687</v>
      </c>
      <c r="E41" t="s">
        <v>698</v>
      </c>
    </row>
    <row r="42" spans="1:11">
      <c r="C42" t="s">
        <v>416</v>
      </c>
      <c r="E42" t="s">
        <v>370</v>
      </c>
    </row>
    <row r="43" spans="1:11">
      <c r="C43" t="s">
        <v>1</v>
      </c>
    </row>
    <row r="44" spans="1:11">
      <c r="C44" t="s">
        <v>147</v>
      </c>
      <c r="K44" t="str">
        <f ca="1">_xlfn.CONCAT("createPDF:imagelist,./Output/Images/,./Output/APAC_Daily_Sales_",K48,".pdf")</f>
        <v>createPDF:imagelist,./Output/Images/,./Output/APAC_Daily_Sales_20221103104758.pdf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20221103104758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635</v>
      </c>
    </row>
    <row r="70" spans="1:5">
      <c r="C70" t="s">
        <v>638</v>
      </c>
    </row>
    <row r="71" spans="1:5">
      <c r="A71" t="s">
        <v>16</v>
      </c>
      <c r="B71" t="s">
        <v>638</v>
      </c>
      <c r="C71" t="s">
        <v>639</v>
      </c>
      <c r="E71" t="s">
        <v>636</v>
      </c>
    </row>
    <row r="73" spans="1:5">
      <c r="A73" t="s">
        <v>16</v>
      </c>
      <c r="B73" s="3" t="s">
        <v>32</v>
      </c>
      <c r="C73" t="s">
        <v>399</v>
      </c>
    </row>
    <row r="74" spans="1:5">
      <c r="B74" s="3"/>
      <c r="C74" t="s">
        <v>417</v>
      </c>
      <c r="E74" t="s">
        <v>117</v>
      </c>
    </row>
    <row r="75" spans="1:5">
      <c r="C75" t="s">
        <v>118</v>
      </c>
    </row>
    <row r="76" spans="1:5">
      <c r="A76" t="s">
        <v>16</v>
      </c>
      <c r="B76" t="s">
        <v>118</v>
      </c>
      <c r="C76" t="s">
        <v>656</v>
      </c>
    </row>
    <row r="77" spans="1:5">
      <c r="C77" t="s">
        <v>657</v>
      </c>
    </row>
    <row r="78" spans="1:5">
      <c r="C78" t="s">
        <v>422</v>
      </c>
    </row>
    <row r="79" spans="1:5">
      <c r="C79" t="s">
        <v>647</v>
      </c>
      <c r="E79" t="s">
        <v>706</v>
      </c>
    </row>
    <row r="80" spans="1:5">
      <c r="C80" t="s">
        <v>658</v>
      </c>
      <c r="E80" t="s">
        <v>707</v>
      </c>
    </row>
    <row r="81" spans="1:5">
      <c r="C81" t="s">
        <v>727</v>
      </c>
    </row>
    <row r="82" spans="1:5">
      <c r="C82" t="s">
        <v>716</v>
      </c>
      <c r="E82" t="s">
        <v>717</v>
      </c>
    </row>
    <row r="83" spans="1:5">
      <c r="C83" t="s">
        <v>556</v>
      </c>
    </row>
    <row r="85" spans="1:5">
      <c r="A85" t="s">
        <v>16</v>
      </c>
      <c r="B85" t="s">
        <v>429</v>
      </c>
      <c r="C85" t="s">
        <v>425</v>
      </c>
    </row>
    <row r="86" spans="1:5">
      <c r="C86" t="s">
        <v>428</v>
      </c>
    </row>
    <row r="87" spans="1:5">
      <c r="C87" t="s">
        <v>129</v>
      </c>
    </row>
    <row r="88" spans="1:5">
      <c r="C88" t="s">
        <v>427</v>
      </c>
    </row>
    <row r="89" spans="1:5">
      <c r="C89" t="s">
        <v>426</v>
      </c>
    </row>
    <row r="91" spans="1:5">
      <c r="A91" t="s">
        <v>16</v>
      </c>
      <c r="B91" t="s">
        <v>650</v>
      </c>
      <c r="C91" t="s">
        <v>651</v>
      </c>
    </row>
    <row r="93" spans="1:5">
      <c r="A93" t="s">
        <v>16</v>
      </c>
      <c r="B93" t="s">
        <v>708</v>
      </c>
      <c r="C93" t="s">
        <v>431</v>
      </c>
    </row>
    <row r="95" spans="1:5">
      <c r="A95" t="s">
        <v>16</v>
      </c>
      <c r="B95" t="s">
        <v>709</v>
      </c>
      <c r="C95" t="s">
        <v>24</v>
      </c>
    </row>
    <row r="96" spans="1:5">
      <c r="C96" t="s">
        <v>720</v>
      </c>
      <c r="E96" t="s">
        <v>713</v>
      </c>
    </row>
    <row r="97" spans="1:10">
      <c r="C97" t="s">
        <v>340</v>
      </c>
      <c r="E97" t="s">
        <v>712</v>
      </c>
    </row>
    <row r="98" spans="1:10">
      <c r="C98" t="s">
        <v>722</v>
      </c>
      <c r="E98" t="s">
        <v>711</v>
      </c>
    </row>
    <row r="99" spans="1:10">
      <c r="C99" t="s">
        <v>723</v>
      </c>
      <c r="E99" t="s">
        <v>5</v>
      </c>
    </row>
    <row r="100" spans="1:10">
      <c r="C100" t="s">
        <v>724</v>
      </c>
      <c r="E100" t="s">
        <v>714</v>
      </c>
    </row>
    <row r="101" spans="1:10">
      <c r="C101" t="s">
        <v>24</v>
      </c>
    </row>
    <row r="102" spans="1:10">
      <c r="C102" t="s">
        <v>726</v>
      </c>
      <c r="E102" t="s">
        <v>721</v>
      </c>
    </row>
    <row r="103" spans="1:10">
      <c r="C103" t="s">
        <v>725</v>
      </c>
    </row>
    <row r="104" spans="1:10">
      <c r="C104" t="s">
        <v>1</v>
      </c>
      <c r="E104" t="s">
        <v>728</v>
      </c>
    </row>
    <row r="105" spans="1:10">
      <c r="C105" t="s">
        <v>765</v>
      </c>
      <c r="E105" t="s">
        <v>64</v>
      </c>
    </row>
    <row r="107" spans="1:10">
      <c r="A107" t="s">
        <v>16</v>
      </c>
      <c r="B107" t="s">
        <v>737</v>
      </c>
      <c r="C107" t="s">
        <v>743</v>
      </c>
      <c r="J107" t="s">
        <v>740</v>
      </c>
    </row>
    <row r="108" spans="1:10">
      <c r="C108" t="s">
        <v>768</v>
      </c>
    </row>
    <row r="112" spans="1:10">
      <c r="A112" t="s">
        <v>16</v>
      </c>
      <c r="B112" t="s">
        <v>710</v>
      </c>
      <c r="C112" t="s">
        <v>718</v>
      </c>
      <c r="F112" t="s">
        <v>705</v>
      </c>
    </row>
    <row r="114" spans="1:10">
      <c r="A114" t="s">
        <v>16</v>
      </c>
      <c r="B114" t="s">
        <v>759</v>
      </c>
      <c r="C114" t="s">
        <v>740</v>
      </c>
      <c r="E114" t="s">
        <v>739</v>
      </c>
      <c r="J114" t="s">
        <v>740</v>
      </c>
    </row>
    <row r="115" spans="1:10">
      <c r="E115" s="11" t="s">
        <v>729</v>
      </c>
      <c r="J115" t="s">
        <v>741</v>
      </c>
    </row>
    <row r="116" spans="1:10">
      <c r="A116" t="s">
        <v>16</v>
      </c>
      <c r="B116" t="s">
        <v>742</v>
      </c>
      <c r="C116" t="s">
        <v>766</v>
      </c>
      <c r="E116" s="11" t="s">
        <v>730</v>
      </c>
    </row>
    <row r="117" spans="1:10">
      <c r="C117" t="s">
        <v>767</v>
      </c>
    </row>
    <row r="118" spans="1:10">
      <c r="E118" s="12" t="s">
        <v>731</v>
      </c>
    </row>
    <row r="120" spans="1:10">
      <c r="A120" t="s">
        <v>16</v>
      </c>
      <c r="B120" t="s">
        <v>744</v>
      </c>
      <c r="C120" t="s">
        <v>745</v>
      </c>
      <c r="E120" s="13" t="s">
        <v>732</v>
      </c>
    </row>
    <row r="121" spans="1:10">
      <c r="E121" s="12"/>
    </row>
    <row r="122" spans="1:10">
      <c r="E122" s="12" t="s">
        <v>733</v>
      </c>
    </row>
    <row r="125" spans="1:10">
      <c r="E125" t="s">
        <v>734</v>
      </c>
    </row>
    <row r="128" spans="1:10">
      <c r="E128" t="s">
        <v>735</v>
      </c>
    </row>
  </sheetData>
  <hyperlinks>
    <hyperlink ref="C69" r:id="rId1" display="url:DCLICK" xr:uid="{F84FEAAE-821A-4181-8209-ECBEDC9B8C55}"/>
    <hyperlink ref="L74" r:id="rId2" display="url:URL_Dclick_Pages" xr:uid="{4F482065-F633-4D34-891B-055394CA84F0}"/>
    <hyperlink ref="C74" r:id="rId3" display="url:URL_Dclick_Pages" xr:uid="{B24154BE-48E8-4AA8-BC80-5AFF6E8FC5FD}"/>
  </hyperlinks>
  <pageMargins left="0.7" right="0.7" top="0.75" bottom="0.75" header="0.3" footer="0.3"/>
  <pageSetup orientation="portrait"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27C9A-5106-4A1C-B2A6-631E9BD0241A}">
  <sheetPr codeName="Sheet13"/>
  <dimension ref="A1:R128"/>
  <sheetViews>
    <sheetView topLeftCell="A16" workbookViewId="0">
      <selection activeCell="B123" sqref="B123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8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8">
      <c r="A2" t="s">
        <v>15</v>
      </c>
      <c r="B2" t="s">
        <v>415</v>
      </c>
      <c r="C2" t="s">
        <v>763</v>
      </c>
      <c r="D2" t="s">
        <v>762</v>
      </c>
      <c r="I2" t="s">
        <v>640</v>
      </c>
    </row>
    <row r="3" spans="1:18">
      <c r="C3" t="s">
        <v>764</v>
      </c>
      <c r="D3" t="s">
        <v>761</v>
      </c>
      <c r="E3" t="s">
        <v>92</v>
      </c>
      <c r="I3" t="s">
        <v>641</v>
      </c>
    </row>
    <row r="6" spans="1:18">
      <c r="A6" t="s">
        <v>15</v>
      </c>
      <c r="B6" t="s">
        <v>645</v>
      </c>
      <c r="C6" t="s">
        <v>719</v>
      </c>
      <c r="D6">
        <v>0</v>
      </c>
      <c r="E6" t="s">
        <v>646</v>
      </c>
      <c r="I6" t="s">
        <v>648</v>
      </c>
      <c r="J6" t="s">
        <v>649</v>
      </c>
    </row>
    <row r="7" spans="1:18">
      <c r="C7" t="s">
        <v>719</v>
      </c>
      <c r="E7" t="s">
        <v>703</v>
      </c>
      <c r="Q7" t="s">
        <v>643</v>
      </c>
      <c r="R7" t="s">
        <v>655</v>
      </c>
    </row>
    <row r="8" spans="1:18">
      <c r="Q8" t="s">
        <v>653</v>
      </c>
      <c r="R8" t="s">
        <v>652</v>
      </c>
    </row>
    <row r="9" spans="1:18">
      <c r="E9" t="s">
        <v>715</v>
      </c>
      <c r="Q9" t="s">
        <v>642</v>
      </c>
      <c r="R9" t="s">
        <v>654</v>
      </c>
    </row>
    <row r="10" spans="1:18">
      <c r="A10" t="s">
        <v>15</v>
      </c>
      <c r="B10" t="s">
        <v>704</v>
      </c>
      <c r="C10" t="s">
        <v>810</v>
      </c>
      <c r="E10" t="s">
        <v>811</v>
      </c>
      <c r="L10" t="s">
        <v>705</v>
      </c>
    </row>
    <row r="11" spans="1:18">
      <c r="C11" t="s">
        <v>810</v>
      </c>
    </row>
    <row r="12" spans="1:18">
      <c r="I12" t="b">
        <f>D2=J12</f>
        <v>1</v>
      </c>
      <c r="J12" t="s">
        <v>762</v>
      </c>
    </row>
    <row r="13" spans="1:18">
      <c r="I13" t="b">
        <f>D3=J13</f>
        <v>1</v>
      </c>
      <c r="J13" t="s">
        <v>761</v>
      </c>
    </row>
    <row r="14" spans="1:18">
      <c r="A14" t="s">
        <v>15</v>
      </c>
      <c r="B14" s="3" t="s">
        <v>357</v>
      </c>
      <c r="C14" t="s">
        <v>359</v>
      </c>
      <c r="D14" t="s">
        <v>361</v>
      </c>
      <c r="E14" s="3" t="s">
        <v>432</v>
      </c>
    </row>
    <row r="15" spans="1:18">
      <c r="C15" t="s">
        <v>252</v>
      </c>
      <c r="D15" t="s">
        <v>632</v>
      </c>
    </row>
    <row r="16" spans="1:18">
      <c r="C16" t="s">
        <v>364</v>
      </c>
      <c r="D16" t="s">
        <v>748</v>
      </c>
      <c r="H16" t="s">
        <v>362</v>
      </c>
    </row>
    <row r="17" spans="1:8">
      <c r="C17" t="s">
        <v>366</v>
      </c>
      <c r="D17" t="s">
        <v>358</v>
      </c>
      <c r="H17" t="s">
        <v>746</v>
      </c>
    </row>
    <row r="18" spans="1:8">
      <c r="C18" t="s">
        <v>36</v>
      </c>
      <c r="D18" t="b">
        <v>0</v>
      </c>
      <c r="H18" t="s">
        <v>747</v>
      </c>
    </row>
    <row r="19" spans="1:8">
      <c r="C19" t="s">
        <v>459</v>
      </c>
      <c r="D19" t="s">
        <v>520</v>
      </c>
      <c r="H19" t="s">
        <v>736</v>
      </c>
    </row>
    <row r="20" spans="1:8">
      <c r="C20" t="s">
        <v>460</v>
      </c>
      <c r="D20" t="s">
        <v>461</v>
      </c>
    </row>
    <row r="21" spans="1:8">
      <c r="C21" t="s">
        <v>521</v>
      </c>
      <c r="D21" t="s">
        <v>523</v>
      </c>
      <c r="E21" s="6"/>
    </row>
    <row r="22" spans="1:8">
      <c r="C22" t="s">
        <v>522</v>
      </c>
      <c r="D22" t="s">
        <v>524</v>
      </c>
      <c r="E22" s="6"/>
    </row>
    <row r="23" spans="1:8">
      <c r="E23" s="6"/>
    </row>
    <row r="25" spans="1:8">
      <c r="A25" t="s">
        <v>15</v>
      </c>
      <c r="B25" t="s">
        <v>9</v>
      </c>
      <c r="C25" t="s">
        <v>19</v>
      </c>
      <c r="D25" t="s">
        <v>20</v>
      </c>
      <c r="E25" s="3" t="s">
        <v>433</v>
      </c>
    </row>
    <row r="26" spans="1:8">
      <c r="C26" t="s">
        <v>634</v>
      </c>
      <c r="D26" t="s">
        <v>633</v>
      </c>
    </row>
    <row r="28" spans="1:8">
      <c r="A28" t="s">
        <v>16</v>
      </c>
      <c r="B28" t="s">
        <v>66</v>
      </c>
      <c r="C28" t="s">
        <v>642</v>
      </c>
      <c r="E28" t="s">
        <v>136</v>
      </c>
    </row>
    <row r="29" spans="1:8">
      <c r="C29" t="s">
        <v>643</v>
      </c>
    </row>
    <row r="30" spans="1:8">
      <c r="C30" t="s">
        <v>653</v>
      </c>
    </row>
    <row r="32" spans="1:8">
      <c r="A32" t="s">
        <v>16</v>
      </c>
      <c r="B32" t="s">
        <v>67</v>
      </c>
      <c r="C32" t="s">
        <v>68</v>
      </c>
    </row>
    <row r="33" spans="1:11">
      <c r="C33" t="s">
        <v>69</v>
      </c>
    </row>
    <row r="35" spans="1:11">
      <c r="A35" t="s">
        <v>15</v>
      </c>
      <c r="B35" t="s">
        <v>404</v>
      </c>
      <c r="C35" t="s">
        <v>405</v>
      </c>
      <c r="E35" s="3" t="s">
        <v>436</v>
      </c>
    </row>
    <row r="36" spans="1:11">
      <c r="E36" s="3"/>
    </row>
    <row r="37" spans="1:11">
      <c r="A37" t="s">
        <v>16</v>
      </c>
      <c r="B37" s="3" t="s">
        <v>659</v>
      </c>
      <c r="C37" t="s">
        <v>760</v>
      </c>
      <c r="E37" t="s">
        <v>148</v>
      </c>
    </row>
    <row r="38" spans="1:11">
      <c r="B38" s="3"/>
      <c r="C38" t="s">
        <v>644</v>
      </c>
      <c r="D38" s="3"/>
    </row>
    <row r="39" spans="1:11">
      <c r="C39" t="s">
        <v>681</v>
      </c>
      <c r="E39" t="s">
        <v>698</v>
      </c>
    </row>
    <row r="40" spans="1:11">
      <c r="C40" t="s">
        <v>637</v>
      </c>
    </row>
    <row r="41" spans="1:11">
      <c r="C41" t="s">
        <v>687</v>
      </c>
      <c r="E41" t="s">
        <v>698</v>
      </c>
    </row>
    <row r="42" spans="1:11">
      <c r="C42" t="s">
        <v>416</v>
      </c>
      <c r="E42" t="s">
        <v>370</v>
      </c>
    </row>
    <row r="43" spans="1:11">
      <c r="C43" t="s">
        <v>771</v>
      </c>
    </row>
    <row r="44" spans="1:11">
      <c r="C44" t="s">
        <v>770</v>
      </c>
      <c r="K44" t="str">
        <f ca="1">_xlfn.CONCAT("createPDF:imagelist,./Output/Images/,./Output/APAC_Daily_Sales_",K48,".pdf")</f>
        <v>createPDF:imagelist,./Output/Images/,./Output/APAC_Daily_Sales_20221103104758.pdf</v>
      </c>
    </row>
    <row r="45" spans="1:11">
      <c r="C45" t="s">
        <v>438</v>
      </c>
      <c r="E45" t="s">
        <v>437</v>
      </c>
    </row>
    <row r="48" spans="1:11">
      <c r="A48" t="s">
        <v>16</v>
      </c>
      <c r="B48" t="s">
        <v>147</v>
      </c>
      <c r="C48" t="s">
        <v>365</v>
      </c>
      <c r="E48" t="s">
        <v>71</v>
      </c>
      <c r="K48" s="4" t="str">
        <f ca="1">TEXT(NOW(),"YYYYMMDDHHMMSS")</f>
        <v>20221103104758</v>
      </c>
    </row>
    <row r="51" spans="1:5">
      <c r="A51" t="s">
        <v>16</v>
      </c>
      <c r="B51" s="3" t="s">
        <v>0</v>
      </c>
      <c r="C51" t="s">
        <v>21</v>
      </c>
      <c r="D51" s="2"/>
      <c r="E51" t="s">
        <v>397</v>
      </c>
    </row>
    <row r="52" spans="1:5">
      <c r="C52" t="s">
        <v>1</v>
      </c>
    </row>
    <row r="53" spans="1:5">
      <c r="C53" t="s">
        <v>338</v>
      </c>
      <c r="E53" t="s">
        <v>104</v>
      </c>
    </row>
    <row r="54" spans="1:5">
      <c r="C54" t="s">
        <v>107</v>
      </c>
      <c r="E54" t="s">
        <v>108</v>
      </c>
    </row>
    <row r="55" spans="1:5">
      <c r="A55" t="s">
        <v>16</v>
      </c>
      <c r="B55" s="1" t="s">
        <v>107</v>
      </c>
      <c r="C55" t="s">
        <v>440</v>
      </c>
      <c r="E55" s="1" t="s">
        <v>343</v>
      </c>
    </row>
    <row r="56" spans="1:5">
      <c r="B56" s="1"/>
      <c r="C56" t="s">
        <v>22</v>
      </c>
      <c r="E56" s="1" t="s">
        <v>105</v>
      </c>
    </row>
    <row r="57" spans="1:5">
      <c r="C57" t="s">
        <v>34</v>
      </c>
      <c r="E57" t="s">
        <v>106</v>
      </c>
    </row>
    <row r="58" spans="1:5">
      <c r="C58" t="s">
        <v>411</v>
      </c>
      <c r="E58" t="s">
        <v>38</v>
      </c>
    </row>
    <row r="59" spans="1:5">
      <c r="C59" t="s">
        <v>7</v>
      </c>
      <c r="E59" t="s">
        <v>110</v>
      </c>
    </row>
    <row r="60" spans="1:5">
      <c r="C60" t="s">
        <v>449</v>
      </c>
      <c r="E60" t="s">
        <v>450</v>
      </c>
    </row>
    <row r="61" spans="1:5">
      <c r="C61" t="s">
        <v>452</v>
      </c>
      <c r="E61" t="s">
        <v>453</v>
      </c>
    </row>
    <row r="62" spans="1:5">
      <c r="C62" t="s">
        <v>344</v>
      </c>
      <c r="E62" t="s">
        <v>111</v>
      </c>
    </row>
    <row r="63" spans="1:5">
      <c r="A63" t="s">
        <v>16</v>
      </c>
      <c r="B63" t="s">
        <v>410</v>
      </c>
      <c r="C63" t="s">
        <v>37</v>
      </c>
    </row>
    <row r="64" spans="1:5">
      <c r="C64" t="s">
        <v>456</v>
      </c>
      <c r="E64" t="s">
        <v>455</v>
      </c>
    </row>
    <row r="65" spans="1:5">
      <c r="C65" t="s">
        <v>27</v>
      </c>
    </row>
    <row r="66" spans="1:5">
      <c r="A66" t="s">
        <v>16</v>
      </c>
      <c r="B66" t="s">
        <v>451</v>
      </c>
      <c r="C66" t="s">
        <v>454</v>
      </c>
      <c r="E66" t="s">
        <v>455</v>
      </c>
    </row>
    <row r="67" spans="1:5">
      <c r="C67" t="s">
        <v>27</v>
      </c>
    </row>
    <row r="69" spans="1:5">
      <c r="A69" t="s">
        <v>16</v>
      </c>
      <c r="B69" s="3" t="s">
        <v>637</v>
      </c>
      <c r="C69" t="s">
        <v>635</v>
      </c>
    </row>
    <row r="70" spans="1:5">
      <c r="C70" t="s">
        <v>638</v>
      </c>
    </row>
    <row r="71" spans="1:5">
      <c r="A71" t="s">
        <v>16</v>
      </c>
      <c r="B71" t="s">
        <v>638</v>
      </c>
      <c r="C71" t="s">
        <v>639</v>
      </c>
      <c r="E71" t="s">
        <v>636</v>
      </c>
    </row>
    <row r="73" spans="1:5">
      <c r="A73" t="s">
        <v>16</v>
      </c>
      <c r="B73" s="3" t="s">
        <v>32</v>
      </c>
      <c r="C73" t="s">
        <v>399</v>
      </c>
    </row>
    <row r="74" spans="1:5">
      <c r="B74" s="3"/>
      <c r="C74" t="s">
        <v>417</v>
      </c>
      <c r="E74" t="s">
        <v>117</v>
      </c>
    </row>
    <row r="75" spans="1:5">
      <c r="C75" t="s">
        <v>118</v>
      </c>
    </row>
    <row r="76" spans="1:5">
      <c r="A76" t="s">
        <v>16</v>
      </c>
      <c r="B76" t="s">
        <v>118</v>
      </c>
      <c r="C76" t="s">
        <v>656</v>
      </c>
    </row>
    <row r="77" spans="1:5">
      <c r="C77" t="s">
        <v>657</v>
      </c>
    </row>
    <row r="78" spans="1:5">
      <c r="C78" t="s">
        <v>422</v>
      </c>
    </row>
    <row r="79" spans="1:5">
      <c r="C79" t="s">
        <v>647</v>
      </c>
      <c r="E79" t="s">
        <v>706</v>
      </c>
    </row>
    <row r="80" spans="1:5">
      <c r="C80" t="s">
        <v>658</v>
      </c>
      <c r="E80" t="s">
        <v>707</v>
      </c>
    </row>
    <row r="81" spans="1:5">
      <c r="C81" t="s">
        <v>727</v>
      </c>
    </row>
    <row r="82" spans="1:5">
      <c r="C82" t="s">
        <v>716</v>
      </c>
      <c r="E82" t="s">
        <v>717</v>
      </c>
    </row>
    <row r="83" spans="1:5">
      <c r="C83" t="s">
        <v>556</v>
      </c>
    </row>
    <row r="85" spans="1:5">
      <c r="A85" t="s">
        <v>16</v>
      </c>
      <c r="B85" t="s">
        <v>429</v>
      </c>
      <c r="C85" t="s">
        <v>425</v>
      </c>
    </row>
    <row r="86" spans="1:5">
      <c r="C86" t="s">
        <v>428</v>
      </c>
    </row>
    <row r="87" spans="1:5">
      <c r="C87" t="s">
        <v>129</v>
      </c>
    </row>
    <row r="88" spans="1:5">
      <c r="C88" t="s">
        <v>427</v>
      </c>
    </row>
    <row r="89" spans="1:5">
      <c r="C89" t="s">
        <v>426</v>
      </c>
    </row>
    <row r="91" spans="1:5">
      <c r="A91" t="s">
        <v>16</v>
      </c>
      <c r="B91" t="s">
        <v>650</v>
      </c>
      <c r="C91" t="s">
        <v>651</v>
      </c>
    </row>
    <row r="93" spans="1:5">
      <c r="A93" t="s">
        <v>16</v>
      </c>
      <c r="B93" t="s">
        <v>708</v>
      </c>
      <c r="C93" t="s">
        <v>431</v>
      </c>
    </row>
    <row r="95" spans="1:5">
      <c r="A95" t="s">
        <v>16</v>
      </c>
      <c r="B95" t="s">
        <v>709</v>
      </c>
      <c r="C95" t="s">
        <v>24</v>
      </c>
    </row>
    <row r="96" spans="1:5">
      <c r="C96" t="s">
        <v>772</v>
      </c>
      <c r="E96" t="s">
        <v>713</v>
      </c>
    </row>
    <row r="97" spans="1:12">
      <c r="C97" t="s">
        <v>773</v>
      </c>
      <c r="E97" t="s">
        <v>712</v>
      </c>
    </row>
    <row r="98" spans="1:12">
      <c r="C98" t="s">
        <v>722</v>
      </c>
      <c r="E98" t="s">
        <v>711</v>
      </c>
    </row>
    <row r="99" spans="1:12">
      <c r="C99" t="s">
        <v>723</v>
      </c>
      <c r="E99" t="s">
        <v>5</v>
      </c>
    </row>
    <row r="100" spans="1:12">
      <c r="C100" t="s">
        <v>808</v>
      </c>
      <c r="E100" t="s">
        <v>714</v>
      </c>
      <c r="G100" t="s">
        <v>724</v>
      </c>
    </row>
    <row r="101" spans="1:12">
      <c r="C101" t="s">
        <v>24</v>
      </c>
    </row>
    <row r="102" spans="1:12">
      <c r="C102" t="s">
        <v>726</v>
      </c>
      <c r="E102" t="s">
        <v>721</v>
      </c>
    </row>
    <row r="103" spans="1:12">
      <c r="C103" t="s">
        <v>725</v>
      </c>
    </row>
    <row r="104" spans="1:12">
      <c r="C104" t="s">
        <v>1</v>
      </c>
      <c r="E104" t="s">
        <v>728</v>
      </c>
    </row>
    <row r="105" spans="1:12">
      <c r="C105" t="s">
        <v>809</v>
      </c>
      <c r="E105" t="s">
        <v>64</v>
      </c>
      <c r="L105" t="s">
        <v>765</v>
      </c>
    </row>
    <row r="107" spans="1:12">
      <c r="A107" t="s">
        <v>16</v>
      </c>
      <c r="B107" t="s">
        <v>737</v>
      </c>
      <c r="C107" t="s">
        <v>807</v>
      </c>
      <c r="E107" t="s">
        <v>774</v>
      </c>
      <c r="J107" t="s">
        <v>740</v>
      </c>
    </row>
    <row r="108" spans="1:12">
      <c r="C108" t="s">
        <v>806</v>
      </c>
      <c r="E108" t="s">
        <v>776</v>
      </c>
    </row>
    <row r="109" spans="1:12">
      <c r="C109" t="s">
        <v>805</v>
      </c>
      <c r="E109" t="s">
        <v>775</v>
      </c>
    </row>
    <row r="112" spans="1:12">
      <c r="A112" t="s">
        <v>16</v>
      </c>
      <c r="B112" t="s">
        <v>710</v>
      </c>
      <c r="C112" t="s">
        <v>718</v>
      </c>
      <c r="F112" t="s">
        <v>705</v>
      </c>
    </row>
    <row r="114" spans="1:10">
      <c r="A114" t="s">
        <v>16</v>
      </c>
      <c r="B114" t="s">
        <v>759</v>
      </c>
      <c r="C114" t="s">
        <v>740</v>
      </c>
      <c r="E114" t="s">
        <v>739</v>
      </c>
      <c r="J114" t="s">
        <v>740</v>
      </c>
    </row>
    <row r="115" spans="1:10">
      <c r="E115" s="11" t="s">
        <v>729</v>
      </c>
      <c r="J115" t="s">
        <v>741</v>
      </c>
    </row>
    <row r="116" spans="1:10">
      <c r="A116" t="s">
        <v>16</v>
      </c>
      <c r="B116" t="s">
        <v>742</v>
      </c>
      <c r="C116" t="s">
        <v>803</v>
      </c>
      <c r="E116" s="11" t="s">
        <v>730</v>
      </c>
    </row>
    <row r="117" spans="1:10">
      <c r="C117" t="s">
        <v>804</v>
      </c>
    </row>
    <row r="118" spans="1:10">
      <c r="E118" s="12" t="s">
        <v>731</v>
      </c>
    </row>
    <row r="120" spans="1:10">
      <c r="A120" t="s">
        <v>16</v>
      </c>
      <c r="B120" t="s">
        <v>744</v>
      </c>
      <c r="C120" t="s">
        <v>745</v>
      </c>
      <c r="E120" s="13" t="s">
        <v>732</v>
      </c>
    </row>
    <row r="121" spans="1:10">
      <c r="E121" s="12"/>
    </row>
    <row r="122" spans="1:10">
      <c r="A122" t="s">
        <v>16</v>
      </c>
      <c r="B122" t="s">
        <v>25</v>
      </c>
      <c r="C122" t="s">
        <v>807</v>
      </c>
      <c r="E122" s="12" t="s">
        <v>733</v>
      </c>
    </row>
    <row r="125" spans="1:10">
      <c r="E125" t="s">
        <v>734</v>
      </c>
    </row>
    <row r="128" spans="1:10">
      <c r="E128" t="s">
        <v>735</v>
      </c>
    </row>
  </sheetData>
  <hyperlinks>
    <hyperlink ref="C69" r:id="rId1" display="url:DCLICK" xr:uid="{E2C33378-9CB1-4446-8178-528B4E855B65}"/>
    <hyperlink ref="L74" r:id="rId2" display="url:URL_Dclick_Pages" xr:uid="{4E634724-8ED0-4170-BB78-BE1EAC4BADF5}"/>
    <hyperlink ref="C74" r:id="rId3" display="url:URL_Dclick_Pages" xr:uid="{5A223560-80F5-4F61-999D-C4BB563B958D}"/>
  </hyperlinks>
  <pageMargins left="0.7" right="0.7" top="0.75" bottom="0.75" header="0.3" footer="0.3"/>
  <pageSetup orientation="portrait"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1566E-E05F-4237-9D17-04856B45C5C6}">
  <sheetPr codeName="Sheet14"/>
  <dimension ref="A1:J59"/>
  <sheetViews>
    <sheetView topLeftCell="A27" workbookViewId="0">
      <selection activeCell="B29" sqref="B29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0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0">
      <c r="A2" t="s">
        <v>15</v>
      </c>
      <c r="B2" t="s">
        <v>415</v>
      </c>
      <c r="C2" t="s">
        <v>763</v>
      </c>
      <c r="D2" t="s">
        <v>762</v>
      </c>
      <c r="E2" t="s">
        <v>92</v>
      </c>
    </row>
    <row r="3" spans="1:10">
      <c r="C3" t="s">
        <v>764</v>
      </c>
      <c r="D3" t="s">
        <v>761</v>
      </c>
      <c r="E3" t="s">
        <v>92</v>
      </c>
    </row>
    <row r="6" spans="1:10">
      <c r="A6" t="s">
        <v>15</v>
      </c>
      <c r="B6" t="s">
        <v>645</v>
      </c>
      <c r="C6" t="s">
        <v>719</v>
      </c>
      <c r="D6">
        <v>0</v>
      </c>
      <c r="E6" t="s">
        <v>646</v>
      </c>
    </row>
    <row r="7" spans="1:10">
      <c r="C7" t="s">
        <v>719</v>
      </c>
      <c r="E7" t="s">
        <v>703</v>
      </c>
    </row>
    <row r="9" spans="1:10">
      <c r="A9" t="s">
        <v>15</v>
      </c>
      <c r="B9" t="s">
        <v>704</v>
      </c>
      <c r="C9" t="s">
        <v>820</v>
      </c>
      <c r="J9" t="s">
        <v>820</v>
      </c>
    </row>
    <row r="10" spans="1:10">
      <c r="C10" t="s">
        <v>820</v>
      </c>
      <c r="E10" t="s">
        <v>715</v>
      </c>
    </row>
    <row r="12" spans="1:10">
      <c r="A12" t="s">
        <v>15</v>
      </c>
      <c r="B12" s="3" t="s">
        <v>357</v>
      </c>
      <c r="C12" t="s">
        <v>252</v>
      </c>
      <c r="D12" t="s">
        <v>632</v>
      </c>
      <c r="E12" s="3" t="s">
        <v>432</v>
      </c>
    </row>
    <row r="13" spans="1:10">
      <c r="C13" t="s">
        <v>364</v>
      </c>
      <c r="D13" t="s">
        <v>748</v>
      </c>
    </row>
    <row r="15" spans="1:10">
      <c r="A15" t="s">
        <v>15</v>
      </c>
      <c r="B15" t="s">
        <v>9</v>
      </c>
      <c r="C15" t="s">
        <v>634</v>
      </c>
      <c r="D15" t="s">
        <v>633</v>
      </c>
      <c r="E15" s="3" t="s">
        <v>433</v>
      </c>
    </row>
    <row r="17" spans="1:10">
      <c r="A17" t="s">
        <v>15</v>
      </c>
      <c r="B17" t="s">
        <v>404</v>
      </c>
      <c r="C17" t="s">
        <v>405</v>
      </c>
      <c r="E17" s="3" t="s">
        <v>436</v>
      </c>
    </row>
    <row r="18" spans="1:10">
      <c r="E18" s="3"/>
    </row>
    <row r="19" spans="1:10">
      <c r="A19" t="s">
        <v>16</v>
      </c>
      <c r="B19" s="3" t="s">
        <v>25</v>
      </c>
      <c r="C19" t="s">
        <v>760</v>
      </c>
      <c r="E19" t="s">
        <v>148</v>
      </c>
    </row>
    <row r="20" spans="1:10">
      <c r="B20" s="3"/>
      <c r="C20" t="s">
        <v>644</v>
      </c>
      <c r="D20" s="3"/>
    </row>
    <row r="21" spans="1:10">
      <c r="C21" t="s">
        <v>637</v>
      </c>
    </row>
    <row r="22" spans="1:10">
      <c r="C22" t="s">
        <v>819</v>
      </c>
      <c r="E22" t="s">
        <v>370</v>
      </c>
      <c r="J22" t="s">
        <v>416</v>
      </c>
    </row>
    <row r="23" spans="1:10">
      <c r="E23" t="s">
        <v>717</v>
      </c>
    </row>
    <row r="24" spans="1:10">
      <c r="A24" t="s">
        <v>16</v>
      </c>
      <c r="B24" s="3" t="s">
        <v>637</v>
      </c>
      <c r="C24" t="s">
        <v>635</v>
      </c>
    </row>
    <row r="25" spans="1:10">
      <c r="C25" t="s">
        <v>638</v>
      </c>
    </row>
    <row r="26" spans="1:10">
      <c r="A26" t="s">
        <v>16</v>
      </c>
      <c r="B26" t="s">
        <v>638</v>
      </c>
      <c r="C26" t="s">
        <v>639</v>
      </c>
      <c r="E26" t="s">
        <v>636</v>
      </c>
    </row>
    <row r="28" spans="1:10">
      <c r="A28" t="s">
        <v>16</v>
      </c>
      <c r="B28" s="3" t="s">
        <v>32</v>
      </c>
      <c r="C28" t="s">
        <v>399</v>
      </c>
    </row>
    <row r="29" spans="1:10">
      <c r="B29" s="3"/>
      <c r="C29" t="s">
        <v>417</v>
      </c>
      <c r="E29" t="s">
        <v>117</v>
      </c>
    </row>
    <row r="30" spans="1:10">
      <c r="C30" t="s">
        <v>118</v>
      </c>
    </row>
    <row r="31" spans="1:10">
      <c r="A31" t="s">
        <v>16</v>
      </c>
      <c r="B31" t="s">
        <v>118</v>
      </c>
      <c r="C31" t="s">
        <v>422</v>
      </c>
    </row>
    <row r="32" spans="1:10">
      <c r="C32" t="s">
        <v>647</v>
      </c>
      <c r="E32" t="s">
        <v>706</v>
      </c>
    </row>
    <row r="33" spans="1:10">
      <c r="C33" t="s">
        <v>658</v>
      </c>
      <c r="E33" t="s">
        <v>707</v>
      </c>
    </row>
    <row r="34" spans="1:10">
      <c r="C34" t="s">
        <v>24</v>
      </c>
    </row>
    <row r="37" spans="1:10">
      <c r="A37" t="s">
        <v>16</v>
      </c>
      <c r="B37" t="s">
        <v>814</v>
      </c>
      <c r="C37" t="s">
        <v>24</v>
      </c>
    </row>
    <row r="38" spans="1:10">
      <c r="C38" t="s">
        <v>722</v>
      </c>
      <c r="E38" t="s">
        <v>711</v>
      </c>
    </row>
    <row r="39" spans="1:10">
      <c r="C39" t="s">
        <v>723</v>
      </c>
      <c r="E39" t="s">
        <v>5</v>
      </c>
    </row>
    <row r="40" spans="1:10">
      <c r="C40" t="s">
        <v>808</v>
      </c>
      <c r="E40" t="s">
        <v>815</v>
      </c>
    </row>
    <row r="41" spans="1:10">
      <c r="C41" t="s">
        <v>24</v>
      </c>
    </row>
    <row r="42" spans="1:10">
      <c r="C42" t="s">
        <v>726</v>
      </c>
    </row>
    <row r="43" spans="1:10">
      <c r="C43" t="s">
        <v>725</v>
      </c>
    </row>
    <row r="44" spans="1:10">
      <c r="C44" t="s">
        <v>727</v>
      </c>
    </row>
    <row r="45" spans="1:10">
      <c r="C45" t="s">
        <v>809</v>
      </c>
      <c r="E45" t="s">
        <v>64</v>
      </c>
    </row>
    <row r="47" spans="1:10">
      <c r="A47" t="s">
        <v>16</v>
      </c>
      <c r="B47" t="s">
        <v>737</v>
      </c>
      <c r="C47" t="s">
        <v>821</v>
      </c>
    </row>
    <row r="48" spans="1:10">
      <c r="C48" t="s">
        <v>816</v>
      </c>
      <c r="E48" t="s">
        <v>774</v>
      </c>
      <c r="J48" t="s">
        <v>807</v>
      </c>
    </row>
    <row r="49" spans="1:10">
      <c r="C49" t="s">
        <v>778</v>
      </c>
      <c r="E49" t="s">
        <v>776</v>
      </c>
      <c r="J49" t="s">
        <v>813</v>
      </c>
    </row>
    <row r="50" spans="1:10">
      <c r="C50" t="s">
        <v>768</v>
      </c>
      <c r="E50" t="s">
        <v>775</v>
      </c>
    </row>
    <row r="52" spans="1:10">
      <c r="A52" t="s">
        <v>16</v>
      </c>
      <c r="B52" t="s">
        <v>759</v>
      </c>
      <c r="C52" t="s">
        <v>740</v>
      </c>
      <c r="E52" t="s">
        <v>739</v>
      </c>
    </row>
    <row r="54" spans="1:10">
      <c r="A54" t="s">
        <v>16</v>
      </c>
      <c r="B54" t="s">
        <v>742</v>
      </c>
      <c r="C54" t="s">
        <v>767</v>
      </c>
      <c r="E54" t="s">
        <v>818</v>
      </c>
    </row>
    <row r="55" spans="1:10">
      <c r="C55" t="s">
        <v>803</v>
      </c>
      <c r="E55" t="s">
        <v>817</v>
      </c>
    </row>
    <row r="57" spans="1:10">
      <c r="A57" t="s">
        <v>16</v>
      </c>
      <c r="B57" t="s">
        <v>744</v>
      </c>
      <c r="C57" t="s">
        <v>812</v>
      </c>
    </row>
    <row r="59" spans="1:10">
      <c r="A59" t="s">
        <v>16</v>
      </c>
      <c r="B59" t="s">
        <v>659</v>
      </c>
      <c r="C59" t="s">
        <v>813</v>
      </c>
      <c r="J59" t="s">
        <v>807</v>
      </c>
    </row>
  </sheetData>
  <hyperlinks>
    <hyperlink ref="C24" r:id="rId1" display="url:DCLICK" xr:uid="{C8AFFF6F-D9CD-445A-8102-62D2A4DD5D36}"/>
    <hyperlink ref="L29" r:id="rId2" display="url:URL_Dclick_Pages" xr:uid="{F2C86A53-76CF-4076-AF1E-805BEC2B8B5A}"/>
    <hyperlink ref="C29" r:id="rId3" display="url:URL_Dclick_Pages" xr:uid="{C6143C9B-ACA9-4803-8A33-0C888A76E59E}"/>
  </hyperlinks>
  <pageMargins left="0.7" right="0.7" top="0.75" bottom="0.75" header="0.3" footer="0.3"/>
  <pageSetup orientation="portrait" r:id="rId4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10D1-0252-4C6B-944F-4ED7F78DAFEA}">
  <sheetPr codeName="Sheet3"/>
  <dimension ref="A1:P154"/>
  <sheetViews>
    <sheetView topLeftCell="A50" workbookViewId="0">
      <selection activeCell="L56" sqref="L5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>
      <c r="C4" t="s">
        <v>43</v>
      </c>
      <c r="D4" s="2" t="s">
        <v>474</v>
      </c>
      <c r="E4" t="s">
        <v>92</v>
      </c>
      <c r="G4" t="str">
        <f t="shared" si="0"/>
        <v>wBags_NetSales.png</v>
      </c>
      <c r="J4" t="str">
        <f t="shared" si="1"/>
        <v>wBags_Units.png</v>
      </c>
      <c r="O4" t="s">
        <v>45</v>
      </c>
      <c r="P4" t="s">
        <v>44</v>
      </c>
    </row>
    <row r="5" spans="1:16">
      <c r="C5" t="s">
        <v>42</v>
      </c>
      <c r="D5" s="2" t="s">
        <v>475</v>
      </c>
      <c r="E5" t="s">
        <v>92</v>
      </c>
      <c r="G5" t="str">
        <f t="shared" si="0"/>
        <v>wRTW_NetSales.png</v>
      </c>
      <c r="J5" t="str">
        <f t="shared" si="1"/>
        <v>wRTW_Units.png</v>
      </c>
      <c r="O5" t="s">
        <v>47</v>
      </c>
      <c r="P5" t="s">
        <v>46</v>
      </c>
    </row>
    <row r="6" spans="1:16">
      <c r="C6" t="s">
        <v>45</v>
      </c>
      <c r="D6" s="2" t="s">
        <v>476</v>
      </c>
      <c r="E6" t="s">
        <v>92</v>
      </c>
      <c r="G6" t="str">
        <f t="shared" si="0"/>
        <v>wShoes_NetSales.png</v>
      </c>
      <c r="J6" t="str">
        <f t="shared" si="1"/>
        <v>wShoes_Units.png</v>
      </c>
      <c r="O6" t="s">
        <v>49</v>
      </c>
      <c r="P6" t="s">
        <v>48</v>
      </c>
    </row>
    <row r="7" spans="1:16">
      <c r="C7" t="s">
        <v>47</v>
      </c>
      <c r="D7" s="2" t="s">
        <v>477</v>
      </c>
      <c r="E7" t="s">
        <v>92</v>
      </c>
      <c r="G7" t="str">
        <f t="shared" si="0"/>
        <v>wAccessories_NetSales.png</v>
      </c>
      <c r="J7" t="str">
        <f t="shared" si="1"/>
        <v>wAccessories_Units.png</v>
      </c>
      <c r="O7" t="s">
        <v>50</v>
      </c>
      <c r="P7" t="s">
        <v>52</v>
      </c>
    </row>
    <row r="8" spans="1:16">
      <c r="C8" t="s">
        <v>49</v>
      </c>
      <c r="D8" s="2" t="s">
        <v>478</v>
      </c>
      <c r="E8" t="s">
        <v>92</v>
      </c>
      <c r="G8" t="str">
        <f t="shared" si="0"/>
        <v>JewelleryAndWatches_NetSales.png</v>
      </c>
      <c r="J8" t="str">
        <f t="shared" si="1"/>
        <v>JewelleryAndWatches_Units.png</v>
      </c>
      <c r="O8" t="s">
        <v>51</v>
      </c>
      <c r="P8" t="s">
        <v>53</v>
      </c>
    </row>
    <row r="9" spans="1:16">
      <c r="C9" t="s">
        <v>50</v>
      </c>
      <c r="D9" s="2" t="s">
        <v>479</v>
      </c>
      <c r="E9" t="s">
        <v>92</v>
      </c>
      <c r="G9" t="str">
        <f t="shared" si="0"/>
        <v>Mens_NetSales.png</v>
      </c>
      <c r="J9" t="str">
        <f t="shared" si="1"/>
        <v>Mens_Units.png</v>
      </c>
      <c r="O9" t="s">
        <v>55</v>
      </c>
      <c r="P9" t="s">
        <v>54</v>
      </c>
    </row>
    <row r="10" spans="1:16">
      <c r="C10" t="s">
        <v>51</v>
      </c>
      <c r="D10" s="2" t="s">
        <v>480</v>
      </c>
    </row>
    <row r="11" spans="1:16">
      <c r="C11" t="s">
        <v>532</v>
      </c>
      <c r="D11" s="2" t="s">
        <v>533</v>
      </c>
    </row>
    <row r="12" spans="1:16">
      <c r="C12" t="s">
        <v>55</v>
      </c>
      <c r="D12" t="s">
        <v>465</v>
      </c>
    </row>
    <row r="13" spans="1:16">
      <c r="C13" t="s">
        <v>537</v>
      </c>
      <c r="D13" s="2" t="s">
        <v>536</v>
      </c>
    </row>
    <row r="14" spans="1:16">
      <c r="C14" t="s">
        <v>541</v>
      </c>
      <c r="D14" t="s">
        <v>540</v>
      </c>
    </row>
    <row r="15" spans="1:16">
      <c r="C15" t="s">
        <v>545</v>
      </c>
      <c r="D15" t="s">
        <v>544</v>
      </c>
    </row>
    <row r="17" spans="1:15">
      <c r="A17" t="s">
        <v>15</v>
      </c>
      <c r="B17" s="3" t="s">
        <v>357</v>
      </c>
      <c r="C17" t="s">
        <v>359</v>
      </c>
      <c r="D17" t="s">
        <v>362</v>
      </c>
      <c r="E17" s="3" t="s">
        <v>432</v>
      </c>
      <c r="H17" t="s">
        <v>361</v>
      </c>
    </row>
    <row r="18" spans="1:15">
      <c r="C18" t="s">
        <v>252</v>
      </c>
      <c r="D18" t="s">
        <v>360</v>
      </c>
    </row>
    <row r="19" spans="1:15">
      <c r="C19" t="s">
        <v>364</v>
      </c>
      <c r="D19" t="s">
        <v>362</v>
      </c>
    </row>
    <row r="20" spans="1:15">
      <c r="C20" t="s">
        <v>366</v>
      </c>
      <c r="D20" t="s">
        <v>754</v>
      </c>
      <c r="E20" t="s">
        <v>685</v>
      </c>
      <c r="H20" t="s">
        <v>684</v>
      </c>
    </row>
    <row r="21" spans="1:15">
      <c r="C21" t="s">
        <v>36</v>
      </c>
      <c r="D21" t="b">
        <v>0</v>
      </c>
    </row>
    <row r="22" spans="1:15">
      <c r="C22" t="s">
        <v>459</v>
      </c>
      <c r="D22" t="s">
        <v>520</v>
      </c>
      <c r="E22" s="5" t="s">
        <v>457</v>
      </c>
    </row>
    <row r="23" spans="1:15">
      <c r="C23" t="s">
        <v>460</v>
      </c>
      <c r="D23" t="s">
        <v>461</v>
      </c>
      <c r="E23" s="6" t="s">
        <v>458</v>
      </c>
    </row>
    <row r="24" spans="1:15">
      <c r="C24" t="s">
        <v>521</v>
      </c>
      <c r="D24" t="s">
        <v>683</v>
      </c>
      <c r="E24" s="6"/>
    </row>
    <row r="25" spans="1:15">
      <c r="C25" t="s">
        <v>522</v>
      </c>
      <c r="D25" t="s">
        <v>524</v>
      </c>
      <c r="E25" s="6"/>
    </row>
    <row r="27" spans="1:15">
      <c r="A27" t="s">
        <v>15</v>
      </c>
      <c r="B27" t="s">
        <v>9</v>
      </c>
      <c r="C27" t="s">
        <v>19</v>
      </c>
      <c r="D27" t="s">
        <v>20</v>
      </c>
      <c r="E27" s="3" t="s">
        <v>433</v>
      </c>
    </row>
    <row r="28" spans="1:15">
      <c r="C28" t="s">
        <v>93</v>
      </c>
      <c r="D28" t="s">
        <v>23</v>
      </c>
    </row>
    <row r="30" spans="1:15">
      <c r="A30" t="s">
        <v>16</v>
      </c>
      <c r="B30" t="s">
        <v>66</v>
      </c>
      <c r="C30" t="s">
        <v>469</v>
      </c>
      <c r="E30" t="s">
        <v>136</v>
      </c>
      <c r="J30" t="s">
        <v>76</v>
      </c>
      <c r="O30" t="s">
        <v>84</v>
      </c>
    </row>
    <row r="31" spans="1:15">
      <c r="C31" t="s">
        <v>470</v>
      </c>
      <c r="J31" t="s">
        <v>77</v>
      </c>
      <c r="O31" t="s">
        <v>91</v>
      </c>
    </row>
    <row r="32" spans="1:15">
      <c r="C32" t="s">
        <v>471</v>
      </c>
      <c r="J32" t="s">
        <v>78</v>
      </c>
      <c r="O32" t="s">
        <v>76</v>
      </c>
    </row>
    <row r="33" spans="3:15">
      <c r="C33" t="s">
        <v>472</v>
      </c>
      <c r="J33" t="s">
        <v>85</v>
      </c>
      <c r="O33" t="s">
        <v>77</v>
      </c>
    </row>
    <row r="34" spans="3:15">
      <c r="C34" t="s">
        <v>76</v>
      </c>
      <c r="J34" t="s">
        <v>84</v>
      </c>
      <c r="O34" t="s">
        <v>78</v>
      </c>
    </row>
    <row r="35" spans="3:15">
      <c r="C35" t="s">
        <v>77</v>
      </c>
      <c r="J35" t="s">
        <v>91</v>
      </c>
      <c r="O35" t="s">
        <v>85</v>
      </c>
    </row>
    <row r="36" spans="3:15">
      <c r="C36" t="s">
        <v>78</v>
      </c>
      <c r="O36" t="s">
        <v>79</v>
      </c>
    </row>
    <row r="37" spans="3:15">
      <c r="C37" t="s">
        <v>85</v>
      </c>
      <c r="O37" t="s">
        <v>86</v>
      </c>
    </row>
    <row r="38" spans="3:15">
      <c r="C38" t="s">
        <v>534</v>
      </c>
      <c r="O38" t="s">
        <v>80</v>
      </c>
    </row>
    <row r="39" spans="3:15">
      <c r="C39" t="s">
        <v>535</v>
      </c>
      <c r="O39" t="s">
        <v>87</v>
      </c>
    </row>
    <row r="40" spans="3:15">
      <c r="C40" t="s">
        <v>80</v>
      </c>
      <c r="O40" t="s">
        <v>81</v>
      </c>
    </row>
    <row r="41" spans="3:15">
      <c r="C41" t="s">
        <v>87</v>
      </c>
      <c r="O41" t="s">
        <v>88</v>
      </c>
    </row>
    <row r="42" spans="3:15">
      <c r="C42" t="s">
        <v>79</v>
      </c>
      <c r="O42" t="s">
        <v>82</v>
      </c>
    </row>
    <row r="43" spans="3:15">
      <c r="C43" t="s">
        <v>86</v>
      </c>
      <c r="O43" t="s">
        <v>89</v>
      </c>
    </row>
    <row r="44" spans="3:15">
      <c r="C44" t="s">
        <v>82</v>
      </c>
      <c r="O44" t="s">
        <v>83</v>
      </c>
    </row>
    <row r="45" spans="3:15">
      <c r="C45" t="s">
        <v>89</v>
      </c>
      <c r="O45" t="s">
        <v>90</v>
      </c>
    </row>
    <row r="46" spans="3:15">
      <c r="C46" t="s">
        <v>539</v>
      </c>
    </row>
    <row r="47" spans="3:15">
      <c r="C47" t="s">
        <v>538</v>
      </c>
    </row>
    <row r="48" spans="3:15">
      <c r="C48" t="s">
        <v>543</v>
      </c>
    </row>
    <row r="49" spans="1:5">
      <c r="C49" t="s">
        <v>542</v>
      </c>
    </row>
    <row r="50" spans="1:5">
      <c r="C50" t="s">
        <v>547</v>
      </c>
    </row>
    <row r="51" spans="1:5">
      <c r="C51" t="s">
        <v>546</v>
      </c>
    </row>
    <row r="52" spans="1:5">
      <c r="C52" t="s">
        <v>81</v>
      </c>
    </row>
    <row r="53" spans="1:5">
      <c r="C53" t="s">
        <v>88</v>
      </c>
    </row>
    <row r="54" spans="1:5">
      <c r="C54" t="s">
        <v>83</v>
      </c>
    </row>
    <row r="55" spans="1:5">
      <c r="C55" t="s">
        <v>90</v>
      </c>
    </row>
    <row r="57" spans="1:5">
      <c r="A57" t="s">
        <v>16</v>
      </c>
      <c r="B57" t="s">
        <v>67</v>
      </c>
      <c r="C57" t="s">
        <v>68</v>
      </c>
    </row>
    <row r="58" spans="1:5">
      <c r="C58" t="s">
        <v>69</v>
      </c>
    </row>
    <row r="60" spans="1:5">
      <c r="A60" t="s">
        <v>15</v>
      </c>
      <c r="B60" t="s">
        <v>404</v>
      </c>
      <c r="C60" t="s">
        <v>405</v>
      </c>
      <c r="E60" s="3" t="s">
        <v>436</v>
      </c>
    </row>
    <row r="61" spans="1:5">
      <c r="E61" s="3"/>
    </row>
    <row r="62" spans="1:5">
      <c r="A62" t="s">
        <v>16</v>
      </c>
      <c r="B62" s="3" t="s">
        <v>25</v>
      </c>
      <c r="C62" t="s">
        <v>749</v>
      </c>
      <c r="E62" t="s">
        <v>148</v>
      </c>
    </row>
    <row r="63" spans="1:5">
      <c r="B63" s="3"/>
      <c r="C63" t="s">
        <v>435</v>
      </c>
      <c r="D63" s="3"/>
    </row>
    <row r="64" spans="1:5">
      <c r="C64" t="s">
        <v>681</v>
      </c>
      <c r="E64" t="s">
        <v>682</v>
      </c>
    </row>
    <row r="65" spans="1:11">
      <c r="C65" t="s">
        <v>95</v>
      </c>
    </row>
    <row r="66" spans="1:11">
      <c r="C66" t="s">
        <v>369</v>
      </c>
      <c r="E66" t="s">
        <v>370</v>
      </c>
    </row>
    <row r="67" spans="1:11">
      <c r="C67" t="s">
        <v>1</v>
      </c>
    </row>
    <row r="68" spans="1:11">
      <c r="B68" s="3"/>
      <c r="C68" t="s">
        <v>147</v>
      </c>
      <c r="K68" t="str">
        <f ca="1">_xlfn.CONCAT("createPDF:imagelist,./Output/Images/,./Output/APAC_Daily_Sales_",K70,".pdf")</f>
        <v>createPDF:imagelist,./Output/Images/,./Output/APAC_Daily_Sales_20221103104758.pdf</v>
      </c>
    </row>
    <row r="69" spans="1:11">
      <c r="B69" s="3"/>
      <c r="C69" t="s">
        <v>691</v>
      </c>
      <c r="E69" t="s">
        <v>437</v>
      </c>
      <c r="K69" t="s">
        <v>438</v>
      </c>
    </row>
    <row r="70" spans="1:11">
      <c r="A70" t="s">
        <v>16</v>
      </c>
      <c r="B70" t="s">
        <v>147</v>
      </c>
      <c r="C70" t="s">
        <v>678</v>
      </c>
      <c r="E70" t="s">
        <v>71</v>
      </c>
      <c r="K70" s="4" t="str">
        <f ca="1">TEXT(NOW(),"YYYYMMDDHHMMSS")</f>
        <v>20221103104758</v>
      </c>
    </row>
    <row r="74" spans="1:11">
      <c r="A74" t="s">
        <v>16</v>
      </c>
      <c r="B74" s="3" t="s">
        <v>0</v>
      </c>
      <c r="C74" t="s">
        <v>21</v>
      </c>
      <c r="D74" s="2"/>
      <c r="E74" t="s">
        <v>397</v>
      </c>
    </row>
    <row r="75" spans="1:11">
      <c r="C75" t="s">
        <v>1</v>
      </c>
    </row>
    <row r="76" spans="1:11">
      <c r="C76" t="s">
        <v>338</v>
      </c>
      <c r="E76" t="s">
        <v>104</v>
      </c>
    </row>
    <row r="77" spans="1:11">
      <c r="C77" t="s">
        <v>107</v>
      </c>
      <c r="E77" t="s">
        <v>108</v>
      </c>
    </row>
    <row r="78" spans="1:11">
      <c r="A78" t="s">
        <v>16</v>
      </c>
      <c r="B78" s="1" t="s">
        <v>107</v>
      </c>
      <c r="C78" t="s">
        <v>440</v>
      </c>
      <c r="E78" s="1" t="s">
        <v>343</v>
      </c>
    </row>
    <row r="79" spans="1:11">
      <c r="B79" s="1"/>
      <c r="C79" t="s">
        <v>22</v>
      </c>
      <c r="E79" s="1" t="s">
        <v>105</v>
      </c>
    </row>
    <row r="80" spans="1:11">
      <c r="C80" t="s">
        <v>34</v>
      </c>
      <c r="E80" t="s">
        <v>106</v>
      </c>
    </row>
    <row r="81" spans="1:5">
      <c r="C81" t="s">
        <v>411</v>
      </c>
      <c r="E81" t="s">
        <v>38</v>
      </c>
    </row>
    <row r="82" spans="1:5">
      <c r="C82" t="s">
        <v>7</v>
      </c>
      <c r="E82" t="s">
        <v>110</v>
      </c>
    </row>
    <row r="83" spans="1:5">
      <c r="C83" t="s">
        <v>449</v>
      </c>
      <c r="E83" t="s">
        <v>450</v>
      </c>
    </row>
    <row r="84" spans="1:5">
      <c r="C84" t="s">
        <v>452</v>
      </c>
      <c r="E84" t="s">
        <v>453</v>
      </c>
    </row>
    <row r="85" spans="1:5">
      <c r="C85" t="s">
        <v>344</v>
      </c>
      <c r="E85" t="s">
        <v>111</v>
      </c>
    </row>
    <row r="87" spans="1:5">
      <c r="A87" t="s">
        <v>16</v>
      </c>
      <c r="B87" t="s">
        <v>410</v>
      </c>
      <c r="C87" t="s">
        <v>37</v>
      </c>
    </row>
    <row r="88" spans="1:5">
      <c r="C88" t="s">
        <v>456</v>
      </c>
      <c r="E88" t="s">
        <v>455</v>
      </c>
    </row>
    <row r="89" spans="1:5">
      <c r="C89" t="s">
        <v>27</v>
      </c>
    </row>
    <row r="91" spans="1:5">
      <c r="A91" t="s">
        <v>16</v>
      </c>
      <c r="B91" t="s">
        <v>451</v>
      </c>
      <c r="C91" t="s">
        <v>454</v>
      </c>
      <c r="E91" t="s">
        <v>455</v>
      </c>
    </row>
    <row r="92" spans="1:5">
      <c r="C92" t="s">
        <v>27</v>
      </c>
    </row>
    <row r="94" spans="1:5">
      <c r="A94" t="s">
        <v>16</v>
      </c>
      <c r="B94" s="3" t="s">
        <v>95</v>
      </c>
      <c r="C94" t="s">
        <v>94</v>
      </c>
    </row>
    <row r="95" spans="1:5">
      <c r="C95" t="s">
        <v>1</v>
      </c>
    </row>
    <row r="96" spans="1:5">
      <c r="C96" t="s">
        <v>338</v>
      </c>
      <c r="E96" t="s">
        <v>104</v>
      </c>
    </row>
    <row r="97" spans="1:12">
      <c r="C97" t="s">
        <v>114</v>
      </c>
    </row>
    <row r="98" spans="1:12">
      <c r="A98" t="s">
        <v>16</v>
      </c>
      <c r="B98" t="s">
        <v>114</v>
      </c>
      <c r="C98" t="s">
        <v>448</v>
      </c>
      <c r="E98" t="s">
        <v>115</v>
      </c>
    </row>
    <row r="100" spans="1:12">
      <c r="A100" t="s">
        <v>16</v>
      </c>
      <c r="B100" s="3" t="s">
        <v>32</v>
      </c>
      <c r="C100" t="s">
        <v>750</v>
      </c>
    </row>
    <row r="101" spans="1:12">
      <c r="B101" s="3"/>
      <c r="C101" t="s">
        <v>118</v>
      </c>
    </row>
    <row r="102" spans="1:12">
      <c r="C102" t="s">
        <v>122</v>
      </c>
    </row>
    <row r="103" spans="1:12">
      <c r="C103" t="s">
        <v>57</v>
      </c>
    </row>
    <row r="104" spans="1:12">
      <c r="C104" t="s">
        <v>56</v>
      </c>
    </row>
    <row r="105" spans="1:12">
      <c r="C105" t="s">
        <v>376</v>
      </c>
    </row>
    <row r="106" spans="1:12">
      <c r="C106" t="s">
        <v>751</v>
      </c>
    </row>
    <row r="107" spans="1:12">
      <c r="C107" t="s">
        <v>400</v>
      </c>
      <c r="E107" t="s">
        <v>64</v>
      </c>
      <c r="L107" t="s">
        <v>400</v>
      </c>
    </row>
    <row r="108" spans="1:12">
      <c r="C108" t="s">
        <v>58</v>
      </c>
    </row>
    <row r="109" spans="1:12">
      <c r="C109" t="s">
        <v>376</v>
      </c>
    </row>
    <row r="110" spans="1:12">
      <c r="C110" t="s">
        <v>401</v>
      </c>
      <c r="D110" t="s">
        <v>401</v>
      </c>
    </row>
    <row r="111" spans="1:12">
      <c r="A111" t="s">
        <v>16</v>
      </c>
      <c r="B111" t="s">
        <v>118</v>
      </c>
      <c r="C111" t="s">
        <v>398</v>
      </c>
      <c r="D111" t="s">
        <v>29</v>
      </c>
      <c r="E111" t="s">
        <v>117</v>
      </c>
    </row>
    <row r="112" spans="1:12">
      <c r="C112" t="s">
        <v>441</v>
      </c>
    </row>
    <row r="113" spans="1:5">
      <c r="A113" t="s">
        <v>16</v>
      </c>
      <c r="B113" t="s">
        <v>441</v>
      </c>
      <c r="C113" t="s">
        <v>442</v>
      </c>
    </row>
    <row r="114" spans="1:5">
      <c r="A114" t="s">
        <v>16</v>
      </c>
      <c r="B114" t="s">
        <v>122</v>
      </c>
      <c r="C114" t="s">
        <v>347</v>
      </c>
      <c r="E114" t="s">
        <v>126</v>
      </c>
    </row>
    <row r="115" spans="1:5">
      <c r="C115" t="s">
        <v>348</v>
      </c>
      <c r="E115" t="s">
        <v>127</v>
      </c>
    </row>
    <row r="116" spans="1:5">
      <c r="A116" t="s">
        <v>16</v>
      </c>
      <c r="B116" t="s">
        <v>124</v>
      </c>
      <c r="C116" t="s">
        <v>349</v>
      </c>
      <c r="E116" t="s">
        <v>128</v>
      </c>
    </row>
    <row r="117" spans="1:5">
      <c r="C117" t="s">
        <v>2</v>
      </c>
    </row>
    <row r="118" spans="1:5">
      <c r="C118" t="s">
        <v>129</v>
      </c>
    </row>
    <row r="119" spans="1:5">
      <c r="C119" t="s">
        <v>120</v>
      </c>
      <c r="E119" t="s">
        <v>131</v>
      </c>
    </row>
    <row r="120" spans="1:5">
      <c r="C120" t="s">
        <v>121</v>
      </c>
      <c r="E120" t="s">
        <v>132</v>
      </c>
    </row>
    <row r="121" spans="1:5">
      <c r="C121" t="s">
        <v>350</v>
      </c>
      <c r="E121" t="s">
        <v>133</v>
      </c>
    </row>
    <row r="122" spans="1:5">
      <c r="A122" t="s">
        <v>16</v>
      </c>
      <c r="B122" t="s">
        <v>134</v>
      </c>
      <c r="C122" t="s">
        <v>27</v>
      </c>
    </row>
    <row r="124" spans="1:5">
      <c r="A124" t="s">
        <v>16</v>
      </c>
      <c r="B124" t="s">
        <v>57</v>
      </c>
      <c r="C124" t="s">
        <v>61</v>
      </c>
      <c r="E124" t="s">
        <v>99</v>
      </c>
    </row>
    <row r="125" spans="1:5">
      <c r="A125" t="s">
        <v>16</v>
      </c>
      <c r="B125" t="s">
        <v>56</v>
      </c>
      <c r="C125" t="s">
        <v>60</v>
      </c>
      <c r="E125" t="s">
        <v>100</v>
      </c>
    </row>
    <row r="126" spans="1:5">
      <c r="A126" t="s">
        <v>16</v>
      </c>
      <c r="B126" t="s">
        <v>58</v>
      </c>
      <c r="C126" t="s">
        <v>59</v>
      </c>
      <c r="E126" t="s">
        <v>101</v>
      </c>
    </row>
    <row r="127" spans="1:5">
      <c r="A127" t="s">
        <v>16</v>
      </c>
      <c r="B127" t="s">
        <v>63</v>
      </c>
      <c r="C127" t="s">
        <v>341</v>
      </c>
      <c r="E127" t="s">
        <v>102</v>
      </c>
    </row>
    <row r="129" spans="1:5">
      <c r="A129" t="s">
        <v>16</v>
      </c>
      <c r="B129" t="s">
        <v>376</v>
      </c>
      <c r="C129" t="s">
        <v>339</v>
      </c>
      <c r="E129" t="s">
        <v>143</v>
      </c>
    </row>
    <row r="130" spans="1:5">
      <c r="C130" t="s">
        <v>447</v>
      </c>
    </row>
    <row r="131" spans="1:5">
      <c r="C131" t="s">
        <v>63</v>
      </c>
      <c r="E131" t="s">
        <v>144</v>
      </c>
    </row>
    <row r="132" spans="1:5">
      <c r="C132" t="s">
        <v>17</v>
      </c>
      <c r="E132" t="s">
        <v>439</v>
      </c>
    </row>
    <row r="133" spans="1:5">
      <c r="A133" t="s">
        <v>16</v>
      </c>
      <c r="B133" t="s">
        <v>17</v>
      </c>
      <c r="C133" t="s">
        <v>443</v>
      </c>
    </row>
    <row r="134" spans="1:5">
      <c r="C134" t="s">
        <v>3</v>
      </c>
      <c r="E134" t="s">
        <v>97</v>
      </c>
    </row>
    <row r="135" spans="1:5">
      <c r="C135" t="s">
        <v>444</v>
      </c>
      <c r="E135" t="s">
        <v>354</v>
      </c>
    </row>
    <row r="136" spans="1:5">
      <c r="C136" t="s">
        <v>4</v>
      </c>
      <c r="E136" t="s">
        <v>96</v>
      </c>
    </row>
    <row r="137" spans="1:5">
      <c r="C137" t="s">
        <v>445</v>
      </c>
    </row>
    <row r="138" spans="1:5">
      <c r="C138" t="s">
        <v>5</v>
      </c>
    </row>
    <row r="139" spans="1:5">
      <c r="C139" t="s">
        <v>446</v>
      </c>
    </row>
    <row r="140" spans="1:5">
      <c r="C140" t="s">
        <v>6</v>
      </c>
    </row>
    <row r="141" spans="1:5">
      <c r="C141" t="s">
        <v>24</v>
      </c>
      <c r="E141" t="s">
        <v>146</v>
      </c>
    </row>
    <row r="142" spans="1:5">
      <c r="C142" t="s">
        <v>340</v>
      </c>
      <c r="E142" t="s">
        <v>145</v>
      </c>
    </row>
    <row r="143" spans="1:5">
      <c r="C143" t="s">
        <v>65</v>
      </c>
      <c r="E143" t="s">
        <v>137</v>
      </c>
    </row>
    <row r="144" spans="1:5">
      <c r="A144" t="s">
        <v>16</v>
      </c>
      <c r="B144" t="s">
        <v>377</v>
      </c>
      <c r="C144" t="s">
        <v>381</v>
      </c>
    </row>
    <row r="145" spans="3:7">
      <c r="C145" t="s">
        <v>3</v>
      </c>
      <c r="E145" t="s">
        <v>97</v>
      </c>
    </row>
    <row r="146" spans="3:7">
      <c r="C146" t="s">
        <v>382</v>
      </c>
      <c r="E146" t="s">
        <v>354</v>
      </c>
    </row>
    <row r="147" spans="3:7">
      <c r="C147" t="s">
        <v>378</v>
      </c>
      <c r="E147" t="s">
        <v>379</v>
      </c>
      <c r="G147" t="s">
        <v>380</v>
      </c>
    </row>
    <row r="148" spans="3:7">
      <c r="C148" t="s">
        <v>383</v>
      </c>
    </row>
    <row r="149" spans="3:7">
      <c r="C149" t="s">
        <v>5</v>
      </c>
    </row>
    <row r="150" spans="3:7">
      <c r="C150" t="s">
        <v>384</v>
      </c>
    </row>
    <row r="151" spans="3:7">
      <c r="C151" t="s">
        <v>6</v>
      </c>
    </row>
    <row r="152" spans="3:7">
      <c r="C152" t="s">
        <v>24</v>
      </c>
      <c r="E152" t="s">
        <v>146</v>
      </c>
    </row>
    <row r="153" spans="3:7">
      <c r="C153" t="s">
        <v>340</v>
      </c>
      <c r="E153" t="s">
        <v>385</v>
      </c>
    </row>
    <row r="154" spans="3:7">
      <c r="C154" t="s">
        <v>65</v>
      </c>
      <c r="E154" t="s">
        <v>137</v>
      </c>
    </row>
  </sheetData>
  <hyperlinks>
    <hyperlink ref="C94" r:id="rId1" xr:uid="{44F97094-0896-4662-B697-8A032E075C4E}"/>
    <hyperlink ref="D111" r:id="rId2" display="url:URL_Dclick_Pages" xr:uid="{9FFBB9A8-B971-4E9D-A89E-ABEE0270FD44}"/>
    <hyperlink ref="C111" r:id="rId3" display="url:URL_Dclick_Pages" xr:uid="{A0ACA43F-B89D-40D2-89BC-DE90727E9E85}"/>
    <hyperlink ref="D9" r:id="rId4" xr:uid="{CF948F3E-5E58-4D52-A92A-960A88FB5A50}"/>
    <hyperlink ref="D8" r:id="rId5" xr:uid="{58820E13-4A96-4E48-A65C-9ED4B4049F31}"/>
    <hyperlink ref="D7" r:id="rId6" xr:uid="{EB49D641-D41A-4465-ABB1-1949E470B6BA}"/>
    <hyperlink ref="D6" r:id="rId7" xr:uid="{C1AA74ED-2361-47B5-85B7-97AF755DFE8B}"/>
    <hyperlink ref="D10" r:id="rId8" xr:uid="{413C032E-EA0F-4C2D-9225-FC25CA6849DB}"/>
    <hyperlink ref="D4" r:id="rId9" xr:uid="{CABD9A2C-FB8D-403F-BB02-20B8B2E93E4A}"/>
    <hyperlink ref="D5" r:id="rId10" xr:uid="{4E068EEF-7E16-47B3-AB51-40D19EDE5D92}"/>
    <hyperlink ref="D13" r:id="rId11" xr:uid="{2E3150AB-B62F-4483-A712-374958B2CA96}"/>
  </hyperlinks>
  <pageMargins left="0.7" right="0.7" top="0.75" bottom="0.75" header="0.3" footer="0.3"/>
  <pageSetup orientation="portrait" r:id="rId1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4262-A5B3-4AC3-9710-21F278C9C67F}">
  <sheetPr codeName="Sheet4"/>
  <dimension ref="A1:H502"/>
  <sheetViews>
    <sheetView topLeftCell="A347" workbookViewId="0">
      <selection activeCell="D370" sqref="D370"/>
    </sheetView>
  </sheetViews>
  <sheetFormatPr defaultRowHeight="15"/>
  <cols>
    <col min="2" max="2" width="19" customWidth="1"/>
    <col min="3" max="3" width="43.7109375" customWidth="1"/>
    <col min="4" max="4" width="51.7109375" customWidth="1"/>
    <col min="5" max="5" width="38" customWidth="1"/>
    <col min="7" max="7" width="22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415</v>
      </c>
      <c r="C2" t="s">
        <v>204</v>
      </c>
      <c r="D2" t="s">
        <v>253</v>
      </c>
      <c r="E2" t="s">
        <v>620</v>
      </c>
    </row>
    <row r="3" spans="1:5">
      <c r="C3" t="s">
        <v>205</v>
      </c>
      <c r="D3" t="s">
        <v>254</v>
      </c>
      <c r="E3" t="s">
        <v>621</v>
      </c>
    </row>
    <row r="4" spans="1:5">
      <c r="C4" t="s">
        <v>206</v>
      </c>
    </row>
    <row r="5" spans="1:5">
      <c r="C5" t="s">
        <v>207</v>
      </c>
    </row>
    <row r="6" spans="1:5">
      <c r="C6" t="s">
        <v>208</v>
      </c>
    </row>
    <row r="7" spans="1:5">
      <c r="C7" t="s">
        <v>209</v>
      </c>
    </row>
    <row r="8" spans="1:5">
      <c r="C8" t="s">
        <v>210</v>
      </c>
    </row>
    <row r="9" spans="1:5">
      <c r="C9" t="s">
        <v>211</v>
      </c>
    </row>
    <row r="10" spans="1:5">
      <c r="C10" t="s">
        <v>212</v>
      </c>
    </row>
    <row r="11" spans="1:5">
      <c r="C11" t="s">
        <v>213</v>
      </c>
    </row>
    <row r="12" spans="1:5">
      <c r="C12" t="s">
        <v>214</v>
      </c>
    </row>
    <row r="13" spans="1:5">
      <c r="C13" t="s">
        <v>215</v>
      </c>
    </row>
    <row r="14" spans="1:5">
      <c r="C14" t="s">
        <v>216</v>
      </c>
    </row>
    <row r="15" spans="1:5">
      <c r="C15" t="s">
        <v>217</v>
      </c>
    </row>
    <row r="16" spans="1:5">
      <c r="C16" t="s">
        <v>218</v>
      </c>
    </row>
    <row r="17" spans="3:3">
      <c r="C17" t="s">
        <v>219</v>
      </c>
    </row>
    <row r="18" spans="3:3">
      <c r="C18" t="s">
        <v>220</v>
      </c>
    </row>
    <row r="19" spans="3:3">
      <c r="C19" t="s">
        <v>221</v>
      </c>
    </row>
    <row r="20" spans="3:3">
      <c r="C20" t="s">
        <v>222</v>
      </c>
    </row>
    <row r="21" spans="3:3">
      <c r="C21" t="s">
        <v>223</v>
      </c>
    </row>
    <row r="22" spans="3:3">
      <c r="C22" t="s">
        <v>224</v>
      </c>
    </row>
    <row r="23" spans="3:3">
      <c r="C23" t="s">
        <v>225</v>
      </c>
    </row>
    <row r="24" spans="3:3">
      <c r="C24" t="s">
        <v>226</v>
      </c>
    </row>
    <row r="25" spans="3:3">
      <c r="C25" t="s">
        <v>227</v>
      </c>
    </row>
    <row r="26" spans="3:3">
      <c r="C26" t="s">
        <v>228</v>
      </c>
    </row>
    <row r="27" spans="3:3">
      <c r="C27" t="s">
        <v>550</v>
      </c>
    </row>
    <row r="28" spans="3:3">
      <c r="C28" t="s">
        <v>551</v>
      </c>
    </row>
    <row r="29" spans="3:3">
      <c r="C29" t="s">
        <v>552</v>
      </c>
    </row>
    <row r="30" spans="3:3">
      <c r="C30" t="s">
        <v>553</v>
      </c>
    </row>
    <row r="31" spans="3:3">
      <c r="C31" t="s">
        <v>229</v>
      </c>
    </row>
    <row r="32" spans="3:3">
      <c r="C32" t="s">
        <v>230</v>
      </c>
    </row>
    <row r="33" spans="3:3">
      <c r="C33" t="s">
        <v>231</v>
      </c>
    </row>
    <row r="34" spans="3:3">
      <c r="C34" t="s">
        <v>232</v>
      </c>
    </row>
    <row r="35" spans="3:3">
      <c r="C35" t="s">
        <v>563</v>
      </c>
    </row>
    <row r="36" spans="3:3">
      <c r="C36" t="s">
        <v>564</v>
      </c>
    </row>
    <row r="37" spans="3:3">
      <c r="C37" t="s">
        <v>565</v>
      </c>
    </row>
    <row r="38" spans="3:3">
      <c r="C38" t="s">
        <v>566</v>
      </c>
    </row>
    <row r="39" spans="3:3">
      <c r="C39" t="s">
        <v>567</v>
      </c>
    </row>
    <row r="40" spans="3:3">
      <c r="C40" t="s">
        <v>568</v>
      </c>
    </row>
    <row r="41" spans="3:3">
      <c r="C41" t="s">
        <v>569</v>
      </c>
    </row>
    <row r="42" spans="3:3">
      <c r="C42" t="s">
        <v>570</v>
      </c>
    </row>
    <row r="43" spans="3:3">
      <c r="C43" t="s">
        <v>571</v>
      </c>
    </row>
    <row r="44" spans="3:3">
      <c r="C44" t="s">
        <v>572</v>
      </c>
    </row>
    <row r="45" spans="3:3">
      <c r="C45" t="s">
        <v>573</v>
      </c>
    </row>
    <row r="46" spans="3:3">
      <c r="C46" t="s">
        <v>574</v>
      </c>
    </row>
    <row r="47" spans="3:3">
      <c r="C47" t="s">
        <v>575</v>
      </c>
    </row>
    <row r="48" spans="3:3">
      <c r="C48" t="s">
        <v>576</v>
      </c>
    </row>
    <row r="49" spans="3:3">
      <c r="C49" t="s">
        <v>577</v>
      </c>
    </row>
    <row r="50" spans="3:3">
      <c r="C50" t="s">
        <v>578</v>
      </c>
    </row>
    <row r="51" spans="3:3">
      <c r="C51" t="s">
        <v>579</v>
      </c>
    </row>
    <row r="52" spans="3:3">
      <c r="C52" t="s">
        <v>580</v>
      </c>
    </row>
    <row r="53" spans="3:3">
      <c r="C53" t="s">
        <v>581</v>
      </c>
    </row>
    <row r="54" spans="3:3">
      <c r="C54" t="s">
        <v>582</v>
      </c>
    </row>
    <row r="55" spans="3:3">
      <c r="C55" t="s">
        <v>583</v>
      </c>
    </row>
    <row r="56" spans="3:3">
      <c r="C56" t="s">
        <v>584</v>
      </c>
    </row>
    <row r="57" spans="3:3">
      <c r="C57" t="s">
        <v>585</v>
      </c>
    </row>
    <row r="58" spans="3:3">
      <c r="C58" t="s">
        <v>586</v>
      </c>
    </row>
    <row r="59" spans="3:3">
      <c r="C59" t="s">
        <v>233</v>
      </c>
    </row>
    <row r="60" spans="3:3">
      <c r="C60" t="s">
        <v>234</v>
      </c>
    </row>
    <row r="61" spans="3:3">
      <c r="C61" t="s">
        <v>235</v>
      </c>
    </row>
    <row r="62" spans="3:3">
      <c r="C62" t="s">
        <v>236</v>
      </c>
    </row>
    <row r="63" spans="3:3">
      <c r="C63" t="s">
        <v>237</v>
      </c>
    </row>
    <row r="64" spans="3:3">
      <c r="C64" t="s">
        <v>238</v>
      </c>
    </row>
    <row r="65" spans="1:4">
      <c r="C65" t="s">
        <v>239</v>
      </c>
    </row>
    <row r="66" spans="1:4">
      <c r="C66" t="s">
        <v>240</v>
      </c>
    </row>
    <row r="67" spans="1:4">
      <c r="C67" t="s">
        <v>241</v>
      </c>
    </row>
    <row r="68" spans="1:4">
      <c r="C68" t="s">
        <v>242</v>
      </c>
    </row>
    <row r="69" spans="1:4">
      <c r="C69" t="s">
        <v>243</v>
      </c>
    </row>
    <row r="70" spans="1:4">
      <c r="C70" t="s">
        <v>244</v>
      </c>
    </row>
    <row r="71" spans="1:4">
      <c r="C71" t="s">
        <v>245</v>
      </c>
      <c r="D71" t="s">
        <v>269</v>
      </c>
    </row>
    <row r="72" spans="1:4">
      <c r="C72" t="s">
        <v>246</v>
      </c>
    </row>
    <row r="73" spans="1:4">
      <c r="C73" t="s">
        <v>247</v>
      </c>
    </row>
    <row r="74" spans="1:4">
      <c r="C74" t="s">
        <v>248</v>
      </c>
    </row>
    <row r="75" spans="1:4">
      <c r="C75" t="s">
        <v>249</v>
      </c>
      <c r="D75" t="s">
        <v>271</v>
      </c>
    </row>
    <row r="76" spans="1:4">
      <c r="C76" t="s">
        <v>250</v>
      </c>
    </row>
    <row r="77" spans="1:4">
      <c r="C77" t="s">
        <v>251</v>
      </c>
    </row>
    <row r="79" spans="1:4">
      <c r="A79" t="s">
        <v>15</v>
      </c>
      <c r="B79" t="s">
        <v>419</v>
      </c>
      <c r="C79" t="s">
        <v>204</v>
      </c>
      <c r="D79">
        <v>3</v>
      </c>
    </row>
    <row r="80" spans="1:4">
      <c r="C80" t="s">
        <v>205</v>
      </c>
      <c r="D80">
        <v>-3</v>
      </c>
    </row>
    <row r="81" spans="3:3">
      <c r="C81" t="str">
        <f>C4</f>
        <v>grid_country_WTD.png</v>
      </c>
    </row>
    <row r="82" spans="3:3">
      <c r="C82" t="str">
        <f t="shared" ref="C82:C145" si="0">C5</f>
        <v>grid_country_MTD.png</v>
      </c>
    </row>
    <row r="83" spans="3:3">
      <c r="C83" t="str">
        <f t="shared" si="0"/>
        <v>grid_country_YTD.png</v>
      </c>
    </row>
    <row r="84" spans="3:3">
      <c r="C84" t="str">
        <f t="shared" si="0"/>
        <v>grid_Day_WHB.png</v>
      </c>
    </row>
    <row r="85" spans="3:3">
      <c r="C85" t="str">
        <f t="shared" si="0"/>
        <v>grid_WTD_WHB.png</v>
      </c>
    </row>
    <row r="86" spans="3:3">
      <c r="C86" t="str">
        <f t="shared" si="0"/>
        <v>grid_MTD_WHB.png</v>
      </c>
    </row>
    <row r="87" spans="3:3">
      <c r="C87" t="str">
        <f t="shared" si="0"/>
        <v>grid_YTD_WHB.png</v>
      </c>
    </row>
    <row r="88" spans="3:3">
      <c r="C88" t="str">
        <f t="shared" si="0"/>
        <v>grid_Day_WSLG.png</v>
      </c>
    </row>
    <row r="89" spans="3:3">
      <c r="C89" t="str">
        <f t="shared" si="0"/>
        <v>grid_WTD_WSLG.png</v>
      </c>
    </row>
    <row r="90" spans="3:3">
      <c r="C90" t="str">
        <f t="shared" si="0"/>
        <v>grid_MTD_WSLG.png</v>
      </c>
    </row>
    <row r="91" spans="3:3">
      <c r="C91" t="str">
        <f t="shared" si="0"/>
        <v>grid_YTD_WSLG.png</v>
      </c>
    </row>
    <row r="92" spans="3:3">
      <c r="C92" t="str">
        <f t="shared" si="0"/>
        <v>grid_Day_WRTW.png</v>
      </c>
    </row>
    <row r="93" spans="3:3">
      <c r="C93" t="str">
        <f t="shared" si="0"/>
        <v>grid_WTD_WRTW.png</v>
      </c>
    </row>
    <row r="94" spans="3:3">
      <c r="C94" t="str">
        <f t="shared" si="0"/>
        <v>grid_MTD_WRTW.png</v>
      </c>
    </row>
    <row r="95" spans="3:3">
      <c r="C95" t="str">
        <f t="shared" si="0"/>
        <v>grid_YTD_WRTW.png</v>
      </c>
    </row>
    <row r="96" spans="3:3">
      <c r="C96" t="str">
        <f t="shared" si="0"/>
        <v>grid_Day_WSHOES.png</v>
      </c>
    </row>
    <row r="97" spans="3:3">
      <c r="C97" t="str">
        <f t="shared" si="0"/>
        <v>grid_WTD_WSHOES.png</v>
      </c>
    </row>
    <row r="98" spans="3:3">
      <c r="C98" t="str">
        <f t="shared" si="0"/>
        <v>grid_MTD_WSHOES.png</v>
      </c>
    </row>
    <row r="99" spans="3:3">
      <c r="C99" t="str">
        <f t="shared" si="0"/>
        <v>grid_YTD_WSHOES.png</v>
      </c>
    </row>
    <row r="100" spans="3:3">
      <c r="C100" t="str">
        <f t="shared" si="0"/>
        <v>grid_Day_WACC.png</v>
      </c>
    </row>
    <row r="101" spans="3:3">
      <c r="C101" t="str">
        <f t="shared" si="0"/>
        <v>grid_WTD_WACC.png</v>
      </c>
    </row>
    <row r="102" spans="3:3">
      <c r="C102" t="str">
        <f t="shared" si="0"/>
        <v>grid_MTD_WACC.png</v>
      </c>
    </row>
    <row r="103" spans="3:3">
      <c r="C103" t="str">
        <f t="shared" si="0"/>
        <v>grid_YTD_WACC.png</v>
      </c>
    </row>
    <row r="104" spans="3:3">
      <c r="C104" t="str">
        <f t="shared" si="0"/>
        <v>grid_Day_WnJ.png</v>
      </c>
    </row>
    <row r="105" spans="3:3">
      <c r="C105" t="str">
        <f t="shared" si="0"/>
        <v>grid_WTD_WnJ.png</v>
      </c>
    </row>
    <row r="106" spans="3:3">
      <c r="C106" t="str">
        <f t="shared" si="0"/>
        <v>grid_MTD_WnJ.png</v>
      </c>
    </row>
    <row r="107" spans="3:3">
      <c r="C107" t="str">
        <f t="shared" si="0"/>
        <v>grid_YTD_WnJ.png</v>
      </c>
    </row>
    <row r="108" spans="3:3">
      <c r="C108" t="str">
        <f t="shared" si="0"/>
        <v>grid_Day_MENS.png</v>
      </c>
    </row>
    <row r="109" spans="3:3">
      <c r="C109" t="str">
        <f t="shared" si="0"/>
        <v>grid_WTD_MENS.png</v>
      </c>
    </row>
    <row r="110" spans="3:3">
      <c r="C110" t="str">
        <f t="shared" si="0"/>
        <v>grid_MTD_MENS.png</v>
      </c>
    </row>
    <row r="111" spans="3:3">
      <c r="C111" t="str">
        <f t="shared" si="0"/>
        <v>grid_YTD_MENS.png</v>
      </c>
    </row>
    <row r="112" spans="3:3">
      <c r="C112" t="str">
        <f t="shared" si="0"/>
        <v>grid_Day_MBAGS.png</v>
      </c>
    </row>
    <row r="113" spans="3:3">
      <c r="C113" t="str">
        <f t="shared" si="0"/>
        <v>grid_WTD_MBAGS.png</v>
      </c>
    </row>
    <row r="114" spans="3:3">
      <c r="C114" t="str">
        <f t="shared" si="0"/>
        <v>grid_MTD_MBAGS.png</v>
      </c>
    </row>
    <row r="115" spans="3:3">
      <c r="C115" t="str">
        <f t="shared" si="0"/>
        <v>grid_YTD_MBAGS.png</v>
      </c>
    </row>
    <row r="116" spans="3:3">
      <c r="C116" t="str">
        <f t="shared" si="0"/>
        <v>grid_Day_MSLG.png</v>
      </c>
    </row>
    <row r="117" spans="3:3">
      <c r="C117" t="str">
        <f t="shared" si="0"/>
        <v>grid_WTD_MSLG.png</v>
      </c>
    </row>
    <row r="118" spans="3:3">
      <c r="C118" t="str">
        <f t="shared" si="0"/>
        <v>grid_MTD_MSLG.png</v>
      </c>
    </row>
    <row r="119" spans="3:3">
      <c r="C119" t="str">
        <f t="shared" si="0"/>
        <v>grid_YTD_MSLG.png</v>
      </c>
    </row>
    <row r="120" spans="3:3">
      <c r="C120" t="str">
        <f t="shared" si="0"/>
        <v>grid_Day_MRTW.png</v>
      </c>
    </row>
    <row r="121" spans="3:3">
      <c r="C121" t="str">
        <f t="shared" si="0"/>
        <v>grid_WTD_MRTW.png</v>
      </c>
    </row>
    <row r="122" spans="3:3">
      <c r="C122" t="str">
        <f t="shared" si="0"/>
        <v>grid_MTD_MRTW.png</v>
      </c>
    </row>
    <row r="123" spans="3:3">
      <c r="C123" t="str">
        <f t="shared" si="0"/>
        <v>grid_YTD_MRTW.png</v>
      </c>
    </row>
    <row r="124" spans="3:3">
      <c r="C124" t="str">
        <f t="shared" si="0"/>
        <v>grid_Day_MSHOES.png</v>
      </c>
    </row>
    <row r="125" spans="3:3">
      <c r="C125" t="str">
        <f t="shared" si="0"/>
        <v>grid_WTD_MSHOES.png</v>
      </c>
    </row>
    <row r="126" spans="3:3">
      <c r="C126" t="str">
        <f t="shared" si="0"/>
        <v>grid_MTD_MSHOES.png</v>
      </c>
    </row>
    <row r="127" spans="3:3">
      <c r="C127" t="str">
        <f t="shared" si="0"/>
        <v>grid_YTD_MSHOES.png</v>
      </c>
    </row>
    <row r="128" spans="3:3">
      <c r="C128" t="str">
        <f t="shared" si="0"/>
        <v>grid_Day_MACC.png</v>
      </c>
    </row>
    <row r="129" spans="3:3">
      <c r="C129" t="str">
        <f t="shared" si="0"/>
        <v>grid_WTD_MACC.png</v>
      </c>
    </row>
    <row r="130" spans="3:3">
      <c r="C130" t="str">
        <f t="shared" si="0"/>
        <v>grid_MTD_MACC.png</v>
      </c>
    </row>
    <row r="131" spans="3:3">
      <c r="C131" t="str">
        <f t="shared" si="0"/>
        <v>grid_YTD_MACC.png</v>
      </c>
    </row>
    <row r="132" spans="3:3">
      <c r="C132" t="str">
        <f t="shared" si="0"/>
        <v>grid_Day_MSPECIAL.png</v>
      </c>
    </row>
    <row r="133" spans="3:3">
      <c r="C133" t="str">
        <f t="shared" si="0"/>
        <v>grid_WTD_MSPECIAL.png</v>
      </c>
    </row>
    <row r="134" spans="3:3">
      <c r="C134" t="str">
        <f t="shared" si="0"/>
        <v>grid_MTD_MSPECIAL.png</v>
      </c>
    </row>
    <row r="135" spans="3:3">
      <c r="C135" t="str">
        <f t="shared" si="0"/>
        <v>grid_YTD_MSPECIAL.png</v>
      </c>
    </row>
    <row r="136" spans="3:3">
      <c r="C136" t="str">
        <f t="shared" si="0"/>
        <v>grid_Day_BABY.png</v>
      </c>
    </row>
    <row r="137" spans="3:3">
      <c r="C137" t="str">
        <f t="shared" si="0"/>
        <v>grid_WTD_BABY.png</v>
      </c>
    </row>
    <row r="138" spans="3:3">
      <c r="C138" t="str">
        <f t="shared" si="0"/>
        <v>grid_MTD_BABY.png</v>
      </c>
    </row>
    <row r="139" spans="3:3">
      <c r="C139" t="str">
        <f t="shared" si="0"/>
        <v>grid_YTD_BABY.png</v>
      </c>
    </row>
    <row r="140" spans="3:3">
      <c r="C140" t="str">
        <f t="shared" si="0"/>
        <v>grid_Day_STORE.png</v>
      </c>
    </row>
    <row r="141" spans="3:3">
      <c r="C141" t="str">
        <f t="shared" si="0"/>
        <v>grid_WTD_STORE.png</v>
      </c>
    </row>
    <row r="142" spans="3:3">
      <c r="C142" t="str">
        <f t="shared" si="0"/>
        <v>grid_MTD_STORE.png</v>
      </c>
    </row>
    <row r="143" spans="3:3">
      <c r="C143" t="str">
        <f t="shared" si="0"/>
        <v>grid_YTD_STORE.png</v>
      </c>
    </row>
    <row r="144" spans="3:3">
      <c r="C144" t="str">
        <f t="shared" si="0"/>
        <v>grid_Day_BusinessUnit.png</v>
      </c>
    </row>
    <row r="145" spans="1:8">
      <c r="C145" t="str">
        <f t="shared" si="0"/>
        <v>grid_WTD_BusinessUnit.png</v>
      </c>
    </row>
    <row r="146" spans="1:8">
      <c r="C146" t="str">
        <f t="shared" ref="C146:C154" si="1">C69</f>
        <v>grid_MTD_BusinessUnit.png</v>
      </c>
    </row>
    <row r="147" spans="1:8">
      <c r="C147" t="str">
        <f t="shared" si="1"/>
        <v>grid_YTD_BusinessUnit.png</v>
      </c>
    </row>
    <row r="148" spans="1:8">
      <c r="C148" t="str">
        <f t="shared" si="1"/>
        <v>grid_Day_TopProducts.png</v>
      </c>
    </row>
    <row r="149" spans="1:8">
      <c r="C149" t="str">
        <f t="shared" si="1"/>
        <v>grid_WTD_TopProducts.png</v>
      </c>
    </row>
    <row r="150" spans="1:8">
      <c r="C150" t="str">
        <f t="shared" si="1"/>
        <v>grid_MTD_TopProducts.png</v>
      </c>
    </row>
    <row r="151" spans="1:8">
      <c r="C151" t="str">
        <f t="shared" si="1"/>
        <v>grid_YTD_TopProducts.png</v>
      </c>
    </row>
    <row r="152" spans="1:8">
      <c r="C152" t="str">
        <f t="shared" si="1"/>
        <v>histogram_YTD.png</v>
      </c>
    </row>
    <row r="153" spans="1:8">
      <c r="C153" t="str">
        <f t="shared" si="1"/>
        <v>histogram_Nationality_YTD.png</v>
      </c>
    </row>
    <row r="154" spans="1:8">
      <c r="C154" t="str">
        <f t="shared" si="1"/>
        <v>histogram_BU_YTD.png</v>
      </c>
    </row>
    <row r="156" spans="1:8">
      <c r="A156" t="s">
        <v>15</v>
      </c>
      <c r="B156" t="s">
        <v>420</v>
      </c>
      <c r="C156" t="s">
        <v>423</v>
      </c>
      <c r="D156" s="1" t="s">
        <v>662</v>
      </c>
    </row>
    <row r="157" spans="1:8">
      <c r="C157" t="str">
        <f>LEFT(C80,LEN(C80)-4)</f>
        <v>grid_country_Day</v>
      </c>
      <c r="D157" s="1" t="s">
        <v>661</v>
      </c>
      <c r="G157" t="s">
        <v>549</v>
      </c>
      <c r="H157" s="1"/>
    </row>
    <row r="158" spans="1:8">
      <c r="C158" t="str">
        <f t="shared" ref="C158:C221" si="2">LEFT(C81,LEN(C81)-4)</f>
        <v>grid_country_WTD</v>
      </c>
      <c r="D158" t="s">
        <v>258</v>
      </c>
      <c r="G158" t="s">
        <v>554</v>
      </c>
    </row>
    <row r="159" spans="1:8">
      <c r="C159" t="str">
        <f t="shared" si="2"/>
        <v>grid_country_MTD</v>
      </c>
      <c r="D159" t="s">
        <v>259</v>
      </c>
      <c r="G159" t="s">
        <v>555</v>
      </c>
    </row>
    <row r="160" spans="1:8">
      <c r="C160" t="str">
        <f t="shared" si="2"/>
        <v>grid_country_YTD</v>
      </c>
      <c r="D160" t="s">
        <v>260</v>
      </c>
    </row>
    <row r="161" spans="3:4">
      <c r="C161" t="str">
        <f t="shared" si="2"/>
        <v>grid_Day_WHB</v>
      </c>
      <c r="D161" t="s">
        <v>558</v>
      </c>
    </row>
    <row r="162" spans="3:4">
      <c r="C162" t="str">
        <f t="shared" si="2"/>
        <v>grid_WTD_WHB</v>
      </c>
      <c r="D162" t="s">
        <v>258</v>
      </c>
    </row>
    <row r="163" spans="3:4">
      <c r="C163" t="str">
        <f t="shared" si="2"/>
        <v>grid_MTD_WHB</v>
      </c>
      <c r="D163" t="s">
        <v>259</v>
      </c>
    </row>
    <row r="164" spans="3:4">
      <c r="C164" t="str">
        <f t="shared" si="2"/>
        <v>grid_YTD_WHB</v>
      </c>
      <c r="D164" t="s">
        <v>260</v>
      </c>
    </row>
    <row r="165" spans="3:4">
      <c r="C165" t="str">
        <f t="shared" si="2"/>
        <v>grid_Day_WSLG</v>
      </c>
      <c r="D165" t="s">
        <v>611</v>
      </c>
    </row>
    <row r="166" spans="3:4">
      <c r="C166" t="str">
        <f t="shared" si="2"/>
        <v>grid_WTD_WSLG</v>
      </c>
      <c r="D166" t="s">
        <v>258</v>
      </c>
    </row>
    <row r="167" spans="3:4">
      <c r="C167" t="str">
        <f t="shared" si="2"/>
        <v>grid_MTD_WSLG</v>
      </c>
      <c r="D167" t="s">
        <v>259</v>
      </c>
    </row>
    <row r="168" spans="3:4">
      <c r="C168" t="str">
        <f t="shared" si="2"/>
        <v>grid_YTD_WSLG</v>
      </c>
      <c r="D168" t="s">
        <v>260</v>
      </c>
    </row>
    <row r="169" spans="3:4">
      <c r="C169" t="str">
        <f t="shared" si="2"/>
        <v>grid_Day_WRTW</v>
      </c>
      <c r="D169" t="s">
        <v>689</v>
      </c>
    </row>
    <row r="170" spans="3:4">
      <c r="C170" t="str">
        <f t="shared" si="2"/>
        <v>grid_WTD_WRTW</v>
      </c>
      <c r="D170" t="s">
        <v>258</v>
      </c>
    </row>
    <row r="171" spans="3:4">
      <c r="C171" t="str">
        <f t="shared" si="2"/>
        <v>grid_MTD_WRTW</v>
      </c>
      <c r="D171" t="s">
        <v>259</v>
      </c>
    </row>
    <row r="172" spans="3:4">
      <c r="C172" t="str">
        <f t="shared" si="2"/>
        <v>grid_YTD_WRTW</v>
      </c>
      <c r="D172" t="s">
        <v>260</v>
      </c>
    </row>
    <row r="173" spans="3:4">
      <c r="C173" t="str">
        <f t="shared" si="2"/>
        <v>grid_Day_WSHOES</v>
      </c>
      <c r="D173" t="s">
        <v>559</v>
      </c>
    </row>
    <row r="174" spans="3:4">
      <c r="C174" t="str">
        <f t="shared" si="2"/>
        <v>grid_WTD_WSHOES</v>
      </c>
      <c r="D174" t="s">
        <v>258</v>
      </c>
    </row>
    <row r="175" spans="3:4">
      <c r="C175" t="str">
        <f t="shared" si="2"/>
        <v>grid_MTD_WSHOES</v>
      </c>
      <c r="D175" t="s">
        <v>259</v>
      </c>
    </row>
    <row r="176" spans="3:4">
      <c r="C176" t="str">
        <f t="shared" si="2"/>
        <v>grid_YTD_WSHOES</v>
      </c>
      <c r="D176" t="s">
        <v>260</v>
      </c>
    </row>
    <row r="177" spans="3:4">
      <c r="C177" t="str">
        <f t="shared" si="2"/>
        <v>grid_Day_WACC</v>
      </c>
      <c r="D177" t="s">
        <v>560</v>
      </c>
    </row>
    <row r="178" spans="3:4">
      <c r="C178" t="str">
        <f t="shared" si="2"/>
        <v>grid_WTD_WACC</v>
      </c>
      <c r="D178" t="s">
        <v>258</v>
      </c>
    </row>
    <row r="179" spans="3:4">
      <c r="C179" t="str">
        <f t="shared" si="2"/>
        <v>grid_MTD_WACC</v>
      </c>
      <c r="D179" t="s">
        <v>259</v>
      </c>
    </row>
    <row r="180" spans="3:4">
      <c r="C180" t="str">
        <f t="shared" si="2"/>
        <v>grid_YTD_WACC</v>
      </c>
      <c r="D180" t="s">
        <v>260</v>
      </c>
    </row>
    <row r="181" spans="3:4">
      <c r="C181" t="str">
        <f t="shared" si="2"/>
        <v>grid_Day_WnJ</v>
      </c>
      <c r="D181" t="s">
        <v>561</v>
      </c>
    </row>
    <row r="182" spans="3:4">
      <c r="C182" t="str">
        <f t="shared" si="2"/>
        <v>grid_WTD_WnJ</v>
      </c>
      <c r="D182" t="s">
        <v>258</v>
      </c>
    </row>
    <row r="183" spans="3:4">
      <c r="C183" t="str">
        <f t="shared" si="2"/>
        <v>grid_MTD_WnJ</v>
      </c>
      <c r="D183" t="s">
        <v>259</v>
      </c>
    </row>
    <row r="184" spans="3:4">
      <c r="C184" t="str">
        <f t="shared" si="2"/>
        <v>grid_YTD_WnJ</v>
      </c>
      <c r="D184" t="s">
        <v>260</v>
      </c>
    </row>
    <row r="185" spans="3:4">
      <c r="C185" t="str">
        <f t="shared" si="2"/>
        <v>grid_Day_MENS</v>
      </c>
      <c r="D185" t="s">
        <v>562</v>
      </c>
    </row>
    <row r="186" spans="3:4">
      <c r="C186" t="str">
        <f t="shared" si="2"/>
        <v>grid_WTD_MENS</v>
      </c>
      <c r="D186" t="s">
        <v>258</v>
      </c>
    </row>
    <row r="187" spans="3:4">
      <c r="C187" t="str">
        <f t="shared" si="2"/>
        <v>grid_MTD_MENS</v>
      </c>
      <c r="D187" t="s">
        <v>259</v>
      </c>
    </row>
    <row r="188" spans="3:4">
      <c r="C188" t="str">
        <f t="shared" si="2"/>
        <v>grid_YTD_MENS</v>
      </c>
      <c r="D188" t="s">
        <v>260</v>
      </c>
    </row>
    <row r="189" spans="3:4">
      <c r="C189" t="str">
        <f t="shared" si="2"/>
        <v>grid_Day_MBAGS</v>
      </c>
      <c r="D189" t="s">
        <v>612</v>
      </c>
    </row>
    <row r="190" spans="3:4">
      <c r="C190" t="str">
        <f t="shared" si="2"/>
        <v>grid_WTD_MBAGS</v>
      </c>
      <c r="D190" t="s">
        <v>258</v>
      </c>
    </row>
    <row r="191" spans="3:4">
      <c r="C191" t="str">
        <f t="shared" si="2"/>
        <v>grid_MTD_MBAGS</v>
      </c>
      <c r="D191" t="s">
        <v>259</v>
      </c>
    </row>
    <row r="192" spans="3:4">
      <c r="C192" t="str">
        <f t="shared" si="2"/>
        <v>grid_YTD_MBAGS</v>
      </c>
      <c r="D192" t="s">
        <v>260</v>
      </c>
    </row>
    <row r="193" spans="3:4">
      <c r="C193" t="str">
        <f t="shared" si="2"/>
        <v>grid_Day_MSLG</v>
      </c>
      <c r="D193" t="s">
        <v>587</v>
      </c>
    </row>
    <row r="194" spans="3:4">
      <c r="C194" t="str">
        <f t="shared" si="2"/>
        <v>grid_WTD_MSLG</v>
      </c>
      <c r="D194" t="s">
        <v>258</v>
      </c>
    </row>
    <row r="195" spans="3:4">
      <c r="C195" t="str">
        <f t="shared" si="2"/>
        <v>grid_MTD_MSLG</v>
      </c>
      <c r="D195" t="s">
        <v>259</v>
      </c>
    </row>
    <row r="196" spans="3:4">
      <c r="C196" t="str">
        <f t="shared" si="2"/>
        <v>grid_YTD_MSLG</v>
      </c>
      <c r="D196" t="s">
        <v>260</v>
      </c>
    </row>
    <row r="197" spans="3:4">
      <c r="C197" t="str">
        <f t="shared" si="2"/>
        <v>grid_Day_MRTW</v>
      </c>
      <c r="D197" t="s">
        <v>617</v>
      </c>
    </row>
    <row r="198" spans="3:4">
      <c r="C198" t="str">
        <f t="shared" si="2"/>
        <v>grid_WTD_MRTW</v>
      </c>
      <c r="D198" t="s">
        <v>258</v>
      </c>
    </row>
    <row r="199" spans="3:4">
      <c r="C199" t="str">
        <f t="shared" si="2"/>
        <v>grid_MTD_MRTW</v>
      </c>
      <c r="D199" t="s">
        <v>259</v>
      </c>
    </row>
    <row r="200" spans="3:4">
      <c r="C200" t="str">
        <f t="shared" si="2"/>
        <v>grid_YTD_MRTW</v>
      </c>
      <c r="D200" t="s">
        <v>260</v>
      </c>
    </row>
    <row r="201" spans="3:4">
      <c r="C201" t="str">
        <f t="shared" si="2"/>
        <v>grid_Day_MSHOES</v>
      </c>
      <c r="D201" t="s">
        <v>588</v>
      </c>
    </row>
    <row r="202" spans="3:4">
      <c r="C202" t="str">
        <f t="shared" si="2"/>
        <v>grid_WTD_MSHOES</v>
      </c>
      <c r="D202" t="s">
        <v>258</v>
      </c>
    </row>
    <row r="203" spans="3:4">
      <c r="C203" t="str">
        <f t="shared" si="2"/>
        <v>grid_MTD_MSHOES</v>
      </c>
      <c r="D203" t="s">
        <v>259</v>
      </c>
    </row>
    <row r="204" spans="3:4">
      <c r="C204" t="str">
        <f t="shared" si="2"/>
        <v>grid_YTD_MSHOES</v>
      </c>
      <c r="D204" t="s">
        <v>260</v>
      </c>
    </row>
    <row r="205" spans="3:4">
      <c r="C205" t="str">
        <f t="shared" si="2"/>
        <v>grid_Day_MACC</v>
      </c>
      <c r="D205" t="s">
        <v>589</v>
      </c>
    </row>
    <row r="206" spans="3:4">
      <c r="C206" t="str">
        <f t="shared" si="2"/>
        <v>grid_WTD_MACC</v>
      </c>
      <c r="D206" t="s">
        <v>258</v>
      </c>
    </row>
    <row r="207" spans="3:4">
      <c r="C207" t="str">
        <f t="shared" si="2"/>
        <v>grid_MTD_MACC</v>
      </c>
      <c r="D207" t="s">
        <v>259</v>
      </c>
    </row>
    <row r="208" spans="3:4">
      <c r="C208" t="str">
        <f t="shared" si="2"/>
        <v>grid_YTD_MACC</v>
      </c>
      <c r="D208" t="s">
        <v>260</v>
      </c>
    </row>
    <row r="209" spans="3:4">
      <c r="C209" t="str">
        <f t="shared" si="2"/>
        <v>grid_Day_MSPECIAL</v>
      </c>
      <c r="D209" t="s">
        <v>590</v>
      </c>
    </row>
    <row r="210" spans="3:4">
      <c r="C210" t="str">
        <f t="shared" si="2"/>
        <v>grid_WTD_MSPECIAL</v>
      </c>
      <c r="D210" t="s">
        <v>258</v>
      </c>
    </row>
    <row r="211" spans="3:4">
      <c r="C211" t="str">
        <f t="shared" si="2"/>
        <v>grid_MTD_MSPECIAL</v>
      </c>
      <c r="D211" t="s">
        <v>259</v>
      </c>
    </row>
    <row r="212" spans="3:4">
      <c r="C212" t="str">
        <f t="shared" si="2"/>
        <v>grid_YTD_MSPECIAL</v>
      </c>
      <c r="D212" t="s">
        <v>260</v>
      </c>
    </row>
    <row r="213" spans="3:4">
      <c r="C213" t="str">
        <f t="shared" si="2"/>
        <v>grid_Day_BABY</v>
      </c>
      <c r="D213" t="s">
        <v>752</v>
      </c>
    </row>
    <row r="214" spans="3:4">
      <c r="C214" t="str">
        <f t="shared" si="2"/>
        <v>grid_WTD_BABY</v>
      </c>
      <c r="D214" t="s">
        <v>258</v>
      </c>
    </row>
    <row r="215" spans="3:4">
      <c r="C215" t="str">
        <f t="shared" si="2"/>
        <v>grid_MTD_BABY</v>
      </c>
      <c r="D215" t="s">
        <v>259</v>
      </c>
    </row>
    <row r="216" spans="3:4">
      <c r="C216" t="str">
        <f t="shared" si="2"/>
        <v>grid_YTD_BABY</v>
      </c>
      <c r="D216" t="s">
        <v>260</v>
      </c>
    </row>
    <row r="217" spans="3:4">
      <c r="C217" t="str">
        <f t="shared" si="2"/>
        <v>grid_Day_STORE</v>
      </c>
      <c r="D217" t="s">
        <v>557</v>
      </c>
    </row>
    <row r="218" spans="3:4">
      <c r="C218" t="str">
        <f t="shared" si="2"/>
        <v>grid_WTD_STORE</v>
      </c>
      <c r="D218" t="s">
        <v>258</v>
      </c>
    </row>
    <row r="219" spans="3:4">
      <c r="C219" t="str">
        <f t="shared" si="2"/>
        <v>grid_MTD_STORE</v>
      </c>
      <c r="D219" t="s">
        <v>259</v>
      </c>
    </row>
    <row r="220" spans="3:4">
      <c r="C220" t="str">
        <f t="shared" si="2"/>
        <v>grid_YTD_STORE</v>
      </c>
      <c r="D220" t="s">
        <v>260</v>
      </c>
    </row>
    <row r="221" spans="3:4">
      <c r="C221" t="str">
        <f t="shared" si="2"/>
        <v>grid_Day_BusinessUnit</v>
      </c>
      <c r="D221" t="s">
        <v>622</v>
      </c>
    </row>
    <row r="222" spans="3:4">
      <c r="C222" t="str">
        <f t="shared" ref="C222:C231" si="3">LEFT(C145,LEN(C145)-4)</f>
        <v>grid_WTD_BusinessUnit</v>
      </c>
      <c r="D222" t="s">
        <v>258</v>
      </c>
    </row>
    <row r="223" spans="3:4">
      <c r="C223" t="str">
        <f t="shared" si="3"/>
        <v>grid_MTD_BusinessUnit</v>
      </c>
      <c r="D223" t="s">
        <v>259</v>
      </c>
    </row>
    <row r="224" spans="3:4">
      <c r="C224" t="str">
        <f t="shared" si="3"/>
        <v>grid_YTD_BusinessUnit</v>
      </c>
      <c r="D224" t="s">
        <v>260</v>
      </c>
    </row>
    <row r="225" spans="1:4">
      <c r="C225" t="str">
        <f t="shared" si="3"/>
        <v>grid_Day_TopProducts</v>
      </c>
      <c r="D225" t="s">
        <v>257</v>
      </c>
    </row>
    <row r="226" spans="1:4">
      <c r="C226" t="str">
        <f t="shared" si="3"/>
        <v>grid_WTD_TopProducts</v>
      </c>
      <c r="D226" t="s">
        <v>258</v>
      </c>
    </row>
    <row r="227" spans="1:4">
      <c r="C227" t="str">
        <f t="shared" si="3"/>
        <v>grid_MTD_TopProducts</v>
      </c>
      <c r="D227" t="s">
        <v>259</v>
      </c>
    </row>
    <row r="228" spans="1:4">
      <c r="C228" t="str">
        <f t="shared" si="3"/>
        <v>grid_YTD_TopProducts</v>
      </c>
      <c r="D228" t="s">
        <v>260</v>
      </c>
    </row>
    <row r="229" spans="1:4">
      <c r="C229" t="str">
        <f t="shared" si="3"/>
        <v>histogram_YTD</v>
      </c>
      <c r="D229" t="s">
        <v>623</v>
      </c>
    </row>
    <row r="230" spans="1:4">
      <c r="C230" t="str">
        <f t="shared" si="3"/>
        <v>histogram_Nationality_YTD</v>
      </c>
      <c r="D230" t="s">
        <v>624</v>
      </c>
    </row>
    <row r="231" spans="1:4">
      <c r="C231" t="str">
        <f t="shared" si="3"/>
        <v>histogram_BU_YTD</v>
      </c>
      <c r="D231" t="s">
        <v>625</v>
      </c>
    </row>
    <row r="233" spans="1:4">
      <c r="A233" t="s">
        <v>16</v>
      </c>
      <c r="B233" t="s">
        <v>66</v>
      </c>
      <c r="C233" t="s">
        <v>204</v>
      </c>
      <c r="D233" t="s">
        <v>68</v>
      </c>
    </row>
    <row r="234" spans="1:4">
      <c r="C234" t="s">
        <v>205</v>
      </c>
      <c r="D234" t="s">
        <v>157</v>
      </c>
    </row>
    <row r="235" spans="1:4">
      <c r="C235" t="s">
        <v>206</v>
      </c>
      <c r="D235" t="s">
        <v>158</v>
      </c>
    </row>
    <row r="236" spans="1:4">
      <c r="C236" t="s">
        <v>207</v>
      </c>
      <c r="D236" t="s">
        <v>159</v>
      </c>
    </row>
    <row r="237" spans="1:4">
      <c r="C237" t="s">
        <v>208</v>
      </c>
      <c r="D237" t="s">
        <v>160</v>
      </c>
    </row>
    <row r="238" spans="1:4">
      <c r="C238" t="s">
        <v>209</v>
      </c>
      <c r="D238" t="s">
        <v>161</v>
      </c>
    </row>
    <row r="239" spans="1:4">
      <c r="C239" t="s">
        <v>210</v>
      </c>
      <c r="D239" t="s">
        <v>162</v>
      </c>
    </row>
    <row r="240" spans="1:4">
      <c r="C240" t="s">
        <v>211</v>
      </c>
      <c r="D240" t="s">
        <v>163</v>
      </c>
    </row>
    <row r="241" spans="3:4">
      <c r="C241" t="s">
        <v>212</v>
      </c>
      <c r="D241" t="s">
        <v>164</v>
      </c>
    </row>
    <row r="242" spans="3:4">
      <c r="C242" t="s">
        <v>213</v>
      </c>
      <c r="D242" t="s">
        <v>165</v>
      </c>
    </row>
    <row r="243" spans="3:4">
      <c r="C243" t="s">
        <v>214</v>
      </c>
      <c r="D243" t="s">
        <v>166</v>
      </c>
    </row>
    <row r="244" spans="3:4">
      <c r="C244" t="s">
        <v>215</v>
      </c>
      <c r="D244" t="s">
        <v>167</v>
      </c>
    </row>
    <row r="245" spans="3:4">
      <c r="C245" t="s">
        <v>216</v>
      </c>
      <c r="D245" t="s">
        <v>168</v>
      </c>
    </row>
    <row r="246" spans="3:4">
      <c r="C246" t="s">
        <v>217</v>
      </c>
      <c r="D246" t="s">
        <v>169</v>
      </c>
    </row>
    <row r="247" spans="3:4">
      <c r="C247" t="s">
        <v>218</v>
      </c>
      <c r="D247" t="s">
        <v>170</v>
      </c>
    </row>
    <row r="248" spans="3:4">
      <c r="C248" t="s">
        <v>219</v>
      </c>
      <c r="D248" t="s">
        <v>171</v>
      </c>
    </row>
    <row r="249" spans="3:4">
      <c r="C249" t="s">
        <v>220</v>
      </c>
      <c r="D249" t="s">
        <v>172</v>
      </c>
    </row>
    <row r="250" spans="3:4">
      <c r="C250" t="s">
        <v>221</v>
      </c>
      <c r="D250" t="s">
        <v>173</v>
      </c>
    </row>
    <row r="251" spans="3:4">
      <c r="C251" t="s">
        <v>222</v>
      </c>
      <c r="D251" t="s">
        <v>174</v>
      </c>
    </row>
    <row r="252" spans="3:4">
      <c r="C252" t="s">
        <v>223</v>
      </c>
      <c r="D252" t="s">
        <v>175</v>
      </c>
    </row>
    <row r="253" spans="3:4">
      <c r="C253" t="s">
        <v>224</v>
      </c>
      <c r="D253" t="s">
        <v>176</v>
      </c>
    </row>
    <row r="254" spans="3:4">
      <c r="C254" t="s">
        <v>225</v>
      </c>
      <c r="D254" t="s">
        <v>177</v>
      </c>
    </row>
    <row r="255" spans="3:4">
      <c r="C255" t="s">
        <v>226</v>
      </c>
      <c r="D255" t="s">
        <v>178</v>
      </c>
    </row>
    <row r="256" spans="3:4">
      <c r="C256" t="s">
        <v>227</v>
      </c>
      <c r="D256" t="s">
        <v>179</v>
      </c>
    </row>
    <row r="257" spans="3:6">
      <c r="C257" t="s">
        <v>228</v>
      </c>
      <c r="D257" t="s">
        <v>180</v>
      </c>
    </row>
    <row r="258" spans="3:6">
      <c r="C258" t="s">
        <v>550</v>
      </c>
      <c r="D258" t="s">
        <v>663</v>
      </c>
    </row>
    <row r="259" spans="3:6">
      <c r="C259" t="s">
        <v>551</v>
      </c>
      <c r="D259" t="s">
        <v>665</v>
      </c>
    </row>
    <row r="260" spans="3:6">
      <c r="C260" t="s">
        <v>552</v>
      </c>
      <c r="D260" t="s">
        <v>666</v>
      </c>
    </row>
    <row r="261" spans="3:6">
      <c r="C261" t="s">
        <v>553</v>
      </c>
      <c r="D261" t="s">
        <v>664</v>
      </c>
    </row>
    <row r="262" spans="3:6">
      <c r="C262" t="s">
        <v>229</v>
      </c>
      <c r="D262" t="s">
        <v>181</v>
      </c>
    </row>
    <row r="263" spans="3:6">
      <c r="C263" t="s">
        <v>230</v>
      </c>
      <c r="D263" t="s">
        <v>182</v>
      </c>
    </row>
    <row r="264" spans="3:6">
      <c r="C264" t="s">
        <v>231</v>
      </c>
      <c r="D264" t="s">
        <v>183</v>
      </c>
    </row>
    <row r="265" spans="3:6">
      <c r="C265" t="s">
        <v>232</v>
      </c>
      <c r="D265" t="s">
        <v>184</v>
      </c>
    </row>
    <row r="266" spans="3:6">
      <c r="C266" t="s">
        <v>563</v>
      </c>
      <c r="D266" t="str">
        <f>"Grid ("&amp;E266&amp;") - "&amp;F266</f>
        <v>Grid (M BAGS) - DAY</v>
      </c>
      <c r="E266" t="s">
        <v>673</v>
      </c>
      <c r="F266" t="s">
        <v>671</v>
      </c>
    </row>
    <row r="267" spans="3:6">
      <c r="C267" t="s">
        <v>564</v>
      </c>
      <c r="D267" t="str">
        <f t="shared" ref="D267:D269" si="4">"Grid ("&amp;E267&amp;") - "&amp;F267</f>
        <v>Grid (M BAGS) - WTD</v>
      </c>
      <c r="E267" t="s">
        <v>673</v>
      </c>
      <c r="F267" t="s">
        <v>258</v>
      </c>
    </row>
    <row r="268" spans="3:6">
      <c r="C268" t="s">
        <v>565</v>
      </c>
      <c r="D268" t="str">
        <f t="shared" si="4"/>
        <v>Grid (M BAGS) - MTD</v>
      </c>
      <c r="E268" t="s">
        <v>673</v>
      </c>
      <c r="F268" t="s">
        <v>259</v>
      </c>
    </row>
    <row r="269" spans="3:6">
      <c r="C269" t="s">
        <v>566</v>
      </c>
      <c r="D269" t="str">
        <f t="shared" si="4"/>
        <v>Grid (M BAGS) - YTD</v>
      </c>
      <c r="E269" t="s">
        <v>673</v>
      </c>
      <c r="F269" t="s">
        <v>260</v>
      </c>
    </row>
    <row r="270" spans="3:6">
      <c r="C270" t="s">
        <v>567</v>
      </c>
      <c r="D270" t="str">
        <f>"Grid ("&amp;E270&amp;") - "&amp;F270</f>
        <v>Grid (M SLG) - DAY</v>
      </c>
      <c r="E270" t="s">
        <v>672</v>
      </c>
      <c r="F270" t="s">
        <v>671</v>
      </c>
    </row>
    <row r="271" spans="3:6">
      <c r="C271" t="s">
        <v>568</v>
      </c>
      <c r="D271" t="str">
        <f t="shared" ref="D271:D273" si="5">"Grid ("&amp;E271&amp;") - "&amp;F271</f>
        <v>Grid (M SLG) - WTD</v>
      </c>
      <c r="E271" t="s">
        <v>672</v>
      </c>
      <c r="F271" t="s">
        <v>258</v>
      </c>
    </row>
    <row r="272" spans="3:6">
      <c r="C272" t="s">
        <v>569</v>
      </c>
      <c r="D272" t="str">
        <f t="shared" si="5"/>
        <v>Grid (M SLG) - MTD</v>
      </c>
      <c r="E272" t="s">
        <v>672</v>
      </c>
      <c r="F272" t="s">
        <v>259</v>
      </c>
    </row>
    <row r="273" spans="3:6">
      <c r="C273" t="s">
        <v>570</v>
      </c>
      <c r="D273" t="str">
        <f t="shared" si="5"/>
        <v>Grid (M SLG) - YTD</v>
      </c>
      <c r="E273" t="s">
        <v>672</v>
      </c>
      <c r="F273" t="s">
        <v>260</v>
      </c>
    </row>
    <row r="274" spans="3:6">
      <c r="C274" t="s">
        <v>571</v>
      </c>
      <c r="D274" t="s">
        <v>667</v>
      </c>
    </row>
    <row r="275" spans="3:6">
      <c r="C275" t="s">
        <v>572</v>
      </c>
      <c r="D275" t="s">
        <v>668</v>
      </c>
    </row>
    <row r="276" spans="3:6">
      <c r="C276" t="s">
        <v>573</v>
      </c>
      <c r="D276" t="s">
        <v>669</v>
      </c>
    </row>
    <row r="277" spans="3:6">
      <c r="C277" t="s">
        <v>574</v>
      </c>
      <c r="D277" t="s">
        <v>670</v>
      </c>
    </row>
    <row r="278" spans="3:6">
      <c r="C278" t="s">
        <v>575</v>
      </c>
      <c r="D278" t="str">
        <f>"Grid ("&amp;E278&amp;") - "&amp;F278</f>
        <v>Grid (M SHOES) - DAY</v>
      </c>
      <c r="E278" t="s">
        <v>674</v>
      </c>
      <c r="F278" t="s">
        <v>671</v>
      </c>
    </row>
    <row r="279" spans="3:6">
      <c r="C279" t="s">
        <v>576</v>
      </c>
      <c r="D279" t="str">
        <f t="shared" ref="D279:D281" si="6">"Grid ("&amp;E279&amp;") - "&amp;F279</f>
        <v>Grid (M SHOES) - WTD</v>
      </c>
      <c r="E279" t="s">
        <v>674</v>
      </c>
      <c r="F279" t="s">
        <v>258</v>
      </c>
    </row>
    <row r="280" spans="3:6">
      <c r="C280" t="s">
        <v>577</v>
      </c>
      <c r="D280" t="str">
        <f t="shared" si="6"/>
        <v>Grid (M SHOES) - MTD</v>
      </c>
      <c r="E280" t="s">
        <v>674</v>
      </c>
      <c r="F280" t="s">
        <v>259</v>
      </c>
    </row>
    <row r="281" spans="3:6">
      <c r="C281" t="s">
        <v>578</v>
      </c>
      <c r="D281" t="str">
        <f t="shared" si="6"/>
        <v>Grid (M SHOES) - YTD</v>
      </c>
      <c r="E281" t="s">
        <v>674</v>
      </c>
      <c r="F281" t="s">
        <v>260</v>
      </c>
    </row>
    <row r="282" spans="3:6">
      <c r="C282" t="s">
        <v>579</v>
      </c>
      <c r="D282" t="str">
        <f>"Grid ("&amp;E282&amp;") - "&amp;F282</f>
        <v>Grid (M Accessories) - DAY</v>
      </c>
      <c r="E282" t="s">
        <v>675</v>
      </c>
      <c r="F282" t="s">
        <v>671</v>
      </c>
    </row>
    <row r="283" spans="3:6">
      <c r="C283" t="s">
        <v>580</v>
      </c>
      <c r="D283" t="str">
        <f t="shared" ref="D283:D285" si="7">"Grid ("&amp;E283&amp;") - "&amp;F283</f>
        <v>Grid (M Accessories) - WTD</v>
      </c>
      <c r="E283" t="s">
        <v>675</v>
      </c>
      <c r="F283" t="s">
        <v>258</v>
      </c>
    </row>
    <row r="284" spans="3:6">
      <c r="C284" t="s">
        <v>581</v>
      </c>
      <c r="D284" t="str">
        <f t="shared" si="7"/>
        <v>Grid (M Accessories) - MTD</v>
      </c>
      <c r="E284" t="s">
        <v>675</v>
      </c>
      <c r="F284" t="s">
        <v>259</v>
      </c>
    </row>
    <row r="285" spans="3:6">
      <c r="C285" t="s">
        <v>582</v>
      </c>
      <c r="D285" t="str">
        <f t="shared" si="7"/>
        <v>Grid (M Accessories) - YTD</v>
      </c>
      <c r="E285" t="s">
        <v>675</v>
      </c>
      <c r="F285" t="s">
        <v>260</v>
      </c>
    </row>
    <row r="286" spans="3:6">
      <c r="C286" t="s">
        <v>583</v>
      </c>
      <c r="D286" t="str">
        <f>"Grid ("&amp;E286&amp;") - "&amp;F286</f>
        <v>Grid (M Special) - DAY</v>
      </c>
      <c r="E286" t="s">
        <v>676</v>
      </c>
      <c r="F286" t="s">
        <v>671</v>
      </c>
    </row>
    <row r="287" spans="3:6">
      <c r="C287" t="s">
        <v>584</v>
      </c>
      <c r="D287" t="str">
        <f t="shared" ref="D287:D289" si="8">"Grid ("&amp;E287&amp;") - "&amp;F287</f>
        <v>Grid (M Special) - WTD</v>
      </c>
      <c r="E287" t="s">
        <v>676</v>
      </c>
      <c r="F287" t="s">
        <v>258</v>
      </c>
    </row>
    <row r="288" spans="3:6">
      <c r="C288" t="s">
        <v>585</v>
      </c>
      <c r="D288" t="str">
        <f t="shared" si="8"/>
        <v>Grid (M Special) - MTD</v>
      </c>
      <c r="E288" t="s">
        <v>676</v>
      </c>
      <c r="F288" t="s">
        <v>259</v>
      </c>
    </row>
    <row r="289" spans="3:6">
      <c r="C289" t="s">
        <v>586</v>
      </c>
      <c r="D289" t="str">
        <f t="shared" si="8"/>
        <v>Grid (M Special) - YTD</v>
      </c>
      <c r="E289" t="s">
        <v>676</v>
      </c>
      <c r="F289" t="s">
        <v>260</v>
      </c>
    </row>
    <row r="290" spans="3:6">
      <c r="C290" t="s">
        <v>233</v>
      </c>
      <c r="D290" t="s">
        <v>185</v>
      </c>
    </row>
    <row r="291" spans="3:6">
      <c r="C291" t="s">
        <v>234</v>
      </c>
      <c r="D291" t="s">
        <v>186</v>
      </c>
    </row>
    <row r="292" spans="3:6">
      <c r="C292" t="s">
        <v>235</v>
      </c>
      <c r="D292" t="s">
        <v>187</v>
      </c>
    </row>
    <row r="293" spans="3:6">
      <c r="C293" t="s">
        <v>236</v>
      </c>
      <c r="D293" t="s">
        <v>188</v>
      </c>
    </row>
    <row r="294" spans="3:6">
      <c r="C294" t="s">
        <v>237</v>
      </c>
      <c r="D294" t="s">
        <v>189</v>
      </c>
    </row>
    <row r="295" spans="3:6">
      <c r="C295" t="s">
        <v>238</v>
      </c>
      <c r="D295" t="s">
        <v>190</v>
      </c>
    </row>
    <row r="296" spans="3:6">
      <c r="C296" t="s">
        <v>239</v>
      </c>
      <c r="D296" t="s">
        <v>191</v>
      </c>
    </row>
    <row r="297" spans="3:6">
      <c r="C297" t="s">
        <v>240</v>
      </c>
      <c r="D297" t="s">
        <v>192</v>
      </c>
    </row>
    <row r="298" spans="3:6">
      <c r="C298" t="s">
        <v>241</v>
      </c>
      <c r="D298" t="s">
        <v>193</v>
      </c>
    </row>
    <row r="299" spans="3:6">
      <c r="C299" t="s">
        <v>242</v>
      </c>
      <c r="D299" t="s">
        <v>194</v>
      </c>
    </row>
    <row r="300" spans="3:6">
      <c r="C300" t="s">
        <v>243</v>
      </c>
      <c r="D300" t="s">
        <v>195</v>
      </c>
    </row>
    <row r="301" spans="3:6">
      <c r="C301" t="s">
        <v>244</v>
      </c>
      <c r="D301" t="s">
        <v>196</v>
      </c>
    </row>
    <row r="302" spans="3:6">
      <c r="C302" t="s">
        <v>245</v>
      </c>
      <c r="D302" t="s">
        <v>197</v>
      </c>
    </row>
    <row r="303" spans="3:6">
      <c r="C303" t="s">
        <v>246</v>
      </c>
      <c r="D303" t="s">
        <v>198</v>
      </c>
    </row>
    <row r="304" spans="3:6">
      <c r="C304" t="s">
        <v>247</v>
      </c>
      <c r="D304" t="s">
        <v>199</v>
      </c>
    </row>
    <row r="305" spans="1:4">
      <c r="C305" t="s">
        <v>248</v>
      </c>
      <c r="D305" t="s">
        <v>200</v>
      </c>
    </row>
    <row r="306" spans="1:4">
      <c r="C306" t="s">
        <v>249</v>
      </c>
      <c r="D306" t="s">
        <v>201</v>
      </c>
    </row>
    <row r="307" spans="1:4">
      <c r="C307" t="s">
        <v>250</v>
      </c>
      <c r="D307" t="s">
        <v>202</v>
      </c>
    </row>
    <row r="308" spans="1:4">
      <c r="C308" t="s">
        <v>251</v>
      </c>
      <c r="D308" t="s">
        <v>203</v>
      </c>
    </row>
    <row r="310" spans="1:4">
      <c r="A310" t="s">
        <v>16</v>
      </c>
      <c r="B310" t="s">
        <v>67</v>
      </c>
      <c r="C310" t="str">
        <f>D233</f>
        <v>Overview</v>
      </c>
    </row>
    <row r="311" spans="1:4">
      <c r="C311" t="str">
        <f t="shared" ref="C311:C374" si="9">D234</f>
        <v>Grid (ALL) - DAY</v>
      </c>
    </row>
    <row r="312" spans="1:4">
      <c r="C312" t="str">
        <f t="shared" si="9"/>
        <v>Grid (ALL) - WTD</v>
      </c>
    </row>
    <row r="313" spans="1:4">
      <c r="C313" t="str">
        <f t="shared" si="9"/>
        <v>Grid (ALL) - MTD</v>
      </c>
    </row>
    <row r="314" spans="1:4">
      <c r="C314" t="str">
        <f t="shared" si="9"/>
        <v>Grid (ALL) - YTD</v>
      </c>
    </row>
    <row r="315" spans="1:4">
      <c r="C315" t="str">
        <f t="shared" si="9"/>
        <v>Grid (W Bags) - DAY</v>
      </c>
    </row>
    <row r="316" spans="1:4">
      <c r="C316" t="str">
        <f t="shared" si="9"/>
        <v>Grid (W Bags) - WTD</v>
      </c>
    </row>
    <row r="317" spans="1:4">
      <c r="C317" t="str">
        <f t="shared" si="9"/>
        <v>Grid (W Bags) - MTD</v>
      </c>
    </row>
    <row r="318" spans="1:4">
      <c r="C318" t="str">
        <f t="shared" si="9"/>
        <v>Grid (W Bags) - YTD</v>
      </c>
    </row>
    <row r="319" spans="1:4">
      <c r="C319" t="str">
        <f t="shared" si="9"/>
        <v>Grid (W SLG) - DAY</v>
      </c>
    </row>
    <row r="320" spans="1:4">
      <c r="C320" t="str">
        <f t="shared" si="9"/>
        <v>Grid (W SLG) - WTD</v>
      </c>
    </row>
    <row r="321" spans="3:3">
      <c r="C321" t="str">
        <f t="shared" si="9"/>
        <v>Grid (W SLG) - MTD</v>
      </c>
    </row>
    <row r="322" spans="3:3">
      <c r="C322" t="str">
        <f t="shared" si="9"/>
        <v>Grid (W SLG) - YTD</v>
      </c>
    </row>
    <row r="323" spans="3:3">
      <c r="C323" t="str">
        <f t="shared" si="9"/>
        <v>Grid (W RTW) - DAY</v>
      </c>
    </row>
    <row r="324" spans="3:3">
      <c r="C324" t="str">
        <f t="shared" si="9"/>
        <v>Grid (W RTW) - WTD</v>
      </c>
    </row>
    <row r="325" spans="3:3">
      <c r="C325" t="str">
        <f t="shared" si="9"/>
        <v>Grid (W RTW) - MTD</v>
      </c>
    </row>
    <row r="326" spans="3:3">
      <c r="C326" t="str">
        <f t="shared" si="9"/>
        <v>Grid (W RTW) - YTD</v>
      </c>
    </row>
    <row r="327" spans="3:3">
      <c r="C327" t="str">
        <f t="shared" si="9"/>
        <v>Grid (W SHOES) - DAY</v>
      </c>
    </row>
    <row r="328" spans="3:3">
      <c r="C328" t="str">
        <f t="shared" si="9"/>
        <v>Grid (W SHOES) - WTD</v>
      </c>
    </row>
    <row r="329" spans="3:3">
      <c r="C329" t="str">
        <f t="shared" si="9"/>
        <v>Grid (W SHOES) - MTD</v>
      </c>
    </row>
    <row r="330" spans="3:3">
      <c r="C330" t="str">
        <f t="shared" si="9"/>
        <v>Grid (W SHOES) - YTD</v>
      </c>
    </row>
    <row r="331" spans="3:3">
      <c r="C331" t="str">
        <f t="shared" si="9"/>
        <v>Grid (W ACC) - DAY</v>
      </c>
    </row>
    <row r="332" spans="3:3">
      <c r="C332" t="str">
        <f t="shared" si="9"/>
        <v>Grid (W ACC) - WTD</v>
      </c>
    </row>
    <row r="333" spans="3:3">
      <c r="C333" t="str">
        <f t="shared" si="9"/>
        <v>Grid (W ACC) - MTD</v>
      </c>
    </row>
    <row r="334" spans="3:3">
      <c r="C334" t="str">
        <f t="shared" si="9"/>
        <v>Grid (W ACC) - YTD</v>
      </c>
    </row>
    <row r="335" spans="3:3">
      <c r="C335" t="str">
        <f t="shared" si="9"/>
        <v>Grid (Watches and Jewellery) - DAY</v>
      </c>
    </row>
    <row r="336" spans="3:3">
      <c r="C336" t="str">
        <f t="shared" si="9"/>
        <v>Grid (Watches and Jewellery) - WTD</v>
      </c>
    </row>
    <row r="337" spans="3:3">
      <c r="C337" t="str">
        <f t="shared" si="9"/>
        <v>Grid (Watches and Jewellery) - MTD</v>
      </c>
    </row>
    <row r="338" spans="3:3">
      <c r="C338" t="str">
        <f t="shared" si="9"/>
        <v>Grid (Watches and Jewellery) - YTD</v>
      </c>
    </row>
    <row r="339" spans="3:3">
      <c r="C339" t="str">
        <f t="shared" si="9"/>
        <v>Grid (MENS) - DAY</v>
      </c>
    </row>
    <row r="340" spans="3:3">
      <c r="C340" t="str">
        <f t="shared" si="9"/>
        <v>Grid (MENS) - WTD</v>
      </c>
    </row>
    <row r="341" spans="3:3">
      <c r="C341" t="str">
        <f t="shared" si="9"/>
        <v>Grid (MENS) - MTD</v>
      </c>
    </row>
    <row r="342" spans="3:3">
      <c r="C342" t="str">
        <f t="shared" si="9"/>
        <v>Grid (MENS) - YTD</v>
      </c>
    </row>
    <row r="343" spans="3:3">
      <c r="C343" t="str">
        <f t="shared" si="9"/>
        <v>Grid (M BAGS) - DAY</v>
      </c>
    </row>
    <row r="344" spans="3:3">
      <c r="C344" t="str">
        <f t="shared" si="9"/>
        <v>Grid (M BAGS) - WTD</v>
      </c>
    </row>
    <row r="345" spans="3:3">
      <c r="C345" t="str">
        <f t="shared" si="9"/>
        <v>Grid (M BAGS) - MTD</v>
      </c>
    </row>
    <row r="346" spans="3:3">
      <c r="C346" t="str">
        <f t="shared" si="9"/>
        <v>Grid (M BAGS) - YTD</v>
      </c>
    </row>
    <row r="347" spans="3:3">
      <c r="C347" t="str">
        <f t="shared" si="9"/>
        <v>Grid (M SLG) - DAY</v>
      </c>
    </row>
    <row r="348" spans="3:3">
      <c r="C348" t="str">
        <f t="shared" si="9"/>
        <v>Grid (M SLG) - WTD</v>
      </c>
    </row>
    <row r="349" spans="3:3">
      <c r="C349" t="str">
        <f t="shared" si="9"/>
        <v>Grid (M SLG) - MTD</v>
      </c>
    </row>
    <row r="350" spans="3:3">
      <c r="C350" t="str">
        <f t="shared" si="9"/>
        <v>Grid (M SLG) - YTD</v>
      </c>
    </row>
    <row r="351" spans="3:3">
      <c r="C351" t="str">
        <f t="shared" si="9"/>
        <v>Grid (M RTW) - DAY</v>
      </c>
    </row>
    <row r="352" spans="3:3">
      <c r="C352" t="str">
        <f t="shared" si="9"/>
        <v>Grid (M RTW) - WTD</v>
      </c>
    </row>
    <row r="353" spans="3:3">
      <c r="C353" t="str">
        <f t="shared" si="9"/>
        <v>Grid (M RTW) - MTD</v>
      </c>
    </row>
    <row r="354" spans="3:3">
      <c r="C354" t="str">
        <f t="shared" si="9"/>
        <v>Grid (M RTW) - YTD</v>
      </c>
    </row>
    <row r="355" spans="3:3">
      <c r="C355" t="str">
        <f t="shared" si="9"/>
        <v>Grid (M SHOES) - DAY</v>
      </c>
    </row>
    <row r="356" spans="3:3">
      <c r="C356" t="str">
        <f t="shared" si="9"/>
        <v>Grid (M SHOES) - WTD</v>
      </c>
    </row>
    <row r="357" spans="3:3">
      <c r="C357" t="str">
        <f t="shared" si="9"/>
        <v>Grid (M SHOES) - MTD</v>
      </c>
    </row>
    <row r="358" spans="3:3">
      <c r="C358" t="str">
        <f t="shared" si="9"/>
        <v>Grid (M SHOES) - YTD</v>
      </c>
    </row>
    <row r="359" spans="3:3">
      <c r="C359" t="str">
        <f t="shared" si="9"/>
        <v>Grid (M Accessories) - DAY</v>
      </c>
    </row>
    <row r="360" spans="3:3">
      <c r="C360" t="str">
        <f t="shared" si="9"/>
        <v>Grid (M Accessories) - WTD</v>
      </c>
    </row>
    <row r="361" spans="3:3">
      <c r="C361" t="str">
        <f t="shared" si="9"/>
        <v>Grid (M Accessories) - MTD</v>
      </c>
    </row>
    <row r="362" spans="3:3">
      <c r="C362" t="str">
        <f t="shared" si="9"/>
        <v>Grid (M Accessories) - YTD</v>
      </c>
    </row>
    <row r="363" spans="3:3">
      <c r="C363" t="str">
        <f t="shared" si="9"/>
        <v>Grid (M Special) - DAY</v>
      </c>
    </row>
    <row r="364" spans="3:3">
      <c r="C364" t="str">
        <f t="shared" si="9"/>
        <v>Grid (M Special) - WTD</v>
      </c>
    </row>
    <row r="365" spans="3:3">
      <c r="C365" t="str">
        <f t="shared" si="9"/>
        <v>Grid (M Special) - MTD</v>
      </c>
    </row>
    <row r="366" spans="3:3">
      <c r="C366" t="str">
        <f t="shared" si="9"/>
        <v>Grid (M Special) - YTD</v>
      </c>
    </row>
    <row r="367" spans="3:3">
      <c r="C367" t="str">
        <f t="shared" si="9"/>
        <v>Grid (BABY) - DAY</v>
      </c>
    </row>
    <row r="368" spans="3:3">
      <c r="C368" t="str">
        <f t="shared" si="9"/>
        <v>Grid (BABY) - WTD</v>
      </c>
    </row>
    <row r="369" spans="3:3">
      <c r="C369" t="str">
        <f t="shared" si="9"/>
        <v>Grid (BABY) - MTD</v>
      </c>
    </row>
    <row r="370" spans="3:3">
      <c r="C370" t="str">
        <f t="shared" si="9"/>
        <v>Grid (BABY) - YTD</v>
      </c>
    </row>
    <row r="371" spans="3:3">
      <c r="C371" t="str">
        <f t="shared" si="9"/>
        <v>Grid (STORE) - DAY</v>
      </c>
    </row>
    <row r="372" spans="3:3">
      <c r="C372" t="str">
        <f t="shared" si="9"/>
        <v>Grid (STORE) - WTD</v>
      </c>
    </row>
    <row r="373" spans="3:3">
      <c r="C373" t="str">
        <f t="shared" si="9"/>
        <v>Grid (STORE) - MTD</v>
      </c>
    </row>
    <row r="374" spans="3:3">
      <c r="C374" t="str">
        <f t="shared" si="9"/>
        <v>Grid (STORE) - YTD</v>
      </c>
    </row>
    <row r="375" spans="3:3">
      <c r="C375" t="str">
        <f t="shared" ref="C375:C385" si="10">D298</f>
        <v>Grid (Business Unit) - DAY</v>
      </c>
    </row>
    <row r="376" spans="3:3">
      <c r="C376" t="str">
        <f t="shared" si="10"/>
        <v>Grid (Business Unit) - WTD</v>
      </c>
    </row>
    <row r="377" spans="3:3">
      <c r="C377" t="str">
        <f t="shared" si="10"/>
        <v>Grid (Business Unit) - MTD</v>
      </c>
    </row>
    <row r="378" spans="3:3">
      <c r="C378" t="str">
        <f t="shared" si="10"/>
        <v>Grid (Business Unit) - YTD</v>
      </c>
    </row>
    <row r="379" spans="3:3">
      <c r="C379" t="str">
        <f t="shared" si="10"/>
        <v>Top Products - DAY</v>
      </c>
    </row>
    <row r="380" spans="3:3">
      <c r="C380" t="str">
        <f t="shared" si="10"/>
        <v>Top Products - WTD</v>
      </c>
    </row>
    <row r="381" spans="3:3">
      <c r="C381" t="str">
        <f t="shared" si="10"/>
        <v>Top Products - MTD</v>
      </c>
    </row>
    <row r="382" spans="3:3">
      <c r="C382" t="str">
        <f t="shared" si="10"/>
        <v>Top Products - YTD</v>
      </c>
    </row>
    <row r="383" spans="3:3">
      <c r="C383" t="str">
        <f t="shared" si="10"/>
        <v>Histogram (Country) YTD</v>
      </c>
    </row>
    <row r="384" spans="3:3">
      <c r="C384" t="str">
        <f t="shared" si="10"/>
        <v>Histogram (Nationality) YTD</v>
      </c>
    </row>
    <row r="385" spans="1:7">
      <c r="C385" t="str">
        <f t="shared" si="10"/>
        <v>Histogram (Business Unit) YTD</v>
      </c>
    </row>
    <row r="387" spans="1:7">
      <c r="A387" t="s">
        <v>16</v>
      </c>
      <c r="B387" s="3" t="s">
        <v>25</v>
      </c>
      <c r="C387" t="s">
        <v>30</v>
      </c>
    </row>
    <row r="388" spans="1:7">
      <c r="C388" t="s">
        <v>681</v>
      </c>
      <c r="E388" t="s">
        <v>682</v>
      </c>
    </row>
    <row r="389" spans="1:7">
      <c r="C389" t="s">
        <v>155</v>
      </c>
    </row>
    <row r="390" spans="1:7">
      <c r="C390" t="s">
        <v>687</v>
      </c>
      <c r="E390" t="s">
        <v>688</v>
      </c>
    </row>
    <row r="391" spans="1:7">
      <c r="C391" t="s">
        <v>416</v>
      </c>
    </row>
    <row r="392" spans="1:7">
      <c r="B392" s="3"/>
      <c r="C392" t="s">
        <v>147</v>
      </c>
    </row>
    <row r="393" spans="1:7">
      <c r="B393" s="3"/>
      <c r="C393" t="s">
        <v>677</v>
      </c>
      <c r="E393" t="s">
        <v>690</v>
      </c>
      <c r="G393" t="s">
        <v>677</v>
      </c>
    </row>
    <row r="394" spans="1:7">
      <c r="C394" t="s">
        <v>692</v>
      </c>
    </row>
    <row r="395" spans="1:7">
      <c r="C395" t="s">
        <v>438</v>
      </c>
    </row>
    <row r="396" spans="1:7">
      <c r="A396" t="s">
        <v>16</v>
      </c>
      <c r="B396" t="s">
        <v>147</v>
      </c>
      <c r="C396" t="s">
        <v>678</v>
      </c>
      <c r="E396" t="s">
        <v>71</v>
      </c>
    </row>
    <row r="398" spans="1:7">
      <c r="A398" t="s">
        <v>16</v>
      </c>
      <c r="B398" s="3" t="s">
        <v>32</v>
      </c>
      <c r="C398" t="s">
        <v>399</v>
      </c>
    </row>
    <row r="399" spans="1:7">
      <c r="C399" t="s">
        <v>417</v>
      </c>
      <c r="E399" t="s">
        <v>117</v>
      </c>
    </row>
    <row r="400" spans="1:7">
      <c r="C400" t="s">
        <v>118</v>
      </c>
    </row>
    <row r="401" spans="1:7">
      <c r="A401" t="s">
        <v>16</v>
      </c>
      <c r="B401" t="s">
        <v>118</v>
      </c>
      <c r="C401" t="s">
        <v>418</v>
      </c>
    </row>
    <row r="402" spans="1:7">
      <c r="C402" t="s">
        <v>660</v>
      </c>
      <c r="G402" t="s">
        <v>346</v>
      </c>
    </row>
    <row r="403" spans="1:7">
      <c r="C403" t="s">
        <v>421</v>
      </c>
    </row>
    <row r="404" spans="1:7">
      <c r="C404" t="s">
        <v>556</v>
      </c>
    </row>
    <row r="405" spans="1:7">
      <c r="C405" t="s">
        <v>424</v>
      </c>
    </row>
    <row r="406" spans="1:7">
      <c r="C406" t="s">
        <v>679</v>
      </c>
      <c r="E406" t="s">
        <v>680</v>
      </c>
    </row>
    <row r="407" spans="1:7">
      <c r="C407" t="s">
        <v>431</v>
      </c>
      <c r="E407" t="s">
        <v>313</v>
      </c>
    </row>
    <row r="408" spans="1:7">
      <c r="C408" t="s">
        <v>556</v>
      </c>
    </row>
    <row r="409" spans="1:7">
      <c r="A409" t="s">
        <v>16</v>
      </c>
      <c r="B409" t="s">
        <v>402</v>
      </c>
      <c r="C409" t="s">
        <v>309</v>
      </c>
    </row>
    <row r="410" spans="1:7">
      <c r="C410" t="s">
        <v>24</v>
      </c>
    </row>
    <row r="411" spans="1:7">
      <c r="C411" t="s">
        <v>311</v>
      </c>
    </row>
    <row r="412" spans="1:7">
      <c r="C412" t="s">
        <v>310</v>
      </c>
    </row>
    <row r="414" spans="1:7">
      <c r="B414" t="s">
        <v>310</v>
      </c>
      <c r="C414" t="s">
        <v>309</v>
      </c>
    </row>
    <row r="415" spans="1:7">
      <c r="C415" t="s">
        <v>24</v>
      </c>
    </row>
    <row r="416" spans="1:7">
      <c r="C416" t="s">
        <v>311</v>
      </c>
    </row>
    <row r="417" spans="1:7">
      <c r="C417" t="s">
        <v>312</v>
      </c>
    </row>
    <row r="418" spans="1:7">
      <c r="C418" t="s">
        <v>313</v>
      </c>
    </row>
    <row r="419" spans="1:7">
      <c r="B419" t="s">
        <v>316</v>
      </c>
      <c r="C419" t="s">
        <v>315</v>
      </c>
    </row>
    <row r="420" spans="1:7">
      <c r="C420" t="s">
        <v>314</v>
      </c>
    </row>
    <row r="421" spans="1:7">
      <c r="C421" t="s">
        <v>151</v>
      </c>
    </row>
    <row r="423" spans="1:7">
      <c r="A423" t="s">
        <v>15</v>
      </c>
      <c r="B423" t="s">
        <v>357</v>
      </c>
      <c r="C423" t="s">
        <v>359</v>
      </c>
      <c r="D423" t="s">
        <v>627</v>
      </c>
      <c r="G423" t="s">
        <v>361</v>
      </c>
    </row>
    <row r="424" spans="1:7">
      <c r="C424" t="s">
        <v>252</v>
      </c>
      <c r="D424" t="s">
        <v>626</v>
      </c>
    </row>
    <row r="425" spans="1:7">
      <c r="C425" t="s">
        <v>364</v>
      </c>
      <c r="D425" t="s">
        <v>627</v>
      </c>
    </row>
    <row r="426" spans="1:7">
      <c r="C426" t="s">
        <v>366</v>
      </c>
      <c r="D426" t="s">
        <v>753</v>
      </c>
      <c r="G426" t="s">
        <v>686</v>
      </c>
    </row>
    <row r="427" spans="1:7">
      <c r="G427" t="s">
        <v>753</v>
      </c>
    </row>
    <row r="428" spans="1:7">
      <c r="A428" t="s">
        <v>15</v>
      </c>
      <c r="B428" t="s">
        <v>404</v>
      </c>
      <c r="C428" t="s">
        <v>405</v>
      </c>
    </row>
    <row r="429" spans="1:7">
      <c r="C429" t="s">
        <v>406</v>
      </c>
    </row>
    <row r="430" spans="1:7">
      <c r="C430" t="s">
        <v>408</v>
      </c>
    </row>
    <row r="432" spans="1:7">
      <c r="A432" t="s">
        <v>16</v>
      </c>
      <c r="B432" t="s">
        <v>272</v>
      </c>
      <c r="C432" t="s">
        <v>548</v>
      </c>
      <c r="E432" t="s">
        <v>430</v>
      </c>
      <c r="G432" t="s">
        <v>287</v>
      </c>
    </row>
    <row r="433" spans="1:3">
      <c r="A433" t="s">
        <v>16</v>
      </c>
      <c r="B433" t="s">
        <v>273</v>
      </c>
      <c r="C433" t="s">
        <v>288</v>
      </c>
    </row>
    <row r="434" spans="1:3">
      <c r="A434" t="s">
        <v>16</v>
      </c>
      <c r="B434" t="s">
        <v>274</v>
      </c>
      <c r="C434" t="s">
        <v>289</v>
      </c>
    </row>
    <row r="435" spans="1:3">
      <c r="A435" t="s">
        <v>16</v>
      </c>
      <c r="B435" t="s">
        <v>275</v>
      </c>
      <c r="C435" t="s">
        <v>290</v>
      </c>
    </row>
    <row r="436" spans="1:3">
      <c r="A436" t="s">
        <v>16</v>
      </c>
      <c r="B436" t="s">
        <v>628</v>
      </c>
      <c r="C436" t="s">
        <v>629</v>
      </c>
    </row>
    <row r="437" spans="1:3">
      <c r="A437" t="s">
        <v>16</v>
      </c>
      <c r="B437" t="s">
        <v>630</v>
      </c>
      <c r="C437" t="s">
        <v>631</v>
      </c>
    </row>
    <row r="438" spans="1:3">
      <c r="A438" t="s">
        <v>16</v>
      </c>
      <c r="B438" t="s">
        <v>276</v>
      </c>
      <c r="C438" t="s">
        <v>291</v>
      </c>
    </row>
    <row r="439" spans="1:3">
      <c r="A439" t="s">
        <v>16</v>
      </c>
      <c r="B439" t="s">
        <v>277</v>
      </c>
      <c r="C439" t="s">
        <v>292</v>
      </c>
    </row>
    <row r="440" spans="1:3">
      <c r="A440" t="s">
        <v>16</v>
      </c>
      <c r="B440" t="s">
        <v>278</v>
      </c>
      <c r="C440" t="s">
        <v>293</v>
      </c>
    </row>
    <row r="441" spans="1:3">
      <c r="A441" t="s">
        <v>16</v>
      </c>
      <c r="B441" t="s">
        <v>279</v>
      </c>
      <c r="C441" t="s">
        <v>294</v>
      </c>
    </row>
    <row r="442" spans="1:3">
      <c r="A442" t="s">
        <v>16</v>
      </c>
      <c r="B442" t="s">
        <v>280</v>
      </c>
      <c r="C442" t="s">
        <v>295</v>
      </c>
    </row>
    <row r="443" spans="1:3">
      <c r="A443" t="s">
        <v>16</v>
      </c>
      <c r="B443" t="s">
        <v>281</v>
      </c>
      <c r="C443" t="s">
        <v>296</v>
      </c>
    </row>
    <row r="444" spans="1:3">
      <c r="A444" t="s">
        <v>16</v>
      </c>
      <c r="B444" t="s">
        <v>282</v>
      </c>
      <c r="C444" t="s">
        <v>297</v>
      </c>
    </row>
    <row r="445" spans="1:3">
      <c r="A445" t="s">
        <v>16</v>
      </c>
      <c r="B445" t="s">
        <v>283</v>
      </c>
      <c r="C445" t="s">
        <v>298</v>
      </c>
    </row>
    <row r="446" spans="1:3">
      <c r="A446" t="s">
        <v>16</v>
      </c>
      <c r="B446" t="s">
        <v>284</v>
      </c>
      <c r="C446" t="s">
        <v>299</v>
      </c>
    </row>
    <row r="447" spans="1:3">
      <c r="A447" t="s">
        <v>16</v>
      </c>
      <c r="B447" t="s">
        <v>591</v>
      </c>
      <c r="C447" t="s">
        <v>601</v>
      </c>
    </row>
    <row r="448" spans="1:3">
      <c r="A448" t="s">
        <v>16</v>
      </c>
      <c r="B448" t="s">
        <v>592</v>
      </c>
      <c r="C448" t="s">
        <v>606</v>
      </c>
    </row>
    <row r="449" spans="1:4">
      <c r="A449" t="s">
        <v>16</v>
      </c>
      <c r="B449" t="s">
        <v>593</v>
      </c>
      <c r="C449" t="s">
        <v>602</v>
      </c>
    </row>
    <row r="450" spans="1:4">
      <c r="A450" t="s">
        <v>16</v>
      </c>
      <c r="B450" t="s">
        <v>615</v>
      </c>
      <c r="C450" t="s">
        <v>613</v>
      </c>
    </row>
    <row r="451" spans="1:4">
      <c r="A451" t="s">
        <v>16</v>
      </c>
      <c r="B451" t="s">
        <v>616</v>
      </c>
      <c r="C451" t="s">
        <v>614</v>
      </c>
    </row>
    <row r="452" spans="1:4">
      <c r="A452" t="s">
        <v>16</v>
      </c>
      <c r="B452" t="s">
        <v>594</v>
      </c>
      <c r="C452" t="s">
        <v>603</v>
      </c>
    </row>
    <row r="453" spans="1:4">
      <c r="A453" t="s">
        <v>16</v>
      </c>
      <c r="B453" t="s">
        <v>595</v>
      </c>
      <c r="C453" t="s">
        <v>608</v>
      </c>
    </row>
    <row r="454" spans="1:4">
      <c r="A454" t="s">
        <v>16</v>
      </c>
      <c r="B454" t="s">
        <v>596</v>
      </c>
      <c r="C454" t="s">
        <v>604</v>
      </c>
    </row>
    <row r="455" spans="1:4">
      <c r="A455" t="s">
        <v>16</v>
      </c>
      <c r="B455" t="s">
        <v>597</v>
      </c>
      <c r="C455" t="s">
        <v>607</v>
      </c>
    </row>
    <row r="456" spans="1:4">
      <c r="A456" t="s">
        <v>16</v>
      </c>
      <c r="B456" t="s">
        <v>598</v>
      </c>
      <c r="C456" t="s">
        <v>609</v>
      </c>
    </row>
    <row r="457" spans="1:4">
      <c r="A457" t="s">
        <v>16</v>
      </c>
      <c r="B457" t="s">
        <v>599</v>
      </c>
      <c r="C457" t="s">
        <v>610</v>
      </c>
    </row>
    <row r="458" spans="1:4">
      <c r="A458" t="s">
        <v>16</v>
      </c>
      <c r="B458" t="s">
        <v>600</v>
      </c>
      <c r="C458" t="s">
        <v>605</v>
      </c>
    </row>
    <row r="459" spans="1:4">
      <c r="A459" t="s">
        <v>16</v>
      </c>
      <c r="B459" t="s">
        <v>618</v>
      </c>
      <c r="C459" t="s">
        <v>619</v>
      </c>
    </row>
    <row r="460" spans="1:4">
      <c r="A460" t="s">
        <v>16</v>
      </c>
      <c r="B460" t="s">
        <v>285</v>
      </c>
      <c r="C460" t="s">
        <v>300</v>
      </c>
    </row>
    <row r="461" spans="1:4">
      <c r="A461" t="s">
        <v>16</v>
      </c>
      <c r="B461" t="s">
        <v>286</v>
      </c>
      <c r="C461" t="s">
        <v>301</v>
      </c>
    </row>
    <row r="463" spans="1:4">
      <c r="A463" t="s">
        <v>15</v>
      </c>
      <c r="B463" t="s">
        <v>9</v>
      </c>
      <c r="C463" t="s">
        <v>19</v>
      </c>
      <c r="D463" t="s">
        <v>20</v>
      </c>
    </row>
    <row r="464" spans="1:4">
      <c r="C464" t="s">
        <v>153</v>
      </c>
      <c r="D464" t="s">
        <v>154</v>
      </c>
    </row>
    <row r="465" spans="1:5">
      <c r="A465" t="s">
        <v>16</v>
      </c>
      <c r="B465" s="3" t="s">
        <v>0</v>
      </c>
      <c r="C465" t="s">
        <v>21</v>
      </c>
      <c r="D465" s="2"/>
      <c r="E465" t="s">
        <v>397</v>
      </c>
    </row>
    <row r="466" spans="1:5">
      <c r="C466" t="s">
        <v>1</v>
      </c>
    </row>
    <row r="467" spans="1:5">
      <c r="C467" t="s">
        <v>338</v>
      </c>
      <c r="E467" t="s">
        <v>104</v>
      </c>
    </row>
    <row r="468" spans="1:5">
      <c r="C468" t="s">
        <v>107</v>
      </c>
      <c r="E468" t="s">
        <v>108</v>
      </c>
    </row>
    <row r="469" spans="1:5">
      <c r="A469" t="s">
        <v>16</v>
      </c>
      <c r="B469" s="1" t="s">
        <v>107</v>
      </c>
      <c r="C469" t="s">
        <v>440</v>
      </c>
      <c r="E469" s="1" t="s">
        <v>343</v>
      </c>
    </row>
    <row r="470" spans="1:5">
      <c r="B470" s="1"/>
      <c r="C470" t="s">
        <v>22</v>
      </c>
      <c r="E470" s="1" t="s">
        <v>105</v>
      </c>
    </row>
    <row r="471" spans="1:5">
      <c r="C471" t="s">
        <v>34</v>
      </c>
      <c r="E471" t="s">
        <v>106</v>
      </c>
    </row>
    <row r="472" spans="1:5">
      <c r="C472" t="s">
        <v>411</v>
      </c>
      <c r="E472" t="s">
        <v>38</v>
      </c>
    </row>
    <row r="473" spans="1:5">
      <c r="C473" t="s">
        <v>7</v>
      </c>
      <c r="E473" t="s">
        <v>110</v>
      </c>
    </row>
    <row r="474" spans="1:5">
      <c r="C474" t="s">
        <v>449</v>
      </c>
      <c r="E474" t="s">
        <v>450</v>
      </c>
    </row>
    <row r="475" spans="1:5">
      <c r="C475" t="s">
        <v>452</v>
      </c>
      <c r="E475" t="s">
        <v>453</v>
      </c>
    </row>
    <row r="476" spans="1:5">
      <c r="C476" t="s">
        <v>344</v>
      </c>
      <c r="E476" t="s">
        <v>111</v>
      </c>
    </row>
    <row r="478" spans="1:5">
      <c r="A478" t="s">
        <v>16</v>
      </c>
      <c r="B478" t="s">
        <v>410</v>
      </c>
      <c r="C478" t="s">
        <v>37</v>
      </c>
    </row>
    <row r="479" spans="1:5">
      <c r="C479" t="s">
        <v>456</v>
      </c>
      <c r="E479" t="s">
        <v>455</v>
      </c>
    </row>
    <row r="480" spans="1:5">
      <c r="C480" t="s">
        <v>27</v>
      </c>
    </row>
    <row r="482" spans="1:5">
      <c r="A482" t="s">
        <v>16</v>
      </c>
      <c r="B482" t="s">
        <v>451</v>
      </c>
      <c r="C482" t="s">
        <v>454</v>
      </c>
      <c r="E482" t="s">
        <v>455</v>
      </c>
    </row>
    <row r="483" spans="1:5">
      <c r="C483" t="s">
        <v>27</v>
      </c>
    </row>
    <row r="485" spans="1:5">
      <c r="A485" t="s">
        <v>16</v>
      </c>
      <c r="B485" s="3" t="s">
        <v>155</v>
      </c>
      <c r="C485" t="s">
        <v>156</v>
      </c>
    </row>
    <row r="486" spans="1:5">
      <c r="B486" s="3"/>
      <c r="C486" t="s">
        <v>305</v>
      </c>
    </row>
    <row r="487" spans="1:5">
      <c r="A487" t="s">
        <v>16</v>
      </c>
      <c r="B487" t="s">
        <v>305</v>
      </c>
      <c r="C487" t="s">
        <v>407</v>
      </c>
    </row>
    <row r="488" spans="1:5">
      <c r="C488" t="s">
        <v>302</v>
      </c>
    </row>
    <row r="489" spans="1:5">
      <c r="C489" t="s">
        <v>303</v>
      </c>
    </row>
    <row r="490" spans="1:5">
      <c r="C490" t="s">
        <v>403</v>
      </c>
    </row>
    <row r="491" spans="1:5">
      <c r="C491" t="s">
        <v>409</v>
      </c>
    </row>
    <row r="492" spans="1:5">
      <c r="C492" t="s">
        <v>412</v>
      </c>
    </row>
    <row r="493" spans="1:5">
      <c r="C493" t="s">
        <v>304</v>
      </c>
      <c r="E493" t="s">
        <v>104</v>
      </c>
    </row>
    <row r="495" spans="1:5">
      <c r="A495" t="s">
        <v>16</v>
      </c>
      <c r="B495" t="s">
        <v>413</v>
      </c>
      <c r="C495" t="s">
        <v>37</v>
      </c>
    </row>
    <row r="496" spans="1:5">
      <c r="C496" t="s">
        <v>414</v>
      </c>
    </row>
    <row r="498" spans="1:3">
      <c r="A498" t="s">
        <v>16</v>
      </c>
      <c r="B498" t="s">
        <v>429</v>
      </c>
      <c r="C498" t="s">
        <v>425</v>
      </c>
    </row>
    <row r="499" spans="1:3">
      <c r="C499" t="s">
        <v>428</v>
      </c>
    </row>
    <row r="500" spans="1:3">
      <c r="C500" t="s">
        <v>129</v>
      </c>
    </row>
    <row r="501" spans="1:3">
      <c r="C501" t="s">
        <v>427</v>
      </c>
    </row>
    <row r="502" spans="1:3">
      <c r="C502" t="s">
        <v>426</v>
      </c>
    </row>
  </sheetData>
  <hyperlinks>
    <hyperlink ref="C485" r:id="rId1" display="url:DCLICK" xr:uid="{3FDC4FAF-984F-47A8-BE64-88B187368141}"/>
    <hyperlink ref="C399" r:id="rId2" display="url:URL_Dclick_Pages" xr:uid="{A743C219-C4CD-4F01-8076-FC9BD1C260A3}"/>
  </hyperlinks>
  <pageMargins left="0.7" right="0.7" top="0.75" bottom="0.75" header="0.3" footer="0.3"/>
  <pageSetup paperSize="9"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7A5CD-F377-428C-88DD-454192CA0A52}">
  <sheetPr codeName="Sheet5"/>
  <dimension ref="A1:N226"/>
  <sheetViews>
    <sheetView topLeftCell="A43" workbookViewId="0">
      <selection activeCell="E18" sqref="E18"/>
    </sheetView>
  </sheetViews>
  <sheetFormatPr defaultRowHeight="1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t="str">
        <f>IF(D2="",IF(E2="","",A1),D2)</f>
        <v>URL_Dclick_Pages</v>
      </c>
      <c r="B2" t="str">
        <f t="shared" ref="B2:B3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>
      <c r="A3" t="str">
        <f t="shared" ref="A3" si="3">IF(D3="",IF(E3="","",A2),D3)</f>
        <v>URL_Dclick_Pages</v>
      </c>
      <c r="B3" t="str">
        <f t="shared" si="0"/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>
      <c r="A4" t="str">
        <f t="shared" ref="A4" si="4">IF(D4="",IF(E4="","",A3),D4)</f>
        <v>URL_Dclick_Pages</v>
      </c>
      <c r="B4" t="str">
        <f t="shared" ref="B4" si="5">IF(C4="",IF(E4="","",B3),C4)</f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>
      <c r="A5" t="str">
        <f t="shared" ref="A5:A28" si="6">IF(D5="",IF(E5="","",A4),D5)</f>
        <v>URL_Dclick_Pages</v>
      </c>
      <c r="B5" t="str">
        <f t="shared" ref="B5:B28" si="7">IF(C5="",IF(E5="","",B4),C5)</f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>
      <c r="A6" t="str">
        <f t="shared" si="6"/>
        <v>URL_Dclick_Pages</v>
      </c>
      <c r="B6" t="str">
        <f t="shared" si="7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>
      <c r="A7" t="str">
        <f t="shared" si="6"/>
        <v>URL_Dclick_Pages</v>
      </c>
      <c r="B7" t="str">
        <f t="shared" si="7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>
      <c r="A8" t="str">
        <f t="shared" si="6"/>
        <v>URL_Dclick_Pages</v>
      </c>
      <c r="B8" t="str">
        <f t="shared" si="7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>
      <c r="A9" t="str">
        <f t="shared" si="6"/>
        <v>URL_Dclick_Pages</v>
      </c>
      <c r="B9" t="str">
        <f t="shared" si="7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>
      <c r="A10" t="str">
        <f t="shared" si="6"/>
        <v/>
      </c>
      <c r="B10" t="str">
        <f t="shared" si="7"/>
        <v/>
      </c>
    </row>
    <row r="11" spans="1:14">
      <c r="A11" t="str">
        <f t="shared" si="6"/>
        <v>constants</v>
      </c>
      <c r="B11" t="str">
        <f t="shared" si="7"/>
        <v>key</v>
      </c>
      <c r="C11" t="s">
        <v>15</v>
      </c>
      <c r="D11" t="s">
        <v>357</v>
      </c>
      <c r="E11" t="s">
        <v>359</v>
      </c>
      <c r="F11" t="s">
        <v>361</v>
      </c>
    </row>
    <row r="12" spans="1:14">
      <c r="A12" t="str">
        <f t="shared" si="6"/>
        <v>constants</v>
      </c>
      <c r="B12" t="str">
        <f t="shared" si="7"/>
        <v>key</v>
      </c>
      <c r="E12" t="s">
        <v>252</v>
      </c>
      <c r="F12" t="s">
        <v>360</v>
      </c>
    </row>
    <row r="13" spans="1:14">
      <c r="A13" t="str">
        <f t="shared" si="6"/>
        <v>constants</v>
      </c>
      <c r="B13" t="str">
        <f t="shared" si="7"/>
        <v>key</v>
      </c>
      <c r="E13" t="s">
        <v>364</v>
      </c>
      <c r="F13" t="s">
        <v>362</v>
      </c>
    </row>
    <row r="14" spans="1:14">
      <c r="A14" t="str">
        <f t="shared" ref="A14:A27" si="8">IF(D14="",IF(E14="","",A13),D14)</f>
        <v>constants</v>
      </c>
      <c r="B14" t="str">
        <f t="shared" ref="B14:B27" si="9">IF(C14="",IF(E14="","",B13),C14)</f>
        <v>key</v>
      </c>
      <c r="E14" t="s">
        <v>366</v>
      </c>
      <c r="F14" t="s">
        <v>358</v>
      </c>
    </row>
    <row r="15" spans="1:14">
      <c r="A15" t="str">
        <f t="shared" si="8"/>
        <v>URL</v>
      </c>
      <c r="B15" t="str">
        <f t="shared" si="9"/>
        <v>key</v>
      </c>
      <c r="C15" t="s">
        <v>15</v>
      </c>
      <c r="D15" t="s">
        <v>9</v>
      </c>
      <c r="E15" t="s">
        <v>19</v>
      </c>
      <c r="F15" t="s">
        <v>20</v>
      </c>
    </row>
    <row r="16" spans="1:14">
      <c r="A16" t="str">
        <f t="shared" si="8"/>
        <v>URL</v>
      </c>
      <c r="B16" t="str">
        <f t="shared" si="9"/>
        <v>key</v>
      </c>
      <c r="E16" t="s">
        <v>93</v>
      </c>
      <c r="F16" t="s">
        <v>23</v>
      </c>
    </row>
    <row r="17" spans="1:13">
      <c r="A17" t="str">
        <f t="shared" si="8"/>
        <v/>
      </c>
      <c r="B17" t="str">
        <f t="shared" si="9"/>
        <v/>
      </c>
    </row>
    <row r="18" spans="1:13">
      <c r="A18" t="str">
        <f t="shared" si="8"/>
        <v>main</v>
      </c>
      <c r="B18" t="str">
        <f t="shared" si="9"/>
        <v>list</v>
      </c>
      <c r="C18" t="s">
        <v>16</v>
      </c>
      <c r="D18" s="3" t="s">
        <v>25</v>
      </c>
      <c r="E18" t="s">
        <v>30</v>
      </c>
      <c r="F18" t="s">
        <v>371</v>
      </c>
      <c r="G18" t="s">
        <v>148</v>
      </c>
    </row>
    <row r="19" spans="1:13">
      <c r="A19" t="str">
        <f t="shared" si="8"/>
        <v>main</v>
      </c>
      <c r="B19" t="str">
        <f t="shared" si="9"/>
        <v>list</v>
      </c>
      <c r="D19" s="3"/>
      <c r="E19" t="s">
        <v>373</v>
      </c>
      <c r="F19" s="3"/>
    </row>
    <row r="20" spans="1:13">
      <c r="A20" t="str">
        <f t="shared" si="8"/>
        <v>main</v>
      </c>
      <c r="B20" t="str">
        <f t="shared" si="9"/>
        <v>list</v>
      </c>
      <c r="D20" s="3"/>
      <c r="E20" t="s">
        <v>374</v>
      </c>
      <c r="F20" s="3" t="s">
        <v>372</v>
      </c>
    </row>
    <row r="21" spans="1:13">
      <c r="A21" t="str">
        <f t="shared" si="8"/>
        <v>main</v>
      </c>
      <c r="B21" t="str">
        <f t="shared" si="9"/>
        <v>list</v>
      </c>
      <c r="E21" t="s">
        <v>0</v>
      </c>
    </row>
    <row r="22" spans="1:13">
      <c r="A22" t="str">
        <f t="shared" si="8"/>
        <v>main</v>
      </c>
      <c r="B22" t="str">
        <f t="shared" si="9"/>
        <v>list</v>
      </c>
      <c r="E22" t="s">
        <v>95</v>
      </c>
    </row>
    <row r="23" spans="1:13">
      <c r="A23" t="str">
        <f t="shared" si="8"/>
        <v>main</v>
      </c>
      <c r="B23" t="str">
        <f t="shared" si="9"/>
        <v>list</v>
      </c>
      <c r="E23" t="s">
        <v>369</v>
      </c>
      <c r="G23" t="s">
        <v>370</v>
      </c>
    </row>
    <row r="24" spans="1:13">
      <c r="A24" t="str">
        <f t="shared" si="8"/>
        <v>main</v>
      </c>
      <c r="B24" t="str">
        <f t="shared" si="9"/>
        <v>list</v>
      </c>
      <c r="E24" t="s">
        <v>1</v>
      </c>
    </row>
    <row r="25" spans="1:13">
      <c r="A25" t="str">
        <f t="shared" si="8"/>
        <v>main</v>
      </c>
      <c r="B25" t="str">
        <f t="shared" si="9"/>
        <v>list</v>
      </c>
      <c r="E25" t="s">
        <v>147</v>
      </c>
      <c r="M25" t="str">
        <f ca="1">_xlfn.CONCAT("createPDF:imagelist,./Output/Images/,./Output/APAC_Daily_Sales_",M27,".pdf")</f>
        <v>createPDF:imagelist,./Output/Images/,./Output/APAC_Daily_Sales_20221103104758.pdf</v>
      </c>
    </row>
    <row r="26" spans="1:13">
      <c r="A26" t="str">
        <f t="shared" si="8"/>
        <v>main</v>
      </c>
      <c r="B26" t="str">
        <f t="shared" si="9"/>
        <v>list</v>
      </c>
      <c r="E26" t="s">
        <v>363</v>
      </c>
      <c r="G26" t="s">
        <v>150</v>
      </c>
    </row>
    <row r="27" spans="1:13">
      <c r="A27" t="str">
        <f t="shared" si="8"/>
        <v>generatePDF</v>
      </c>
      <c r="B27" t="str">
        <f t="shared" si="9"/>
        <v>list</v>
      </c>
      <c r="C27" t="s">
        <v>16</v>
      </c>
      <c r="D27" t="s">
        <v>147</v>
      </c>
      <c r="E27" t="s">
        <v>365</v>
      </c>
      <c r="G27" t="s">
        <v>71</v>
      </c>
      <c r="M27" s="4" t="str">
        <f ca="1">TEXT(NOW(),"YYYYMMDDHHMMSS")</f>
        <v>20221103104758</v>
      </c>
    </row>
    <row r="28" spans="1:13">
      <c r="A28" t="str">
        <f t="shared" si="6"/>
        <v/>
      </c>
      <c r="B28" t="str">
        <f t="shared" si="7"/>
        <v/>
      </c>
    </row>
    <row r="29" spans="1:13">
      <c r="A29" t="str">
        <f t="shared" ref="A29:A30" si="10">IF(D29="",IF(E29="","",A28),D29)</f>
        <v>logon_OKTA</v>
      </c>
      <c r="B29" t="str">
        <f t="shared" ref="B29:B30" si="11">IF(C29="",IF(E29="","",B28),C29)</f>
        <v>list</v>
      </c>
      <c r="C29" t="s">
        <v>16</v>
      </c>
      <c r="D29" s="3" t="s">
        <v>0</v>
      </c>
      <c r="E29" t="s">
        <v>21</v>
      </c>
      <c r="F29" s="2"/>
      <c r="G29" t="s">
        <v>103</v>
      </c>
    </row>
    <row r="30" spans="1:13">
      <c r="A30" t="str">
        <f t="shared" si="10"/>
        <v>logon_OKTA</v>
      </c>
      <c r="B30" t="str">
        <f t="shared" si="11"/>
        <v>list</v>
      </c>
      <c r="E30" t="s">
        <v>375</v>
      </c>
    </row>
    <row r="31" spans="1:13">
      <c r="A31" t="str">
        <f t="shared" ref="A31:A73" si="12">IF(D31="",IF(E31="","",A30),D31)</f>
        <v>logon_OKTA</v>
      </c>
      <c r="B31" t="str">
        <f t="shared" ref="B31:B73" si="13">IF(C31="",IF(E31="","",B30),C31)</f>
        <v>list</v>
      </c>
      <c r="E31" t="s">
        <v>338</v>
      </c>
      <c r="G31" t="s">
        <v>104</v>
      </c>
    </row>
    <row r="32" spans="1:13">
      <c r="A32" t="str">
        <f t="shared" si="12"/>
        <v>logon_OKTA</v>
      </c>
      <c r="B32" t="str">
        <f t="shared" si="13"/>
        <v>list</v>
      </c>
      <c r="E32" t="s">
        <v>107</v>
      </c>
      <c r="G32" t="s">
        <v>108</v>
      </c>
    </row>
    <row r="33" spans="1:7">
      <c r="A33" t="str">
        <f t="shared" si="12"/>
        <v>logon_OKTA2</v>
      </c>
      <c r="B33" t="str">
        <f t="shared" si="13"/>
        <v>list</v>
      </c>
      <c r="C33" t="s">
        <v>16</v>
      </c>
      <c r="D33" s="1" t="s">
        <v>107</v>
      </c>
      <c r="E33" t="s">
        <v>342</v>
      </c>
      <c r="G33" s="1" t="s">
        <v>343</v>
      </c>
    </row>
    <row r="34" spans="1:7">
      <c r="A34" t="str">
        <f t="shared" si="12"/>
        <v>logon_OKTA2</v>
      </c>
      <c r="B34" t="str">
        <f t="shared" si="13"/>
        <v>list</v>
      </c>
      <c r="D34" s="1"/>
      <c r="E34" t="s">
        <v>22</v>
      </c>
      <c r="G34" s="1" t="s">
        <v>105</v>
      </c>
    </row>
    <row r="35" spans="1:7">
      <c r="A35" t="str">
        <f t="shared" si="12"/>
        <v>logon_OKTA2</v>
      </c>
      <c r="B35" t="str">
        <f t="shared" si="13"/>
        <v>list</v>
      </c>
      <c r="E35" t="s">
        <v>34</v>
      </c>
      <c r="G35" t="s">
        <v>106</v>
      </c>
    </row>
    <row r="36" spans="1:7">
      <c r="A36" t="str">
        <f t="shared" si="12"/>
        <v>logon_OKTA2</v>
      </c>
      <c r="B36" t="str">
        <f t="shared" si="13"/>
        <v>list</v>
      </c>
      <c r="E36" t="s">
        <v>39</v>
      </c>
      <c r="G36" t="s">
        <v>38</v>
      </c>
    </row>
    <row r="37" spans="1:7">
      <c r="A37" t="str">
        <f t="shared" si="12"/>
        <v>logon_OKTA2</v>
      </c>
      <c r="B37" t="str">
        <f t="shared" si="13"/>
        <v>list</v>
      </c>
      <c r="E37" t="s">
        <v>7</v>
      </c>
      <c r="G37" t="s">
        <v>110</v>
      </c>
    </row>
    <row r="38" spans="1:7">
      <c r="A38" t="str">
        <f t="shared" si="12"/>
        <v>logon_OKTA2</v>
      </c>
      <c r="B38" t="str">
        <f t="shared" si="13"/>
        <v>list</v>
      </c>
      <c r="E38" t="s">
        <v>344</v>
      </c>
      <c r="G38" t="s">
        <v>111</v>
      </c>
    </row>
    <row r="39" spans="1:7">
      <c r="A39" t="str">
        <f t="shared" si="12"/>
        <v/>
      </c>
      <c r="B39" t="str">
        <f t="shared" si="13"/>
        <v/>
      </c>
    </row>
    <row r="40" spans="1:7">
      <c r="A40" t="str">
        <f t="shared" si="12"/>
        <v>ifBlockCode</v>
      </c>
      <c r="B40" t="str">
        <f t="shared" si="13"/>
        <v>list</v>
      </c>
      <c r="C40" t="s">
        <v>16</v>
      </c>
      <c r="D40" t="s">
        <v>26</v>
      </c>
      <c r="E40" t="s">
        <v>37</v>
      </c>
    </row>
    <row r="41" spans="1:7">
      <c r="A41" t="str">
        <f t="shared" si="12"/>
        <v/>
      </c>
      <c r="B41" t="str">
        <f t="shared" si="13"/>
        <v/>
      </c>
    </row>
    <row r="42" spans="1:7">
      <c r="A42" t="str">
        <f t="shared" si="12"/>
        <v>logon_DCLICK</v>
      </c>
      <c r="B42" t="str">
        <f t="shared" si="13"/>
        <v>list</v>
      </c>
      <c r="C42" t="s">
        <v>16</v>
      </c>
      <c r="D42" s="3" t="s">
        <v>95</v>
      </c>
      <c r="E42" t="s">
        <v>94</v>
      </c>
    </row>
    <row r="43" spans="1:7">
      <c r="A43" t="str">
        <f t="shared" si="12"/>
        <v>logon_DCLICK</v>
      </c>
      <c r="B43" t="str">
        <f t="shared" si="13"/>
        <v>list</v>
      </c>
      <c r="E43" t="s">
        <v>1</v>
      </c>
    </row>
    <row r="44" spans="1:7">
      <c r="A44" t="str">
        <f t="shared" si="12"/>
        <v>logon_DCLICK</v>
      </c>
      <c r="B44" t="str">
        <f t="shared" si="13"/>
        <v>list</v>
      </c>
      <c r="E44" t="s">
        <v>338</v>
      </c>
      <c r="G44" t="s">
        <v>104</v>
      </c>
    </row>
    <row r="45" spans="1:7">
      <c r="A45" t="str">
        <f t="shared" si="12"/>
        <v>logon_DCLICK</v>
      </c>
      <c r="B45" t="str">
        <f t="shared" si="13"/>
        <v>list</v>
      </c>
      <c r="E45" t="s">
        <v>114</v>
      </c>
    </row>
    <row r="46" spans="1:7">
      <c r="A46" t="str">
        <f t="shared" si="12"/>
        <v>logon_DCLICK2</v>
      </c>
      <c r="B46" t="str">
        <f t="shared" si="13"/>
        <v>list</v>
      </c>
      <c r="C46" t="s">
        <v>16</v>
      </c>
      <c r="D46" t="s">
        <v>114</v>
      </c>
      <c r="E46" t="s">
        <v>345</v>
      </c>
      <c r="G46" t="s">
        <v>115</v>
      </c>
    </row>
    <row r="47" spans="1:7">
      <c r="A47" t="str">
        <f t="shared" si="12"/>
        <v/>
      </c>
      <c r="B47" t="str">
        <f t="shared" si="13"/>
        <v/>
      </c>
    </row>
    <row r="48" spans="1:7">
      <c r="A48" t="str">
        <f t="shared" si="12"/>
        <v>openPages</v>
      </c>
      <c r="B48" t="str">
        <f t="shared" si="13"/>
        <v>list</v>
      </c>
      <c r="C48" t="s">
        <v>16</v>
      </c>
      <c r="D48" s="3" t="s">
        <v>32</v>
      </c>
      <c r="E48" t="s">
        <v>33</v>
      </c>
    </row>
    <row r="49" spans="1:7">
      <c r="A49" t="str">
        <f t="shared" si="12"/>
        <v>openPages</v>
      </c>
      <c r="B49" t="str">
        <f t="shared" si="13"/>
        <v>list</v>
      </c>
      <c r="E49" t="s">
        <v>29</v>
      </c>
      <c r="G49" t="s">
        <v>117</v>
      </c>
    </row>
    <row r="50" spans="1:7">
      <c r="A50" t="str">
        <f t="shared" si="12"/>
        <v>openPages</v>
      </c>
      <c r="B50" t="str">
        <f t="shared" si="13"/>
        <v>list</v>
      </c>
      <c r="E50" t="s">
        <v>118</v>
      </c>
    </row>
    <row r="51" spans="1:7">
      <c r="A51" t="str">
        <f t="shared" si="12"/>
        <v>openPages2</v>
      </c>
      <c r="B51" t="str">
        <f t="shared" si="13"/>
        <v>list</v>
      </c>
      <c r="C51" t="s">
        <v>16</v>
      </c>
      <c r="D51" t="s">
        <v>118</v>
      </c>
      <c r="E51" t="s">
        <v>346</v>
      </c>
    </row>
    <row r="52" spans="1:7">
      <c r="A52" t="str">
        <f t="shared" si="12"/>
        <v>openPages2</v>
      </c>
      <c r="B52" t="str">
        <f t="shared" si="13"/>
        <v>list</v>
      </c>
      <c r="E52" t="s">
        <v>122</v>
      </c>
    </row>
    <row r="53" spans="1:7">
      <c r="A53" t="str">
        <f t="shared" si="12"/>
        <v>openPages2</v>
      </c>
      <c r="B53" t="str">
        <f t="shared" si="13"/>
        <v>list</v>
      </c>
      <c r="E53" t="s">
        <v>57</v>
      </c>
    </row>
    <row r="54" spans="1:7">
      <c r="A54" t="str">
        <f t="shared" si="12"/>
        <v>openPages2</v>
      </c>
      <c r="B54" t="str">
        <f t="shared" si="13"/>
        <v>list</v>
      </c>
      <c r="E54" t="s">
        <v>56</v>
      </c>
    </row>
    <row r="55" spans="1:7">
      <c r="A55" t="str">
        <f t="shared" si="12"/>
        <v>openPages2</v>
      </c>
      <c r="B55" t="str">
        <f t="shared" si="13"/>
        <v>list</v>
      </c>
      <c r="E55" t="s">
        <v>17</v>
      </c>
    </row>
    <row r="56" spans="1:7">
      <c r="A56" t="str">
        <f t="shared" si="12"/>
        <v>openPages2</v>
      </c>
      <c r="B56" t="str">
        <f t="shared" si="13"/>
        <v>list</v>
      </c>
      <c r="E56" t="s">
        <v>367</v>
      </c>
      <c r="G56" t="s">
        <v>64</v>
      </c>
    </row>
    <row r="57" spans="1:7">
      <c r="A57" t="str">
        <f t="shared" si="12"/>
        <v>openPages2</v>
      </c>
      <c r="B57" t="str">
        <f t="shared" si="13"/>
        <v>list</v>
      </c>
      <c r="E57" t="s">
        <v>58</v>
      </c>
    </row>
    <row r="58" spans="1:7">
      <c r="A58" t="str">
        <f t="shared" si="12"/>
        <v>openPages2</v>
      </c>
      <c r="B58" t="str">
        <f t="shared" si="13"/>
        <v>list</v>
      </c>
      <c r="E58" t="s">
        <v>17</v>
      </c>
    </row>
    <row r="59" spans="1:7">
      <c r="A59" t="str">
        <f t="shared" si="12"/>
        <v>openPages2</v>
      </c>
      <c r="B59" t="str">
        <f t="shared" si="13"/>
        <v>list</v>
      </c>
      <c r="E59" t="s">
        <v>368</v>
      </c>
    </row>
    <row r="60" spans="1:7">
      <c r="A60" t="str">
        <f t="shared" si="12"/>
        <v/>
      </c>
      <c r="B60" t="str">
        <f t="shared" si="13"/>
        <v/>
      </c>
    </row>
    <row r="61" spans="1:7">
      <c r="A61" t="str">
        <f t="shared" si="12"/>
        <v>CheckIfTouchOff</v>
      </c>
      <c r="B61" t="str">
        <f t="shared" si="13"/>
        <v>list</v>
      </c>
      <c r="C61" t="s">
        <v>16</v>
      </c>
      <c r="D61" t="s">
        <v>122</v>
      </c>
      <c r="E61" t="s">
        <v>347</v>
      </c>
      <c r="G61" t="s">
        <v>126</v>
      </c>
    </row>
    <row r="62" spans="1:7">
      <c r="A62" t="str">
        <f t="shared" si="12"/>
        <v>CheckIfTouchOff</v>
      </c>
      <c r="B62" t="str">
        <f t="shared" si="13"/>
        <v>list</v>
      </c>
      <c r="E62" t="s">
        <v>348</v>
      </c>
      <c r="G62" t="s">
        <v>127</v>
      </c>
    </row>
    <row r="63" spans="1:7">
      <c r="A63" t="str">
        <f t="shared" si="12"/>
        <v>disableTouchOn</v>
      </c>
      <c r="B63" t="str">
        <f t="shared" si="13"/>
        <v>list</v>
      </c>
      <c r="C63" t="s">
        <v>16</v>
      </c>
      <c r="D63" t="s">
        <v>124</v>
      </c>
      <c r="E63" t="s">
        <v>349</v>
      </c>
      <c r="G63" t="s">
        <v>128</v>
      </c>
    </row>
    <row r="64" spans="1:7">
      <c r="A64" t="str">
        <f t="shared" si="12"/>
        <v>disableTouchOn</v>
      </c>
      <c r="B64" t="str">
        <f t="shared" si="13"/>
        <v>list</v>
      </c>
      <c r="E64" t="s">
        <v>2</v>
      </c>
    </row>
    <row r="65" spans="1:7">
      <c r="A65" t="str">
        <f t="shared" si="12"/>
        <v>disableTouchOn</v>
      </c>
      <c r="B65" t="str">
        <f t="shared" si="13"/>
        <v>list</v>
      </c>
      <c r="E65" t="s">
        <v>129</v>
      </c>
    </row>
    <row r="66" spans="1:7">
      <c r="A66" t="str">
        <f t="shared" si="12"/>
        <v>disableTouchOn</v>
      </c>
      <c r="B66" t="str">
        <f t="shared" si="13"/>
        <v>list</v>
      </c>
      <c r="E66" t="s">
        <v>120</v>
      </c>
      <c r="G66" t="s">
        <v>131</v>
      </c>
    </row>
    <row r="67" spans="1:7">
      <c r="A67" t="str">
        <f t="shared" si="12"/>
        <v>disableTouchOn</v>
      </c>
      <c r="B67" t="str">
        <f t="shared" si="13"/>
        <v>list</v>
      </c>
      <c r="E67" t="s">
        <v>121</v>
      </c>
      <c r="G67" t="s">
        <v>132</v>
      </c>
    </row>
    <row r="68" spans="1:7">
      <c r="A68" t="str">
        <f t="shared" si="12"/>
        <v>disableTouchOn</v>
      </c>
      <c r="B68" t="str">
        <f t="shared" si="13"/>
        <v>list</v>
      </c>
      <c r="E68" t="s">
        <v>350</v>
      </c>
      <c r="G68" t="s">
        <v>133</v>
      </c>
    </row>
    <row r="69" spans="1:7">
      <c r="A69" t="str">
        <f t="shared" si="12"/>
        <v>exitProgram</v>
      </c>
      <c r="B69" t="str">
        <f t="shared" si="13"/>
        <v>list</v>
      </c>
      <c r="C69" t="s">
        <v>16</v>
      </c>
      <c r="D69" t="s">
        <v>134</v>
      </c>
      <c r="E69" t="s">
        <v>27</v>
      </c>
    </row>
    <row r="70" spans="1:7">
      <c r="A70" t="str">
        <f t="shared" si="12"/>
        <v/>
      </c>
      <c r="B70" t="str">
        <f t="shared" si="13"/>
        <v/>
      </c>
    </row>
    <row r="71" spans="1:7">
      <c r="A71" t="str">
        <f t="shared" si="12"/>
        <v>clkCurrent</v>
      </c>
      <c r="B71" t="str">
        <f t="shared" si="13"/>
        <v>list</v>
      </c>
      <c r="C71" t="s">
        <v>16</v>
      </c>
      <c r="D71" t="s">
        <v>57</v>
      </c>
      <c r="E71" t="s">
        <v>61</v>
      </c>
      <c r="G71" t="s">
        <v>99</v>
      </c>
    </row>
    <row r="72" spans="1:7">
      <c r="A72" t="str">
        <f t="shared" si="12"/>
        <v>clkNetSales</v>
      </c>
      <c r="B72" t="str">
        <f t="shared" si="13"/>
        <v>list</v>
      </c>
      <c r="C72" t="s">
        <v>16</v>
      </c>
      <c r="D72" t="s">
        <v>56</v>
      </c>
      <c r="E72" t="s">
        <v>60</v>
      </c>
      <c r="G72" t="s">
        <v>100</v>
      </c>
    </row>
    <row r="73" spans="1:7">
      <c r="A73" t="str">
        <f t="shared" si="12"/>
        <v>clkUnits</v>
      </c>
      <c r="B73" t="str">
        <f t="shared" si="13"/>
        <v>list</v>
      </c>
      <c r="C73" t="s">
        <v>16</v>
      </c>
      <c r="D73" t="s">
        <v>58</v>
      </c>
      <c r="E73" t="s">
        <v>59</v>
      </c>
      <c r="G73" t="s">
        <v>101</v>
      </c>
    </row>
    <row r="74" spans="1:7">
      <c r="A74" t="str">
        <f t="shared" ref="A74:A82" si="14">IF(D74="",IF(E74="","",A73),D74)</f>
        <v>rclkValues</v>
      </c>
      <c r="B74" t="str">
        <f t="shared" ref="B74:B82" si="15">IF(C74="",IF(E74="","",B73),C74)</f>
        <v>list</v>
      </c>
      <c r="C74" t="s">
        <v>16</v>
      </c>
      <c r="D74" t="s">
        <v>63</v>
      </c>
      <c r="E74" t="s">
        <v>341</v>
      </c>
      <c r="G74" t="s">
        <v>102</v>
      </c>
    </row>
    <row r="75" spans="1:7">
      <c r="A75" t="str">
        <f t="shared" si="14"/>
        <v/>
      </c>
      <c r="B75" t="str">
        <f t="shared" si="15"/>
        <v/>
      </c>
    </row>
    <row r="76" spans="1:7">
      <c r="A76" t="str">
        <f t="shared" si="14"/>
        <v>DownloadImage</v>
      </c>
      <c r="B76" t="str">
        <f t="shared" si="15"/>
        <v>list</v>
      </c>
      <c r="C76" t="s">
        <v>16</v>
      </c>
      <c r="D76" t="s">
        <v>17</v>
      </c>
      <c r="E76" t="s">
        <v>339</v>
      </c>
      <c r="G76" t="s">
        <v>143</v>
      </c>
    </row>
    <row r="77" spans="1:7">
      <c r="E77" t="s">
        <v>351</v>
      </c>
    </row>
    <row r="78" spans="1:7">
      <c r="A78" t="str">
        <f>IF(D78="",IF(E78="","",A76),D78)</f>
        <v>DownloadImage</v>
      </c>
      <c r="B78" t="str">
        <f>IF(C78="",IF(E78="","",B76),C78)</f>
        <v>list</v>
      </c>
      <c r="E78" t="s">
        <v>63</v>
      </c>
      <c r="G78" t="s">
        <v>144</v>
      </c>
    </row>
    <row r="79" spans="1:7">
      <c r="A79" t="str">
        <f t="shared" si="14"/>
        <v>DownloadImage</v>
      </c>
      <c r="B79" t="str">
        <f t="shared" si="15"/>
        <v>list</v>
      </c>
      <c r="E79" t="s">
        <v>138</v>
      </c>
    </row>
    <row r="80" spans="1:7">
      <c r="A80" t="str">
        <f t="shared" si="14"/>
        <v>DownloadImage2</v>
      </c>
      <c r="B80" t="str">
        <f t="shared" si="15"/>
        <v>list</v>
      </c>
      <c r="C80" t="s">
        <v>16</v>
      </c>
      <c r="D80" t="s">
        <v>138</v>
      </c>
      <c r="E80" t="s">
        <v>352</v>
      </c>
    </row>
    <row r="81" spans="1:7">
      <c r="A81" t="str">
        <f t="shared" si="14"/>
        <v>DownloadImage2</v>
      </c>
      <c r="B81" t="str">
        <f t="shared" si="15"/>
        <v>list</v>
      </c>
      <c r="E81" t="s">
        <v>3</v>
      </c>
      <c r="G81" t="s">
        <v>97</v>
      </c>
    </row>
    <row r="82" spans="1:7">
      <c r="A82" t="str">
        <f t="shared" si="14"/>
        <v>DownloadImage2</v>
      </c>
      <c r="B82" t="str">
        <f t="shared" si="15"/>
        <v>list</v>
      </c>
      <c r="E82" t="s">
        <v>353</v>
      </c>
      <c r="G82" t="s">
        <v>354</v>
      </c>
    </row>
    <row r="83" spans="1:7">
      <c r="A83" t="str">
        <f t="shared" ref="A83:A141" si="16">IF(D83="",IF(E83="","",A82),D83)</f>
        <v>DownloadImage2</v>
      </c>
      <c r="B83" t="str">
        <f t="shared" ref="B83:B141" si="17">IF(C83="",IF(E83="","",B82),C83)</f>
        <v>list</v>
      </c>
      <c r="E83" t="s">
        <v>4</v>
      </c>
      <c r="G83" t="s">
        <v>96</v>
      </c>
    </row>
    <row r="84" spans="1:7">
      <c r="A84" t="str">
        <f t="shared" ref="A84:A97" si="18">IF(D84="",IF(E84="","",A83),D84)</f>
        <v>DownloadImage2</v>
      </c>
      <c r="B84" t="str">
        <f t="shared" ref="B84:B97" si="19">IF(C84="",IF(E84="","",B83),C84)</f>
        <v>list</v>
      </c>
      <c r="E84" t="s">
        <v>355</v>
      </c>
    </row>
    <row r="85" spans="1:7">
      <c r="A85" t="str">
        <f t="shared" si="18"/>
        <v>DownloadImage2</v>
      </c>
      <c r="B85" t="str">
        <f t="shared" si="19"/>
        <v>list</v>
      </c>
      <c r="E85" t="s">
        <v>5</v>
      </c>
    </row>
    <row r="86" spans="1:7">
      <c r="A86" t="str">
        <f t="shared" si="18"/>
        <v>DownloadImage2</v>
      </c>
      <c r="B86" t="str">
        <f t="shared" si="19"/>
        <v>list</v>
      </c>
      <c r="E86" t="s">
        <v>356</v>
      </c>
    </row>
    <row r="87" spans="1:7">
      <c r="A87" t="str">
        <f t="shared" si="18"/>
        <v>DownloadImage2</v>
      </c>
      <c r="B87" t="str">
        <f t="shared" si="19"/>
        <v>list</v>
      </c>
      <c r="E87" t="s">
        <v>6</v>
      </c>
    </row>
    <row r="88" spans="1:7">
      <c r="A88" t="str">
        <f t="shared" si="18"/>
        <v>DownloadImage2</v>
      </c>
      <c r="B88" t="str">
        <f t="shared" si="19"/>
        <v>list</v>
      </c>
      <c r="E88" t="s">
        <v>24</v>
      </c>
      <c r="G88" t="s">
        <v>146</v>
      </c>
    </row>
    <row r="89" spans="1:7">
      <c r="A89" t="str">
        <f t="shared" si="18"/>
        <v>DownloadImage2</v>
      </c>
      <c r="B89" t="str">
        <f t="shared" si="19"/>
        <v>list</v>
      </c>
      <c r="E89" t="s">
        <v>340</v>
      </c>
      <c r="G89" t="s">
        <v>145</v>
      </c>
    </row>
    <row r="90" spans="1:7">
      <c r="A90" t="str">
        <f t="shared" si="18"/>
        <v>DownloadImage2</v>
      </c>
      <c r="B90" t="str">
        <f t="shared" si="19"/>
        <v>list</v>
      </c>
      <c r="E90" t="s">
        <v>65</v>
      </c>
      <c r="G90" t="s">
        <v>137</v>
      </c>
    </row>
    <row r="91" spans="1:7">
      <c r="A91" t="str">
        <f t="shared" si="18"/>
        <v/>
      </c>
      <c r="B91" t="str">
        <f t="shared" si="19"/>
        <v/>
      </c>
    </row>
    <row r="92" spans="1:7">
      <c r="A92" t="str">
        <f t="shared" si="18"/>
        <v>imagelist</v>
      </c>
      <c r="B92" t="str">
        <f t="shared" si="19"/>
        <v>list</v>
      </c>
      <c r="C92" t="s">
        <v>16</v>
      </c>
      <c r="D92" t="s">
        <v>66</v>
      </c>
      <c r="E92" t="s">
        <v>84</v>
      </c>
      <c r="G92" t="s">
        <v>136</v>
      </c>
    </row>
    <row r="93" spans="1:7">
      <c r="A93" t="str">
        <f t="shared" si="18"/>
        <v>imagelist</v>
      </c>
      <c r="B93" t="str">
        <f t="shared" si="19"/>
        <v>list</v>
      </c>
      <c r="E93" t="s">
        <v>91</v>
      </c>
    </row>
    <row r="94" spans="1:7">
      <c r="A94" t="str">
        <f t="shared" si="18"/>
        <v>imagelist</v>
      </c>
      <c r="B94" t="str">
        <f t="shared" si="19"/>
        <v>list</v>
      </c>
      <c r="E94" t="s">
        <v>76</v>
      </c>
    </row>
    <row r="95" spans="1:7">
      <c r="A95" t="str">
        <f t="shared" si="18"/>
        <v>imagelist</v>
      </c>
      <c r="B95" t="str">
        <f t="shared" si="19"/>
        <v>list</v>
      </c>
      <c r="E95" t="s">
        <v>77</v>
      </c>
    </row>
    <row r="96" spans="1:7">
      <c r="A96" t="str">
        <f t="shared" si="18"/>
        <v>imagelist</v>
      </c>
      <c r="B96" t="str">
        <f t="shared" si="19"/>
        <v>list</v>
      </c>
      <c r="E96" t="s">
        <v>78</v>
      </c>
    </row>
    <row r="97" spans="1:5">
      <c r="A97" t="str">
        <f t="shared" si="18"/>
        <v>imagelist</v>
      </c>
      <c r="B97" t="str">
        <f t="shared" si="19"/>
        <v>list</v>
      </c>
      <c r="E97" t="s">
        <v>85</v>
      </c>
    </row>
    <row r="98" spans="1:5">
      <c r="A98" t="str">
        <f t="shared" si="16"/>
        <v>imagelist</v>
      </c>
      <c r="B98" t="str">
        <f t="shared" si="17"/>
        <v>list</v>
      </c>
      <c r="E98" t="s">
        <v>79</v>
      </c>
    </row>
    <row r="99" spans="1:5">
      <c r="A99" t="str">
        <f t="shared" si="16"/>
        <v>imagelist</v>
      </c>
      <c r="B99" t="str">
        <f t="shared" si="17"/>
        <v>list</v>
      </c>
      <c r="E99" t="s">
        <v>86</v>
      </c>
    </row>
    <row r="100" spans="1:5">
      <c r="A100" t="str">
        <f t="shared" si="16"/>
        <v>imagelist</v>
      </c>
      <c r="B100" t="str">
        <f t="shared" si="17"/>
        <v>list</v>
      </c>
      <c r="E100" t="s">
        <v>80</v>
      </c>
    </row>
    <row r="101" spans="1:5">
      <c r="A101" t="str">
        <f t="shared" si="16"/>
        <v>imagelist</v>
      </c>
      <c r="B101" t="str">
        <f t="shared" si="17"/>
        <v>list</v>
      </c>
      <c r="E101" t="s">
        <v>87</v>
      </c>
    </row>
    <row r="102" spans="1:5">
      <c r="A102" t="str">
        <f t="shared" si="16"/>
        <v>imagelist</v>
      </c>
      <c r="B102" t="str">
        <f t="shared" si="17"/>
        <v>list</v>
      </c>
      <c r="E102" t="s">
        <v>81</v>
      </c>
    </row>
    <row r="103" spans="1:5">
      <c r="A103" t="str">
        <f t="shared" si="16"/>
        <v>imagelist</v>
      </c>
      <c r="B103" t="str">
        <f t="shared" si="17"/>
        <v>list</v>
      </c>
      <c r="E103" t="s">
        <v>88</v>
      </c>
    </row>
    <row r="104" spans="1:5">
      <c r="A104" t="str">
        <f t="shared" si="16"/>
        <v>imagelist</v>
      </c>
      <c r="B104" t="str">
        <f t="shared" si="17"/>
        <v>list</v>
      </c>
      <c r="E104" t="s">
        <v>82</v>
      </c>
    </row>
    <row r="105" spans="1:5">
      <c r="A105" t="str">
        <f t="shared" si="16"/>
        <v>imagelist</v>
      </c>
      <c r="B105" t="str">
        <f t="shared" si="17"/>
        <v>list</v>
      </c>
      <c r="E105" t="s">
        <v>89</v>
      </c>
    </row>
    <row r="106" spans="1:5">
      <c r="A106" t="str">
        <f t="shared" si="16"/>
        <v>imagelist</v>
      </c>
      <c r="B106" t="str">
        <f t="shared" si="17"/>
        <v>list</v>
      </c>
      <c r="E106" t="s">
        <v>83</v>
      </c>
    </row>
    <row r="107" spans="1:5">
      <c r="A107" t="str">
        <f t="shared" si="16"/>
        <v>imagelist</v>
      </c>
      <c r="B107" t="str">
        <f t="shared" si="17"/>
        <v>list</v>
      </c>
      <c r="E107" t="s">
        <v>90</v>
      </c>
    </row>
    <row r="108" spans="1:5">
      <c r="A108" t="str">
        <f t="shared" si="16"/>
        <v/>
      </c>
      <c r="B108" t="str">
        <f t="shared" si="17"/>
        <v/>
      </c>
    </row>
    <row r="109" spans="1:5">
      <c r="A109" t="str">
        <f t="shared" si="16"/>
        <v/>
      </c>
      <c r="B109" t="str">
        <f t="shared" si="17"/>
        <v/>
      </c>
    </row>
    <row r="110" spans="1:5">
      <c r="A110" t="str">
        <f t="shared" si="16"/>
        <v>pageTitles</v>
      </c>
      <c r="B110" t="str">
        <f t="shared" si="17"/>
        <v>list</v>
      </c>
      <c r="C110" t="s">
        <v>16</v>
      </c>
      <c r="D110" t="s">
        <v>67</v>
      </c>
      <c r="E110" t="s">
        <v>68</v>
      </c>
    </row>
    <row r="111" spans="1:5">
      <c r="A111" t="str">
        <f t="shared" si="16"/>
        <v>pageTitles</v>
      </c>
      <c r="B111" t="str">
        <f t="shared" si="17"/>
        <v>list</v>
      </c>
      <c r="E111" t="s">
        <v>69</v>
      </c>
    </row>
    <row r="112" spans="1:5">
      <c r="A112" t="str">
        <f t="shared" si="16"/>
        <v/>
      </c>
      <c r="B112" t="str">
        <f t="shared" si="17"/>
        <v/>
      </c>
    </row>
    <row r="113" spans="1:7">
      <c r="A113" t="str">
        <f t="shared" si="16"/>
        <v>globalParameters</v>
      </c>
      <c r="B113" t="str">
        <f t="shared" si="17"/>
        <v>key</v>
      </c>
      <c r="C113" t="s">
        <v>15</v>
      </c>
      <c r="D113" t="s">
        <v>35</v>
      </c>
      <c r="E113" t="s">
        <v>36</v>
      </c>
      <c r="F113" t="b">
        <v>0</v>
      </c>
    </row>
    <row r="114" spans="1:7">
      <c r="A114" t="str">
        <f t="shared" si="16"/>
        <v/>
      </c>
      <c r="B114" t="str">
        <f t="shared" si="17"/>
        <v/>
      </c>
    </row>
    <row r="115" spans="1:7">
      <c r="A115" t="str">
        <f t="shared" si="16"/>
        <v>main_temp</v>
      </c>
      <c r="B115" t="str">
        <f t="shared" si="17"/>
        <v>list</v>
      </c>
      <c r="C115" t="s">
        <v>16</v>
      </c>
      <c r="D115" t="s">
        <v>70</v>
      </c>
      <c r="E115" t="s">
        <v>30</v>
      </c>
    </row>
    <row r="116" spans="1:7">
      <c r="A116" t="str">
        <f t="shared" si="16"/>
        <v>main_temp</v>
      </c>
      <c r="B116" t="str">
        <f t="shared" si="17"/>
        <v>list</v>
      </c>
      <c r="E116" t="s">
        <v>72</v>
      </c>
      <c r="G116" t="s">
        <v>71</v>
      </c>
    </row>
    <row r="117" spans="1:7">
      <c r="A117" t="str">
        <f t="shared" si="16"/>
        <v>main_temp</v>
      </c>
      <c r="B117" t="str">
        <f t="shared" si="17"/>
        <v>list</v>
      </c>
      <c r="E117" t="s">
        <v>73</v>
      </c>
    </row>
    <row r="118" spans="1:7">
      <c r="A118" t="str">
        <f t="shared" si="16"/>
        <v/>
      </c>
      <c r="B118" t="str">
        <f t="shared" si="17"/>
        <v/>
      </c>
    </row>
    <row r="119" spans="1:7">
      <c r="A119" t="str">
        <f t="shared" si="16"/>
        <v/>
      </c>
      <c r="B119" t="str">
        <f t="shared" si="17"/>
        <v/>
      </c>
    </row>
    <row r="120" spans="1:7">
      <c r="A120" t="str">
        <f t="shared" si="16"/>
        <v/>
      </c>
      <c r="B120" t="str">
        <f t="shared" si="17"/>
        <v/>
      </c>
    </row>
    <row r="121" spans="1:7">
      <c r="A121" t="str">
        <f t="shared" si="16"/>
        <v/>
      </c>
      <c r="B121" t="str">
        <f t="shared" si="17"/>
        <v/>
      </c>
    </row>
    <row r="122" spans="1:7">
      <c r="A122" t="str">
        <f t="shared" si="16"/>
        <v/>
      </c>
      <c r="B122" t="str">
        <f t="shared" si="17"/>
        <v/>
      </c>
    </row>
    <row r="123" spans="1:7">
      <c r="A123" t="str">
        <f t="shared" si="16"/>
        <v/>
      </c>
      <c r="B123" t="str">
        <f t="shared" si="17"/>
        <v/>
      </c>
    </row>
    <row r="124" spans="1:7">
      <c r="A124" t="str">
        <f t="shared" si="16"/>
        <v/>
      </c>
      <c r="B124" t="str">
        <f t="shared" si="17"/>
        <v/>
      </c>
    </row>
    <row r="125" spans="1:7">
      <c r="A125" t="str">
        <f t="shared" si="16"/>
        <v/>
      </c>
      <c r="B125" t="str">
        <f t="shared" si="17"/>
        <v/>
      </c>
    </row>
    <row r="126" spans="1:7">
      <c r="A126" t="str">
        <f t="shared" si="16"/>
        <v/>
      </c>
      <c r="B126" t="str">
        <f t="shared" si="17"/>
        <v/>
      </c>
    </row>
    <row r="127" spans="1:7">
      <c r="A127" t="str">
        <f t="shared" si="16"/>
        <v/>
      </c>
      <c r="B127" t="str">
        <f t="shared" si="17"/>
        <v/>
      </c>
    </row>
    <row r="128" spans="1:7">
      <c r="A128" t="str">
        <f t="shared" si="16"/>
        <v/>
      </c>
      <c r="B128" t="str">
        <f t="shared" si="17"/>
        <v/>
      </c>
    </row>
    <row r="129" spans="1:2">
      <c r="A129" t="str">
        <f t="shared" si="16"/>
        <v/>
      </c>
      <c r="B129" t="str">
        <f t="shared" si="17"/>
        <v/>
      </c>
    </row>
    <row r="130" spans="1:2">
      <c r="A130" t="str">
        <f t="shared" si="16"/>
        <v/>
      </c>
      <c r="B130" t="str">
        <f t="shared" si="17"/>
        <v/>
      </c>
    </row>
    <row r="131" spans="1:2">
      <c r="A131" t="str">
        <f t="shared" si="16"/>
        <v/>
      </c>
      <c r="B131" t="str">
        <f t="shared" si="17"/>
        <v/>
      </c>
    </row>
    <row r="132" spans="1:2">
      <c r="A132" t="str">
        <f t="shared" si="16"/>
        <v/>
      </c>
      <c r="B132" t="str">
        <f t="shared" si="17"/>
        <v/>
      </c>
    </row>
    <row r="133" spans="1:2">
      <c r="A133" t="str">
        <f t="shared" si="16"/>
        <v/>
      </c>
      <c r="B133" t="str">
        <f t="shared" si="17"/>
        <v/>
      </c>
    </row>
    <row r="134" spans="1:2">
      <c r="A134" t="str">
        <f t="shared" si="16"/>
        <v/>
      </c>
      <c r="B134" t="str">
        <f t="shared" si="17"/>
        <v/>
      </c>
    </row>
    <row r="135" spans="1:2">
      <c r="A135" t="str">
        <f t="shared" si="16"/>
        <v/>
      </c>
      <c r="B135" t="str">
        <f t="shared" si="17"/>
        <v/>
      </c>
    </row>
    <row r="136" spans="1:2">
      <c r="A136" t="str">
        <f t="shared" si="16"/>
        <v/>
      </c>
      <c r="B136" t="str">
        <f t="shared" si="17"/>
        <v/>
      </c>
    </row>
    <row r="137" spans="1:2">
      <c r="A137" t="str">
        <f t="shared" si="16"/>
        <v/>
      </c>
      <c r="B137" t="str">
        <f t="shared" si="17"/>
        <v/>
      </c>
    </row>
    <row r="138" spans="1:2">
      <c r="A138" t="str">
        <f t="shared" si="16"/>
        <v/>
      </c>
      <c r="B138" t="str">
        <f t="shared" si="17"/>
        <v/>
      </c>
    </row>
    <row r="139" spans="1:2">
      <c r="A139" t="str">
        <f t="shared" si="16"/>
        <v/>
      </c>
      <c r="B139" t="str">
        <f t="shared" si="17"/>
        <v/>
      </c>
    </row>
    <row r="140" spans="1:2">
      <c r="A140" t="str">
        <f t="shared" si="16"/>
        <v/>
      </c>
      <c r="B140" t="str">
        <f t="shared" si="17"/>
        <v/>
      </c>
    </row>
    <row r="141" spans="1:2">
      <c r="A141" t="str">
        <f t="shared" si="16"/>
        <v/>
      </c>
      <c r="B141" t="str">
        <f t="shared" si="17"/>
        <v/>
      </c>
    </row>
    <row r="142" spans="1:2">
      <c r="A142" t="str">
        <f t="shared" ref="A142:A181" si="20">IF(D142="",IF(E142="","",A141),D142)</f>
        <v/>
      </c>
      <c r="B142" t="str">
        <f t="shared" ref="B142:B181" si="21">IF(C142="",IF(E142="","",B141),C142)</f>
        <v/>
      </c>
    </row>
    <row r="143" spans="1:2">
      <c r="A143" t="str">
        <f t="shared" si="20"/>
        <v/>
      </c>
      <c r="B143" t="str">
        <f t="shared" si="21"/>
        <v/>
      </c>
    </row>
    <row r="144" spans="1:2">
      <c r="A144" t="str">
        <f t="shared" si="20"/>
        <v/>
      </c>
      <c r="B144" t="str">
        <f t="shared" si="21"/>
        <v/>
      </c>
    </row>
    <row r="145" spans="1:2">
      <c r="A145" t="str">
        <f t="shared" si="20"/>
        <v/>
      </c>
      <c r="B145" t="str">
        <f t="shared" si="21"/>
        <v/>
      </c>
    </row>
    <row r="146" spans="1:2">
      <c r="A146" t="str">
        <f t="shared" si="20"/>
        <v/>
      </c>
      <c r="B146" t="str">
        <f t="shared" si="21"/>
        <v/>
      </c>
    </row>
    <row r="147" spans="1:2">
      <c r="A147" t="str">
        <f t="shared" si="20"/>
        <v/>
      </c>
      <c r="B147" t="str">
        <f t="shared" si="21"/>
        <v/>
      </c>
    </row>
    <row r="148" spans="1:2">
      <c r="A148" t="str">
        <f t="shared" si="20"/>
        <v/>
      </c>
      <c r="B148" t="str">
        <f t="shared" si="21"/>
        <v/>
      </c>
    </row>
    <row r="149" spans="1:2">
      <c r="A149" t="str">
        <f t="shared" si="20"/>
        <v/>
      </c>
      <c r="B149" t="str">
        <f t="shared" si="21"/>
        <v/>
      </c>
    </row>
    <row r="150" spans="1:2">
      <c r="A150" t="str">
        <f t="shared" si="20"/>
        <v/>
      </c>
      <c r="B150" t="str">
        <f t="shared" si="21"/>
        <v/>
      </c>
    </row>
    <row r="151" spans="1:2">
      <c r="A151" t="str">
        <f t="shared" si="20"/>
        <v/>
      </c>
      <c r="B151" t="str">
        <f t="shared" si="21"/>
        <v/>
      </c>
    </row>
    <row r="152" spans="1:2">
      <c r="A152" t="str">
        <f t="shared" si="20"/>
        <v/>
      </c>
      <c r="B152" t="str">
        <f t="shared" si="21"/>
        <v/>
      </c>
    </row>
    <row r="153" spans="1:2">
      <c r="A153" t="str">
        <f t="shared" si="20"/>
        <v/>
      </c>
      <c r="B153" t="str">
        <f t="shared" si="21"/>
        <v/>
      </c>
    </row>
    <row r="154" spans="1:2">
      <c r="A154" t="str">
        <f t="shared" si="20"/>
        <v/>
      </c>
      <c r="B154" t="str">
        <f t="shared" si="21"/>
        <v/>
      </c>
    </row>
    <row r="155" spans="1:2">
      <c r="A155" t="str">
        <f t="shared" si="20"/>
        <v/>
      </c>
      <c r="B155" t="str">
        <f t="shared" si="21"/>
        <v/>
      </c>
    </row>
    <row r="156" spans="1:2">
      <c r="A156" t="str">
        <f t="shared" si="20"/>
        <v/>
      </c>
      <c r="B156" t="str">
        <f t="shared" si="21"/>
        <v/>
      </c>
    </row>
    <row r="157" spans="1:2">
      <c r="A157" t="str">
        <f t="shared" si="20"/>
        <v/>
      </c>
      <c r="B157" t="str">
        <f t="shared" si="21"/>
        <v/>
      </c>
    </row>
    <row r="158" spans="1:2">
      <c r="A158" t="str">
        <f t="shared" si="20"/>
        <v/>
      </c>
      <c r="B158" t="str">
        <f t="shared" si="21"/>
        <v/>
      </c>
    </row>
    <row r="159" spans="1:2">
      <c r="A159" t="str">
        <f t="shared" si="20"/>
        <v/>
      </c>
      <c r="B159" t="str">
        <f t="shared" si="21"/>
        <v/>
      </c>
    </row>
    <row r="160" spans="1:2">
      <c r="A160" t="str">
        <f t="shared" si="20"/>
        <v/>
      </c>
      <c r="B160" t="str">
        <f t="shared" si="21"/>
        <v/>
      </c>
    </row>
    <row r="161" spans="1:2">
      <c r="A161" t="str">
        <f t="shared" si="20"/>
        <v/>
      </c>
      <c r="B161" t="str">
        <f t="shared" si="21"/>
        <v/>
      </c>
    </row>
    <row r="162" spans="1:2">
      <c r="A162" t="str">
        <f t="shared" si="20"/>
        <v/>
      </c>
      <c r="B162" t="str">
        <f t="shared" si="21"/>
        <v/>
      </c>
    </row>
    <row r="163" spans="1:2">
      <c r="A163" t="str">
        <f t="shared" si="20"/>
        <v/>
      </c>
      <c r="B163" t="str">
        <f t="shared" si="21"/>
        <v/>
      </c>
    </row>
    <row r="164" spans="1:2">
      <c r="A164" t="str">
        <f t="shared" si="20"/>
        <v/>
      </c>
      <c r="B164" t="str">
        <f t="shared" si="21"/>
        <v/>
      </c>
    </row>
    <row r="165" spans="1:2">
      <c r="A165" t="str">
        <f t="shared" si="20"/>
        <v/>
      </c>
      <c r="B165" t="str">
        <f t="shared" si="21"/>
        <v/>
      </c>
    </row>
    <row r="166" spans="1:2">
      <c r="A166" t="str">
        <f t="shared" si="20"/>
        <v/>
      </c>
      <c r="B166" t="str">
        <f t="shared" si="21"/>
        <v/>
      </c>
    </row>
    <row r="167" spans="1:2">
      <c r="A167" t="str">
        <f t="shared" si="20"/>
        <v/>
      </c>
      <c r="B167" t="str">
        <f t="shared" si="21"/>
        <v/>
      </c>
    </row>
    <row r="168" spans="1:2">
      <c r="A168" t="str">
        <f t="shared" si="20"/>
        <v/>
      </c>
      <c r="B168" t="str">
        <f t="shared" si="21"/>
        <v/>
      </c>
    </row>
    <row r="169" spans="1:2">
      <c r="A169" t="str">
        <f t="shared" si="20"/>
        <v/>
      </c>
      <c r="B169" t="str">
        <f t="shared" si="21"/>
        <v/>
      </c>
    </row>
    <row r="170" spans="1:2">
      <c r="A170" t="str">
        <f t="shared" si="20"/>
        <v/>
      </c>
      <c r="B170" t="str">
        <f t="shared" si="21"/>
        <v/>
      </c>
    </row>
    <row r="171" spans="1:2">
      <c r="A171" t="str">
        <f t="shared" si="20"/>
        <v/>
      </c>
      <c r="B171" t="str">
        <f t="shared" si="21"/>
        <v/>
      </c>
    </row>
    <row r="172" spans="1:2">
      <c r="A172" t="str">
        <f t="shared" si="20"/>
        <v/>
      </c>
      <c r="B172" t="str">
        <f t="shared" si="21"/>
        <v/>
      </c>
    </row>
    <row r="173" spans="1:2">
      <c r="A173" t="str">
        <f t="shared" si="20"/>
        <v/>
      </c>
      <c r="B173" t="str">
        <f t="shared" si="21"/>
        <v/>
      </c>
    </row>
    <row r="174" spans="1:2">
      <c r="A174" t="str">
        <f t="shared" si="20"/>
        <v/>
      </c>
      <c r="B174" t="str">
        <f t="shared" si="21"/>
        <v/>
      </c>
    </row>
    <row r="175" spans="1:2">
      <c r="A175" t="str">
        <f t="shared" si="20"/>
        <v/>
      </c>
      <c r="B175" t="str">
        <f t="shared" si="21"/>
        <v/>
      </c>
    </row>
    <row r="176" spans="1:2">
      <c r="A176" t="str">
        <f t="shared" si="20"/>
        <v/>
      </c>
      <c r="B176" t="str">
        <f t="shared" si="21"/>
        <v/>
      </c>
    </row>
    <row r="177" spans="1:2">
      <c r="A177" t="str">
        <f t="shared" si="20"/>
        <v/>
      </c>
      <c r="B177" t="str">
        <f t="shared" si="21"/>
        <v/>
      </c>
    </row>
    <row r="178" spans="1:2">
      <c r="A178" t="str">
        <f t="shared" si="20"/>
        <v/>
      </c>
      <c r="B178" t="str">
        <f t="shared" si="21"/>
        <v/>
      </c>
    </row>
    <row r="179" spans="1:2">
      <c r="A179" t="str">
        <f t="shared" si="20"/>
        <v/>
      </c>
      <c r="B179" t="str">
        <f t="shared" si="21"/>
        <v/>
      </c>
    </row>
    <row r="180" spans="1:2">
      <c r="A180" t="str">
        <f t="shared" si="20"/>
        <v/>
      </c>
      <c r="B180" t="str">
        <f t="shared" si="21"/>
        <v/>
      </c>
    </row>
    <row r="181" spans="1:2">
      <c r="A181" t="str">
        <f t="shared" si="20"/>
        <v/>
      </c>
      <c r="B181" t="str">
        <f t="shared" si="21"/>
        <v/>
      </c>
    </row>
    <row r="182" spans="1:2">
      <c r="A182" t="str">
        <f t="shared" ref="A182:A212" si="22">IF(D182="",IF(E182="","",A181),D182)</f>
        <v/>
      </c>
      <c r="B182" t="str">
        <f t="shared" ref="B182:B212" si="23">IF(C182="",IF(E182="","",B181),C182)</f>
        <v/>
      </c>
    </row>
    <row r="183" spans="1:2">
      <c r="A183" t="str">
        <f t="shared" si="22"/>
        <v/>
      </c>
      <c r="B183" t="str">
        <f t="shared" si="23"/>
        <v/>
      </c>
    </row>
    <row r="184" spans="1:2">
      <c r="A184" t="str">
        <f t="shared" si="22"/>
        <v/>
      </c>
      <c r="B184" t="str">
        <f t="shared" si="23"/>
        <v/>
      </c>
    </row>
    <row r="185" spans="1:2">
      <c r="A185" t="str">
        <f t="shared" si="22"/>
        <v/>
      </c>
      <c r="B185" t="str">
        <f t="shared" si="23"/>
        <v/>
      </c>
    </row>
    <row r="186" spans="1:2">
      <c r="A186" t="str">
        <f t="shared" si="22"/>
        <v/>
      </c>
      <c r="B186" t="str">
        <f t="shared" si="23"/>
        <v/>
      </c>
    </row>
    <row r="187" spans="1:2">
      <c r="A187" t="str">
        <f t="shared" si="22"/>
        <v/>
      </c>
      <c r="B187" t="str">
        <f t="shared" si="23"/>
        <v/>
      </c>
    </row>
    <row r="188" spans="1:2">
      <c r="A188" t="str">
        <f t="shared" si="22"/>
        <v/>
      </c>
      <c r="B188" t="str">
        <f t="shared" si="23"/>
        <v/>
      </c>
    </row>
    <row r="189" spans="1:2">
      <c r="A189" t="str">
        <f t="shared" si="22"/>
        <v/>
      </c>
      <c r="B189" t="str">
        <f t="shared" si="23"/>
        <v/>
      </c>
    </row>
    <row r="190" spans="1:2">
      <c r="A190" t="str">
        <f t="shared" si="22"/>
        <v/>
      </c>
      <c r="B190" t="str">
        <f t="shared" si="23"/>
        <v/>
      </c>
    </row>
    <row r="191" spans="1:2">
      <c r="A191" t="str">
        <f t="shared" si="22"/>
        <v/>
      </c>
      <c r="B191" t="str">
        <f t="shared" si="23"/>
        <v/>
      </c>
    </row>
    <row r="192" spans="1:2">
      <c r="A192" t="str">
        <f t="shared" si="22"/>
        <v/>
      </c>
      <c r="B192" t="str">
        <f t="shared" si="23"/>
        <v/>
      </c>
    </row>
    <row r="193" spans="1:2">
      <c r="A193" t="str">
        <f t="shared" si="22"/>
        <v/>
      </c>
      <c r="B193" t="str">
        <f t="shared" si="23"/>
        <v/>
      </c>
    </row>
    <row r="194" spans="1:2">
      <c r="A194" t="str">
        <f t="shared" si="22"/>
        <v/>
      </c>
      <c r="B194" t="str">
        <f t="shared" si="23"/>
        <v/>
      </c>
    </row>
    <row r="195" spans="1:2">
      <c r="A195" t="str">
        <f t="shared" si="22"/>
        <v/>
      </c>
      <c r="B195" t="str">
        <f t="shared" si="23"/>
        <v/>
      </c>
    </row>
    <row r="196" spans="1:2">
      <c r="A196" t="str">
        <f t="shared" si="22"/>
        <v/>
      </c>
      <c r="B196" t="str">
        <f t="shared" si="23"/>
        <v/>
      </c>
    </row>
    <row r="197" spans="1:2">
      <c r="A197" t="str">
        <f t="shared" si="22"/>
        <v/>
      </c>
      <c r="B197" t="str">
        <f t="shared" si="23"/>
        <v/>
      </c>
    </row>
    <row r="198" spans="1:2">
      <c r="A198" t="str">
        <f t="shared" si="22"/>
        <v/>
      </c>
      <c r="B198" t="str">
        <f t="shared" si="23"/>
        <v/>
      </c>
    </row>
    <row r="199" spans="1:2">
      <c r="A199" t="str">
        <f t="shared" si="22"/>
        <v/>
      </c>
      <c r="B199" t="str">
        <f t="shared" si="23"/>
        <v/>
      </c>
    </row>
    <row r="200" spans="1:2">
      <c r="A200" t="str">
        <f t="shared" si="22"/>
        <v/>
      </c>
      <c r="B200" t="str">
        <f t="shared" si="23"/>
        <v/>
      </c>
    </row>
    <row r="201" spans="1:2">
      <c r="A201" t="str">
        <f t="shared" si="22"/>
        <v/>
      </c>
      <c r="B201" t="str">
        <f t="shared" si="23"/>
        <v/>
      </c>
    </row>
    <row r="202" spans="1:2">
      <c r="A202" t="str">
        <f t="shared" si="22"/>
        <v/>
      </c>
      <c r="B202" t="str">
        <f t="shared" si="23"/>
        <v/>
      </c>
    </row>
    <row r="203" spans="1:2">
      <c r="A203" t="str">
        <f t="shared" si="22"/>
        <v/>
      </c>
      <c r="B203" t="str">
        <f t="shared" si="23"/>
        <v/>
      </c>
    </row>
    <row r="204" spans="1:2">
      <c r="A204" t="str">
        <f t="shared" si="22"/>
        <v/>
      </c>
      <c r="B204" t="str">
        <f t="shared" si="23"/>
        <v/>
      </c>
    </row>
    <row r="205" spans="1:2">
      <c r="A205" t="str">
        <f t="shared" si="22"/>
        <v/>
      </c>
      <c r="B205" t="str">
        <f t="shared" si="23"/>
        <v/>
      </c>
    </row>
    <row r="206" spans="1:2">
      <c r="A206" t="str">
        <f t="shared" si="22"/>
        <v/>
      </c>
      <c r="B206" t="str">
        <f t="shared" si="23"/>
        <v/>
      </c>
    </row>
    <row r="207" spans="1:2">
      <c r="A207" t="str">
        <f t="shared" si="22"/>
        <v/>
      </c>
      <c r="B207" t="str">
        <f t="shared" si="23"/>
        <v/>
      </c>
    </row>
    <row r="208" spans="1:2">
      <c r="A208" t="str">
        <f t="shared" si="22"/>
        <v/>
      </c>
      <c r="B208" t="str">
        <f t="shared" si="23"/>
        <v/>
      </c>
    </row>
    <row r="209" spans="1:2">
      <c r="A209" t="str">
        <f t="shared" si="22"/>
        <v/>
      </c>
      <c r="B209" t="str">
        <f t="shared" si="23"/>
        <v/>
      </c>
    </row>
    <row r="210" spans="1:2">
      <c r="A210" t="str">
        <f t="shared" si="22"/>
        <v/>
      </c>
      <c r="B210" t="str">
        <f t="shared" si="23"/>
        <v/>
      </c>
    </row>
    <row r="211" spans="1:2">
      <c r="A211" t="str">
        <f t="shared" si="22"/>
        <v/>
      </c>
      <c r="B211" t="str">
        <f t="shared" si="23"/>
        <v/>
      </c>
    </row>
    <row r="212" spans="1:2">
      <c r="A212" t="str">
        <f t="shared" si="22"/>
        <v/>
      </c>
      <c r="B212" t="str">
        <f t="shared" si="23"/>
        <v/>
      </c>
    </row>
    <row r="213" spans="1:2">
      <c r="A213" t="str">
        <f t="shared" ref="A213:A226" si="24">IF(D213="",IF(E213="","",A212),D213)</f>
        <v/>
      </c>
      <c r="B213" t="str">
        <f t="shared" ref="B213:B226" si="25">IF(C213="",IF(E213="","",B212),C213)</f>
        <v/>
      </c>
    </row>
    <row r="214" spans="1:2">
      <c r="A214" t="str">
        <f t="shared" si="24"/>
        <v/>
      </c>
      <c r="B214" t="str">
        <f t="shared" si="25"/>
        <v/>
      </c>
    </row>
    <row r="215" spans="1:2">
      <c r="A215" t="str">
        <f t="shared" si="24"/>
        <v/>
      </c>
      <c r="B215" t="str">
        <f t="shared" si="25"/>
        <v/>
      </c>
    </row>
    <row r="216" spans="1:2">
      <c r="A216" t="str">
        <f t="shared" si="24"/>
        <v/>
      </c>
      <c r="B216" t="str">
        <f t="shared" si="25"/>
        <v/>
      </c>
    </row>
    <row r="217" spans="1:2">
      <c r="A217" t="str">
        <f t="shared" si="24"/>
        <v/>
      </c>
      <c r="B217" t="str">
        <f t="shared" si="25"/>
        <v/>
      </c>
    </row>
    <row r="218" spans="1:2">
      <c r="A218" t="str">
        <f t="shared" si="24"/>
        <v/>
      </c>
      <c r="B218" t="str">
        <f t="shared" si="25"/>
        <v/>
      </c>
    </row>
    <row r="219" spans="1:2">
      <c r="A219" t="str">
        <f t="shared" si="24"/>
        <v/>
      </c>
      <c r="B219" t="str">
        <f t="shared" si="25"/>
        <v/>
      </c>
    </row>
    <row r="220" spans="1:2">
      <c r="A220" t="str">
        <f t="shared" si="24"/>
        <v/>
      </c>
      <c r="B220" t="str">
        <f t="shared" si="25"/>
        <v/>
      </c>
    </row>
    <row r="221" spans="1:2">
      <c r="A221" t="str">
        <f t="shared" si="24"/>
        <v/>
      </c>
      <c r="B221" t="str">
        <f t="shared" si="25"/>
        <v/>
      </c>
    </row>
    <row r="222" spans="1:2">
      <c r="A222" t="str">
        <f t="shared" si="24"/>
        <v/>
      </c>
      <c r="B222" t="str">
        <f t="shared" si="25"/>
        <v/>
      </c>
    </row>
    <row r="223" spans="1:2">
      <c r="A223" t="str">
        <f t="shared" si="24"/>
        <v/>
      </c>
      <c r="B223" t="str">
        <f t="shared" si="25"/>
        <v/>
      </c>
    </row>
    <row r="224" spans="1:2">
      <c r="A224" t="str">
        <f t="shared" si="24"/>
        <v/>
      </c>
      <c r="B224" t="str">
        <f t="shared" si="25"/>
        <v/>
      </c>
    </row>
    <row r="225" spans="1:2">
      <c r="A225" t="str">
        <f t="shared" si="24"/>
        <v/>
      </c>
      <c r="B225" t="str">
        <f t="shared" si="25"/>
        <v/>
      </c>
    </row>
    <row r="226" spans="1:2">
      <c r="A226" t="str">
        <f t="shared" si="24"/>
        <v/>
      </c>
      <c r="B226" t="str">
        <f t="shared" si="25"/>
        <v/>
      </c>
    </row>
  </sheetData>
  <hyperlinks>
    <hyperlink ref="E49" r:id="rId1" display="url:URL_Dclick_Pages" xr:uid="{39318488-02E1-4F2A-8FAC-42A41078DEB3}"/>
    <hyperlink ref="E42" r:id="rId2" xr:uid="{758909D3-B5C4-4BED-8E4D-2EFCCD361C88}"/>
  </hyperlinks>
  <pageMargins left="0.7" right="0.7" top="0.75" bottom="0.75" header="0.3" footer="0.3"/>
  <pageSetup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8D69-E7EB-4930-90D6-2D418B04F6E3}">
  <sheetPr codeName="Sheet6"/>
  <dimension ref="A1:O377"/>
  <sheetViews>
    <sheetView workbookViewId="0">
      <selection activeCell="A8" sqref="A8"/>
    </sheetView>
  </sheetViews>
  <sheetFormatPr defaultRowHeight="1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t="str">
        <f>IF(D2="",IF(E2="","",A1),D2)</f>
        <v>URL_Dclick_Pages</v>
      </c>
      <c r="B2" t="str">
        <f t="shared" ref="B2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>
      <c r="A3" t="str">
        <f t="shared" ref="A3:A101" si="3">IF(D3="",IF(E3="","",A2),D3)</f>
        <v>URL_Dclick_Pages</v>
      </c>
      <c r="B3" t="str">
        <f t="shared" ref="B3:B101" si="4">IF(C3="",IF(E3="","",B2),C3)</f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>
      <c r="A4" t="str">
        <f t="shared" si="3"/>
        <v>URL_Dclick_Pages</v>
      </c>
      <c r="B4" t="str">
        <f t="shared" si="4"/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>
      <c r="A5" t="str">
        <f t="shared" si="3"/>
        <v>URL_Dclick_Pages</v>
      </c>
      <c r="B5" t="str">
        <f t="shared" si="4"/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>
      <c r="A6" t="str">
        <f t="shared" si="3"/>
        <v>URL_Dclick_Pages</v>
      </c>
      <c r="B6" t="str">
        <f t="shared" si="4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>
      <c r="A7" t="str">
        <f t="shared" si="3"/>
        <v>URL_Dclick_Pages</v>
      </c>
      <c r="B7" t="str">
        <f t="shared" si="4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>
      <c r="A8" t="str">
        <f t="shared" si="3"/>
        <v>URL_Dclick_Pages</v>
      </c>
      <c r="B8" t="str">
        <f t="shared" si="4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>
      <c r="A9" t="str">
        <f t="shared" si="3"/>
        <v>URL_Dclick_Pages</v>
      </c>
      <c r="B9" t="str">
        <f t="shared" si="4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>
      <c r="A10" t="str">
        <f t="shared" si="3"/>
        <v/>
      </c>
      <c r="B10" t="str">
        <f t="shared" si="4"/>
        <v/>
      </c>
    </row>
    <row r="27" spans="1:7">
      <c r="A27" t="str">
        <f>IF(D27="",IF(E27="","",A10),D27)</f>
        <v/>
      </c>
      <c r="B27" t="str">
        <f>IF(C27="",IF(E27="","",B10),C27)</f>
        <v/>
      </c>
    </row>
    <row r="28" spans="1:7">
      <c r="A28" t="str">
        <f t="shared" si="3"/>
        <v>URL</v>
      </c>
      <c r="B28" t="str">
        <f t="shared" si="4"/>
        <v>key</v>
      </c>
      <c r="C28" t="s">
        <v>15</v>
      </c>
      <c r="D28" t="s">
        <v>9</v>
      </c>
      <c r="E28" t="s">
        <v>19</v>
      </c>
      <c r="F28" t="s">
        <v>20</v>
      </c>
    </row>
    <row r="29" spans="1:7">
      <c r="A29" t="str">
        <f t="shared" si="3"/>
        <v>URL</v>
      </c>
      <c r="B29" t="str">
        <f t="shared" si="4"/>
        <v>key</v>
      </c>
      <c r="E29" t="s">
        <v>153</v>
      </c>
      <c r="F29" t="s">
        <v>154</v>
      </c>
    </row>
    <row r="30" spans="1:7">
      <c r="A30" t="str">
        <f t="shared" si="3"/>
        <v/>
      </c>
      <c r="B30" t="str">
        <f t="shared" si="4"/>
        <v/>
      </c>
    </row>
    <row r="31" spans="1:7">
      <c r="A31" t="str">
        <f t="shared" si="3"/>
        <v>main</v>
      </c>
      <c r="B31" t="str">
        <f t="shared" si="4"/>
        <v>list</v>
      </c>
      <c r="C31" t="s">
        <v>16</v>
      </c>
      <c r="D31" s="3" t="s">
        <v>25</v>
      </c>
      <c r="E31" t="s">
        <v>30</v>
      </c>
      <c r="G31" t="s">
        <v>148</v>
      </c>
    </row>
    <row r="32" spans="1:7">
      <c r="A32" t="str">
        <f t="shared" si="3"/>
        <v>main</v>
      </c>
      <c r="B32" t="str">
        <f t="shared" si="4"/>
        <v>list</v>
      </c>
      <c r="E32" t="s">
        <v>0</v>
      </c>
    </row>
    <row r="33" spans="1:7">
      <c r="A33" t="str">
        <f t="shared" si="3"/>
        <v>main</v>
      </c>
      <c r="B33" t="str">
        <f t="shared" si="4"/>
        <v>list</v>
      </c>
      <c r="E33" t="s">
        <v>155</v>
      </c>
    </row>
    <row r="34" spans="1:7">
      <c r="E34" t="s">
        <v>309</v>
      </c>
    </row>
    <row r="35" spans="1:7">
      <c r="E35" t="s">
        <v>24</v>
      </c>
    </row>
    <row r="36" spans="1:7">
      <c r="E36" t="s">
        <v>311</v>
      </c>
    </row>
    <row r="37" spans="1:7">
      <c r="E37" t="s">
        <v>310</v>
      </c>
    </row>
    <row r="39" spans="1:7">
      <c r="D39" t="s">
        <v>310</v>
      </c>
      <c r="E39" t="s">
        <v>309</v>
      </c>
    </row>
    <row r="40" spans="1:7">
      <c r="E40" t="s">
        <v>24</v>
      </c>
    </row>
    <row r="41" spans="1:7">
      <c r="E41" t="s">
        <v>311</v>
      </c>
    </row>
    <row r="42" spans="1:7">
      <c r="E42" t="s">
        <v>312</v>
      </c>
    </row>
    <row r="43" spans="1:7">
      <c r="E43" t="s">
        <v>313</v>
      </c>
    </row>
    <row r="44" spans="1:7">
      <c r="D44" t="s">
        <v>316</v>
      </c>
      <c r="E44" t="s">
        <v>315</v>
      </c>
    </row>
    <row r="45" spans="1:7">
      <c r="E45" t="s">
        <v>314</v>
      </c>
    </row>
    <row r="46" spans="1:7">
      <c r="E46" t="s">
        <v>151</v>
      </c>
    </row>
    <row r="48" spans="1:7">
      <c r="A48" t="str">
        <f>IF(D48="",IF(E48="","",A33),D48)</f>
        <v>main</v>
      </c>
      <c r="B48" t="str">
        <f>IF(C48="",IF(E48="","",B33),C48)</f>
        <v>list</v>
      </c>
      <c r="E48" t="s">
        <v>31</v>
      </c>
      <c r="G48" t="s">
        <v>116</v>
      </c>
    </row>
    <row r="49" spans="1:13">
      <c r="A49" t="str">
        <f t="shared" si="3"/>
        <v>main</v>
      </c>
      <c r="B49" t="str">
        <f t="shared" si="4"/>
        <v>list</v>
      </c>
      <c r="E49" t="s">
        <v>1</v>
      </c>
    </row>
    <row r="50" spans="1:13">
      <c r="A50" t="str">
        <f t="shared" si="3"/>
        <v>main</v>
      </c>
      <c r="B50" t="str">
        <f t="shared" si="4"/>
        <v>list</v>
      </c>
      <c r="E50" t="s">
        <v>147</v>
      </c>
      <c r="M50" t="str">
        <f ca="1">_xlfn.CONCAT("createPDF:imagelist,./Output/Images/,./Output/APAC_Daily_Sales_",M52,".pdf")</f>
        <v>createPDF:imagelist,./Output/Images/,./Output/APAC_Daily_Sales_20221103104758.pdf</v>
      </c>
    </row>
    <row r="51" spans="1:13">
      <c r="A51" t="str">
        <f t="shared" si="3"/>
        <v>main</v>
      </c>
      <c r="B51" t="str">
        <f t="shared" si="4"/>
        <v>list</v>
      </c>
      <c r="E51" t="s">
        <v>151</v>
      </c>
      <c r="G51" t="s">
        <v>150</v>
      </c>
    </row>
    <row r="52" spans="1:13">
      <c r="A52" t="str">
        <f t="shared" si="3"/>
        <v>generatePDF</v>
      </c>
      <c r="B52" t="str">
        <f t="shared" si="4"/>
        <v>list</v>
      </c>
      <c r="C52" t="s">
        <v>16</v>
      </c>
      <c r="D52" t="s">
        <v>147</v>
      </c>
      <c r="E52" t="s">
        <v>149</v>
      </c>
      <c r="G52" t="s">
        <v>71</v>
      </c>
      <c r="M52" s="4" t="str">
        <f ca="1">TEXT(NOW(),"YYYYMMDDHHMMSS")</f>
        <v>20221103104758</v>
      </c>
    </row>
    <row r="53" spans="1:13">
      <c r="A53" t="str">
        <f t="shared" si="3"/>
        <v/>
      </c>
      <c r="B53" t="str">
        <f t="shared" si="4"/>
        <v/>
      </c>
    </row>
    <row r="54" spans="1:13">
      <c r="A54" t="str">
        <f t="shared" si="3"/>
        <v>logon_OKTA</v>
      </c>
      <c r="B54" t="str">
        <f t="shared" si="4"/>
        <v>list</v>
      </c>
      <c r="C54" t="s">
        <v>16</v>
      </c>
      <c r="D54" s="3" t="s">
        <v>0</v>
      </c>
      <c r="E54" t="s">
        <v>21</v>
      </c>
      <c r="F54" s="2"/>
      <c r="G54" t="s">
        <v>103</v>
      </c>
    </row>
    <row r="55" spans="1:13">
      <c r="A55" t="str">
        <f t="shared" si="3"/>
        <v>logon_OKTA</v>
      </c>
      <c r="B55" t="str">
        <f t="shared" si="4"/>
        <v>list</v>
      </c>
      <c r="E55" t="s">
        <v>1</v>
      </c>
    </row>
    <row r="56" spans="1:13">
      <c r="A56" t="str">
        <f t="shared" si="3"/>
        <v>logon_OKTA</v>
      </c>
      <c r="B56" t="str">
        <f t="shared" si="4"/>
        <v>list</v>
      </c>
      <c r="E56" t="s">
        <v>338</v>
      </c>
      <c r="G56" t="s">
        <v>104</v>
      </c>
    </row>
    <row r="57" spans="1:13">
      <c r="A57" t="str">
        <f t="shared" si="3"/>
        <v>logon_OKTA</v>
      </c>
      <c r="B57" t="str">
        <f t="shared" si="4"/>
        <v>list</v>
      </c>
      <c r="E57" t="s">
        <v>107</v>
      </c>
      <c r="G57" t="s">
        <v>108</v>
      </c>
    </row>
    <row r="58" spans="1:13">
      <c r="A58" t="str">
        <f t="shared" si="3"/>
        <v>logon_OKTA2</v>
      </c>
      <c r="B58" t="str">
        <f t="shared" si="4"/>
        <v>list</v>
      </c>
      <c r="C58" t="s">
        <v>16</v>
      </c>
      <c r="D58" s="1" t="s">
        <v>107</v>
      </c>
      <c r="E58" t="s">
        <v>113</v>
      </c>
      <c r="G58" s="1" t="s">
        <v>109</v>
      </c>
    </row>
    <row r="59" spans="1:13">
      <c r="A59" t="str">
        <f t="shared" si="3"/>
        <v>logon_OKTA2</v>
      </c>
      <c r="B59" t="str">
        <f t="shared" si="4"/>
        <v>list</v>
      </c>
      <c r="D59" s="1"/>
      <c r="E59" t="s">
        <v>22</v>
      </c>
      <c r="G59" s="1" t="s">
        <v>105</v>
      </c>
    </row>
    <row r="60" spans="1:13">
      <c r="A60" t="str">
        <f t="shared" si="3"/>
        <v>logon_OKTA2</v>
      </c>
      <c r="B60" t="str">
        <f t="shared" si="4"/>
        <v>list</v>
      </c>
      <c r="E60" t="s">
        <v>34</v>
      </c>
      <c r="G60" t="s">
        <v>106</v>
      </c>
    </row>
    <row r="61" spans="1:13">
      <c r="A61" t="str">
        <f t="shared" si="3"/>
        <v>logon_OKTA2</v>
      </c>
      <c r="B61" t="str">
        <f t="shared" si="4"/>
        <v>list</v>
      </c>
      <c r="E61" t="s">
        <v>39</v>
      </c>
      <c r="G61" t="s">
        <v>38</v>
      </c>
    </row>
    <row r="62" spans="1:13">
      <c r="A62" t="str">
        <f t="shared" si="3"/>
        <v>logon_OKTA2</v>
      </c>
      <c r="B62" t="str">
        <f t="shared" si="4"/>
        <v>list</v>
      </c>
      <c r="E62" t="s">
        <v>7</v>
      </c>
      <c r="G62" t="s">
        <v>110</v>
      </c>
    </row>
    <row r="63" spans="1:13">
      <c r="A63" t="str">
        <f t="shared" ref="A63:A82" si="5">IF(D63="",IF(E63="","",A62),D63)</f>
        <v>logon_OKTA2</v>
      </c>
      <c r="B63" t="str">
        <f t="shared" ref="B63:B82" si="6">IF(C63="",IF(E63="","",B62),C63)</f>
        <v>list</v>
      </c>
      <c r="E63" t="s">
        <v>112</v>
      </c>
      <c r="G63" t="s">
        <v>111</v>
      </c>
    </row>
    <row r="64" spans="1:13">
      <c r="A64" t="str">
        <f t="shared" si="5"/>
        <v/>
      </c>
      <c r="B64" t="str">
        <f t="shared" si="6"/>
        <v/>
      </c>
    </row>
    <row r="65" spans="1:7">
      <c r="A65" t="str">
        <f t="shared" si="5"/>
        <v>ifBlockCode</v>
      </c>
      <c r="B65" t="str">
        <f t="shared" si="6"/>
        <v>list</v>
      </c>
      <c r="C65" t="s">
        <v>16</v>
      </c>
      <c r="D65" t="s">
        <v>26</v>
      </c>
      <c r="E65" t="s">
        <v>37</v>
      </c>
    </row>
    <row r="66" spans="1:7">
      <c r="A66" t="str">
        <f t="shared" ref="A66:A69" si="7">IF(D66="",IF(E66="","",A65),D66)</f>
        <v/>
      </c>
      <c r="B66" t="str">
        <f t="shared" ref="B66:B69" si="8">IF(C66="",IF(E66="","",B65),C66)</f>
        <v/>
      </c>
    </row>
    <row r="67" spans="1:7">
      <c r="A67" t="str">
        <f t="shared" si="7"/>
        <v>logon_iCristal</v>
      </c>
      <c r="B67" t="str">
        <f t="shared" si="8"/>
        <v>list</v>
      </c>
      <c r="C67" t="s">
        <v>16</v>
      </c>
      <c r="D67" s="3" t="s">
        <v>155</v>
      </c>
      <c r="E67" t="s">
        <v>156</v>
      </c>
    </row>
    <row r="68" spans="1:7">
      <c r="A68" t="str">
        <f t="shared" si="7"/>
        <v>logon_iCristal</v>
      </c>
      <c r="B68" t="str">
        <f t="shared" si="8"/>
        <v>list</v>
      </c>
      <c r="D68" s="3"/>
      <c r="E68" t="s">
        <v>305</v>
      </c>
    </row>
    <row r="69" spans="1:7">
      <c r="A69" t="str">
        <f t="shared" si="7"/>
        <v>checkLastDataUpdate</v>
      </c>
      <c r="B69" t="str">
        <f t="shared" si="8"/>
        <v>list</v>
      </c>
      <c r="C69" t="s">
        <v>16</v>
      </c>
      <c r="D69" t="s">
        <v>305</v>
      </c>
      <c r="E69" t="s">
        <v>306</v>
      </c>
    </row>
    <row r="70" spans="1:7">
      <c r="A70" t="str">
        <f t="shared" ref="A70:A72" si="9">IF(D70="",IF(E70="","",A69),D70)</f>
        <v>checkLastDataUpdate</v>
      </c>
      <c r="B70" t="str">
        <f t="shared" ref="B70:B72" si="10">IF(C70="",IF(E70="","",B69),C70)</f>
        <v>list</v>
      </c>
      <c r="E70" t="s">
        <v>302</v>
      </c>
    </row>
    <row r="71" spans="1:7">
      <c r="A71" t="str">
        <f t="shared" si="9"/>
        <v>checkLastDataUpdate</v>
      </c>
      <c r="B71" t="str">
        <f t="shared" si="10"/>
        <v>list</v>
      </c>
      <c r="E71" t="s">
        <v>303</v>
      </c>
    </row>
    <row r="72" spans="1:7">
      <c r="A72" t="str">
        <f t="shared" si="9"/>
        <v>checkLastDataUpdate</v>
      </c>
      <c r="B72" t="str">
        <f t="shared" si="10"/>
        <v>list</v>
      </c>
      <c r="E72" t="s">
        <v>307</v>
      </c>
    </row>
    <row r="73" spans="1:7">
      <c r="A73" t="str">
        <f t="shared" ref="A73:A76" si="11">IF(D73="",IF(E73="","",A72),D73)</f>
        <v>checkLastDataUpdate</v>
      </c>
      <c r="B73" t="str">
        <f t="shared" ref="B73:B76" si="12">IF(C73="",IF(E73="","",B72),C73)</f>
        <v>list</v>
      </c>
      <c r="E73" t="s">
        <v>308</v>
      </c>
    </row>
    <row r="74" spans="1:7">
      <c r="A74" t="str">
        <f t="shared" si="11"/>
        <v>checkLastDataUpdate</v>
      </c>
      <c r="B74" t="str">
        <f t="shared" si="12"/>
        <v>list</v>
      </c>
      <c r="E74" t="s">
        <v>304</v>
      </c>
      <c r="G74" t="s">
        <v>104</v>
      </c>
    </row>
    <row r="75" spans="1:7">
      <c r="A75" t="str">
        <f t="shared" si="11"/>
        <v/>
      </c>
      <c r="B75" t="str">
        <f t="shared" si="12"/>
        <v/>
      </c>
    </row>
    <row r="76" spans="1:7">
      <c r="A76" t="str">
        <f t="shared" si="11"/>
        <v/>
      </c>
      <c r="B76" t="str">
        <f t="shared" si="12"/>
        <v/>
      </c>
    </row>
    <row r="77" spans="1:7">
      <c r="A77" t="str">
        <f t="shared" si="5"/>
        <v/>
      </c>
      <c r="B77" t="str">
        <f t="shared" si="6"/>
        <v/>
      </c>
    </row>
    <row r="78" spans="1:7">
      <c r="A78" t="str">
        <f t="shared" si="5"/>
        <v>openPages</v>
      </c>
      <c r="B78" t="str">
        <f t="shared" si="6"/>
        <v>list</v>
      </c>
      <c r="C78" t="s">
        <v>16</v>
      </c>
      <c r="D78" s="3" t="s">
        <v>32</v>
      </c>
      <c r="E78" t="s">
        <v>33</v>
      </c>
    </row>
    <row r="79" spans="1:7">
      <c r="A79" t="str">
        <f t="shared" si="5"/>
        <v>openPages</v>
      </c>
      <c r="B79" t="str">
        <f t="shared" si="6"/>
        <v>list</v>
      </c>
      <c r="E79" t="s">
        <v>29</v>
      </c>
      <c r="G79" t="s">
        <v>117</v>
      </c>
    </row>
    <row r="80" spans="1:7">
      <c r="A80" t="str">
        <f t="shared" si="5"/>
        <v>openPages</v>
      </c>
      <c r="B80" t="str">
        <f t="shared" si="6"/>
        <v>list</v>
      </c>
      <c r="E80" t="s">
        <v>118</v>
      </c>
    </row>
    <row r="81" spans="1:7">
      <c r="A81" t="str">
        <f t="shared" si="5"/>
        <v>openPages2</v>
      </c>
      <c r="B81" t="str">
        <f t="shared" si="6"/>
        <v>list</v>
      </c>
      <c r="C81" t="s">
        <v>16</v>
      </c>
      <c r="D81" t="s">
        <v>118</v>
      </c>
      <c r="E81" t="s">
        <v>119</v>
      </c>
    </row>
    <row r="82" spans="1:7">
      <c r="A82" t="str">
        <f t="shared" si="5"/>
        <v>openPages2</v>
      </c>
      <c r="B82" t="str">
        <f t="shared" si="6"/>
        <v>list</v>
      </c>
      <c r="E82" t="s">
        <v>122</v>
      </c>
    </row>
    <row r="83" spans="1:7">
      <c r="A83" t="str">
        <f t="shared" si="3"/>
        <v>openPages2</v>
      </c>
      <c r="B83" t="str">
        <f t="shared" si="4"/>
        <v>list</v>
      </c>
      <c r="E83" t="s">
        <v>57</v>
      </c>
    </row>
    <row r="84" spans="1:7">
      <c r="A84" t="str">
        <f t="shared" si="3"/>
        <v>openPages2</v>
      </c>
      <c r="B84" t="str">
        <f t="shared" si="4"/>
        <v>list</v>
      </c>
      <c r="E84" t="s">
        <v>56</v>
      </c>
    </row>
    <row r="85" spans="1:7">
      <c r="A85" t="str">
        <f t="shared" si="3"/>
        <v>openPages2</v>
      </c>
      <c r="B85" t="str">
        <f t="shared" si="4"/>
        <v>list</v>
      </c>
      <c r="E85" t="s">
        <v>17</v>
      </c>
    </row>
    <row r="86" spans="1:7">
      <c r="A86" t="str">
        <f t="shared" si="3"/>
        <v>openPages2</v>
      </c>
      <c r="B86" t="str">
        <f t="shared" si="4"/>
        <v>list</v>
      </c>
      <c r="E86" t="s">
        <v>74</v>
      </c>
      <c r="G86" t="s">
        <v>64</v>
      </c>
    </row>
    <row r="87" spans="1:7">
      <c r="A87" t="str">
        <f t="shared" si="3"/>
        <v>openPages2</v>
      </c>
      <c r="B87" t="str">
        <f t="shared" si="4"/>
        <v>list</v>
      </c>
      <c r="E87" t="s">
        <v>58</v>
      </c>
    </row>
    <row r="88" spans="1:7">
      <c r="A88" t="str">
        <f t="shared" si="3"/>
        <v>openPages2</v>
      </c>
      <c r="B88" t="str">
        <f t="shared" si="4"/>
        <v>list</v>
      </c>
      <c r="E88" t="s">
        <v>17</v>
      </c>
    </row>
    <row r="89" spans="1:7">
      <c r="A89" t="str">
        <f t="shared" si="3"/>
        <v>openPages2</v>
      </c>
      <c r="B89" t="str">
        <f t="shared" si="4"/>
        <v>list</v>
      </c>
      <c r="E89" t="s">
        <v>75</v>
      </c>
    </row>
    <row r="90" spans="1:7">
      <c r="A90" t="str">
        <f t="shared" si="3"/>
        <v/>
      </c>
      <c r="B90" t="str">
        <f t="shared" si="4"/>
        <v/>
      </c>
    </row>
    <row r="91" spans="1:7">
      <c r="A91" t="str">
        <f t="shared" si="3"/>
        <v>CheckIfTouchOff</v>
      </c>
      <c r="B91" t="str">
        <f t="shared" si="4"/>
        <v>list</v>
      </c>
      <c r="C91" t="s">
        <v>16</v>
      </c>
      <c r="D91" t="s">
        <v>122</v>
      </c>
      <c r="E91" t="s">
        <v>125</v>
      </c>
      <c r="G91" t="s">
        <v>126</v>
      </c>
    </row>
    <row r="92" spans="1:7">
      <c r="A92" t="str">
        <f t="shared" si="3"/>
        <v>CheckIfTouchOff</v>
      </c>
      <c r="B92" t="str">
        <f t="shared" si="4"/>
        <v>list</v>
      </c>
      <c r="E92" t="s">
        <v>123</v>
      </c>
      <c r="G92" t="s">
        <v>127</v>
      </c>
    </row>
    <row r="93" spans="1:7">
      <c r="A93" t="str">
        <f t="shared" si="3"/>
        <v>disableTouchOn</v>
      </c>
      <c r="B93" t="str">
        <f t="shared" si="4"/>
        <v>list</v>
      </c>
      <c r="C93" t="s">
        <v>16</v>
      </c>
      <c r="D93" t="s">
        <v>124</v>
      </c>
      <c r="E93" t="s">
        <v>135</v>
      </c>
      <c r="G93" t="s">
        <v>128</v>
      </c>
    </row>
    <row r="94" spans="1:7">
      <c r="A94" t="str">
        <f t="shared" si="3"/>
        <v>disableTouchOn</v>
      </c>
      <c r="B94" t="str">
        <f t="shared" si="4"/>
        <v>list</v>
      </c>
      <c r="E94" t="s">
        <v>2</v>
      </c>
    </row>
    <row r="95" spans="1:7">
      <c r="A95" t="str">
        <f t="shared" si="3"/>
        <v>disableTouchOn</v>
      </c>
      <c r="B95" t="str">
        <f t="shared" si="4"/>
        <v>list</v>
      </c>
      <c r="E95" t="s">
        <v>129</v>
      </c>
    </row>
    <row r="96" spans="1:7">
      <c r="A96" t="str">
        <f t="shared" si="3"/>
        <v>disableTouchOn</v>
      </c>
      <c r="B96" t="str">
        <f t="shared" si="4"/>
        <v>list</v>
      </c>
      <c r="E96" t="s">
        <v>120</v>
      </c>
      <c r="G96" t="s">
        <v>131</v>
      </c>
    </row>
    <row r="97" spans="1:7">
      <c r="A97" t="str">
        <f t="shared" si="3"/>
        <v>disableTouchOn</v>
      </c>
      <c r="B97" t="str">
        <f t="shared" si="4"/>
        <v>list</v>
      </c>
      <c r="E97" t="s">
        <v>121</v>
      </c>
      <c r="G97" t="s">
        <v>132</v>
      </c>
    </row>
    <row r="98" spans="1:7">
      <c r="A98" t="str">
        <f t="shared" si="3"/>
        <v>disableTouchOn</v>
      </c>
      <c r="B98" t="str">
        <f t="shared" si="4"/>
        <v>list</v>
      </c>
      <c r="E98" t="s">
        <v>130</v>
      </c>
      <c r="G98" t="s">
        <v>133</v>
      </c>
    </row>
    <row r="99" spans="1:7">
      <c r="A99" t="str">
        <f t="shared" si="3"/>
        <v>exitProgram</v>
      </c>
      <c r="B99" t="str">
        <f t="shared" si="4"/>
        <v>list</v>
      </c>
      <c r="C99" t="s">
        <v>16</v>
      </c>
      <c r="D99" t="s">
        <v>134</v>
      </c>
      <c r="E99" t="s">
        <v>27</v>
      </c>
    </row>
    <row r="100" spans="1:7">
      <c r="A100" t="str">
        <f t="shared" si="3"/>
        <v/>
      </c>
      <c r="B100" t="str">
        <f t="shared" si="4"/>
        <v/>
      </c>
    </row>
    <row r="101" spans="1:7">
      <c r="A101" t="str">
        <f t="shared" si="3"/>
        <v>clkCurrent</v>
      </c>
      <c r="B101" t="str">
        <f t="shared" si="4"/>
        <v>list</v>
      </c>
      <c r="C101" t="s">
        <v>16</v>
      </c>
      <c r="D101" t="s">
        <v>57</v>
      </c>
      <c r="E101" t="s">
        <v>61</v>
      </c>
      <c r="G101" t="s">
        <v>99</v>
      </c>
    </row>
    <row r="102" spans="1:7">
      <c r="A102" t="str">
        <f t="shared" ref="A102:A165" si="13">IF(D102="",IF(E102="","",A101),D102)</f>
        <v>clkNetSales</v>
      </c>
      <c r="B102" t="str">
        <f t="shared" ref="B102:B165" si="14">IF(C102="",IF(E102="","",B101),C102)</f>
        <v>list</v>
      </c>
      <c r="C102" t="s">
        <v>16</v>
      </c>
      <c r="D102" t="s">
        <v>56</v>
      </c>
      <c r="E102" t="s">
        <v>60</v>
      </c>
      <c r="G102" t="s">
        <v>100</v>
      </c>
    </row>
    <row r="103" spans="1:7">
      <c r="A103" t="str">
        <f t="shared" si="13"/>
        <v>clkUnits</v>
      </c>
      <c r="B103" t="str">
        <f t="shared" si="14"/>
        <v>list</v>
      </c>
      <c r="C103" t="s">
        <v>16</v>
      </c>
      <c r="D103" t="s">
        <v>58</v>
      </c>
      <c r="E103" t="s">
        <v>59</v>
      </c>
      <c r="G103" t="s">
        <v>101</v>
      </c>
    </row>
    <row r="104" spans="1:7">
      <c r="A104" t="str">
        <f t="shared" si="13"/>
        <v>rclkValues</v>
      </c>
      <c r="B104" t="str">
        <f t="shared" si="14"/>
        <v>list</v>
      </c>
      <c r="C104" t="s">
        <v>16</v>
      </c>
      <c r="D104" t="s">
        <v>63</v>
      </c>
      <c r="E104" t="s">
        <v>341</v>
      </c>
      <c r="G104" t="s">
        <v>102</v>
      </c>
    </row>
    <row r="105" spans="1:7">
      <c r="A105" t="str">
        <f t="shared" si="13"/>
        <v/>
      </c>
      <c r="B105" t="str">
        <f t="shared" si="14"/>
        <v/>
      </c>
    </row>
    <row r="106" spans="1:7">
      <c r="A106" t="str">
        <f t="shared" si="13"/>
        <v>DownloadImage</v>
      </c>
      <c r="B106" t="str">
        <f t="shared" si="14"/>
        <v>list</v>
      </c>
      <c r="C106" t="s">
        <v>16</v>
      </c>
      <c r="D106" t="s">
        <v>17</v>
      </c>
      <c r="E106" t="s">
        <v>339</v>
      </c>
      <c r="G106" t="s">
        <v>143</v>
      </c>
    </row>
    <row r="107" spans="1:7">
      <c r="A107" t="str">
        <f t="shared" si="13"/>
        <v>DownloadImage</v>
      </c>
      <c r="B107" t="str">
        <f t="shared" si="14"/>
        <v>list</v>
      </c>
      <c r="E107" t="s">
        <v>62</v>
      </c>
    </row>
    <row r="108" spans="1:7">
      <c r="A108" t="str">
        <f t="shared" si="13"/>
        <v>DownloadImage</v>
      </c>
      <c r="B108" t="str">
        <f t="shared" si="14"/>
        <v>list</v>
      </c>
      <c r="E108" t="s">
        <v>63</v>
      </c>
      <c r="G108" t="s">
        <v>144</v>
      </c>
    </row>
    <row r="109" spans="1:7">
      <c r="A109" t="str">
        <f t="shared" si="13"/>
        <v>DownloadImage</v>
      </c>
      <c r="B109" t="str">
        <f t="shared" si="14"/>
        <v>list</v>
      </c>
      <c r="E109" t="s">
        <v>138</v>
      </c>
    </row>
    <row r="110" spans="1:7">
      <c r="A110" t="str">
        <f t="shared" si="13"/>
        <v>DownloadImage2</v>
      </c>
      <c r="B110" t="str">
        <f t="shared" si="14"/>
        <v>list</v>
      </c>
      <c r="C110" t="s">
        <v>16</v>
      </c>
      <c r="D110" t="s">
        <v>138</v>
      </c>
      <c r="E110" t="s">
        <v>139</v>
      </c>
    </row>
    <row r="111" spans="1:7">
      <c r="A111" t="str">
        <f t="shared" si="13"/>
        <v>DownloadImage2</v>
      </c>
      <c r="B111" t="str">
        <f t="shared" si="14"/>
        <v>list</v>
      </c>
      <c r="E111" t="s">
        <v>3</v>
      </c>
      <c r="G111" t="s">
        <v>97</v>
      </c>
    </row>
    <row r="112" spans="1:7">
      <c r="A112" t="str">
        <f t="shared" si="13"/>
        <v>DownloadImage2</v>
      </c>
      <c r="B112" t="str">
        <f t="shared" si="14"/>
        <v>list</v>
      </c>
      <c r="E112" t="s">
        <v>140</v>
      </c>
      <c r="G112" t="s">
        <v>98</v>
      </c>
    </row>
    <row r="113" spans="1:7">
      <c r="A113" t="str">
        <f t="shared" si="13"/>
        <v>DownloadImage2</v>
      </c>
      <c r="B113" t="str">
        <f t="shared" si="14"/>
        <v>list</v>
      </c>
      <c r="E113" t="s">
        <v>4</v>
      </c>
      <c r="G113" t="s">
        <v>96</v>
      </c>
    </row>
    <row r="114" spans="1:7">
      <c r="A114" t="str">
        <f t="shared" si="13"/>
        <v>DownloadImage2</v>
      </c>
      <c r="B114" t="str">
        <f t="shared" si="14"/>
        <v>list</v>
      </c>
      <c r="E114" t="s">
        <v>141</v>
      </c>
    </row>
    <row r="115" spans="1:7">
      <c r="A115" t="str">
        <f t="shared" si="13"/>
        <v>DownloadImage2</v>
      </c>
      <c r="B115" t="str">
        <f t="shared" si="14"/>
        <v>list</v>
      </c>
      <c r="E115" t="s">
        <v>5</v>
      </c>
    </row>
    <row r="116" spans="1:7">
      <c r="A116" t="str">
        <f t="shared" si="13"/>
        <v>DownloadImage2</v>
      </c>
      <c r="B116" t="str">
        <f t="shared" si="14"/>
        <v>list</v>
      </c>
      <c r="E116" t="s">
        <v>142</v>
      </c>
    </row>
    <row r="117" spans="1:7">
      <c r="A117" t="str">
        <f t="shared" si="13"/>
        <v>DownloadImage2</v>
      </c>
      <c r="B117" t="str">
        <f t="shared" si="14"/>
        <v>list</v>
      </c>
      <c r="E117" t="s">
        <v>6</v>
      </c>
    </row>
    <row r="118" spans="1:7">
      <c r="A118" t="str">
        <f t="shared" si="13"/>
        <v>DownloadImage2</v>
      </c>
      <c r="B118" t="str">
        <f t="shared" si="14"/>
        <v>list</v>
      </c>
      <c r="E118" t="s">
        <v>24</v>
      </c>
      <c r="G118" t="s">
        <v>146</v>
      </c>
    </row>
    <row r="119" spans="1:7">
      <c r="A119" t="str">
        <f t="shared" si="13"/>
        <v>DownloadImage2</v>
      </c>
      <c r="B119" t="str">
        <f t="shared" si="14"/>
        <v>list</v>
      </c>
      <c r="E119" t="s">
        <v>340</v>
      </c>
      <c r="G119" t="s">
        <v>145</v>
      </c>
    </row>
    <row r="120" spans="1:7">
      <c r="A120" t="str">
        <f t="shared" si="13"/>
        <v>DownloadImage2</v>
      </c>
      <c r="B120" t="str">
        <f t="shared" si="14"/>
        <v>list</v>
      </c>
      <c r="E120" t="s">
        <v>65</v>
      </c>
      <c r="G120" t="s">
        <v>137</v>
      </c>
    </row>
    <row r="121" spans="1:7">
      <c r="A121" t="str">
        <f t="shared" si="13"/>
        <v/>
      </c>
      <c r="B121" t="str">
        <f t="shared" si="14"/>
        <v/>
      </c>
    </row>
    <row r="122" spans="1:7">
      <c r="A122" t="str">
        <f t="shared" si="13"/>
        <v>imagelist</v>
      </c>
      <c r="B122" t="str">
        <f t="shared" si="14"/>
        <v>list</v>
      </c>
      <c r="C122" t="s">
        <v>16</v>
      </c>
      <c r="D122" t="s">
        <v>66</v>
      </c>
      <c r="E122" t="s">
        <v>84</v>
      </c>
      <c r="G122" t="s">
        <v>136</v>
      </c>
    </row>
    <row r="123" spans="1:7">
      <c r="A123" t="str">
        <f t="shared" si="13"/>
        <v>imagelist</v>
      </c>
      <c r="B123" t="str">
        <f t="shared" si="14"/>
        <v>list</v>
      </c>
      <c r="E123" t="s">
        <v>91</v>
      </c>
    </row>
    <row r="124" spans="1:7">
      <c r="A124" t="str">
        <f t="shared" si="13"/>
        <v>imagelist</v>
      </c>
      <c r="B124" t="str">
        <f t="shared" si="14"/>
        <v>list</v>
      </c>
      <c r="E124" t="s">
        <v>76</v>
      </c>
    </row>
    <row r="125" spans="1:7">
      <c r="A125" t="str">
        <f t="shared" si="13"/>
        <v>imagelist</v>
      </c>
      <c r="B125" t="str">
        <f t="shared" si="14"/>
        <v>list</v>
      </c>
      <c r="E125" t="s">
        <v>77</v>
      </c>
    </row>
    <row r="126" spans="1:7">
      <c r="A126" t="str">
        <f t="shared" si="13"/>
        <v>imagelist</v>
      </c>
      <c r="B126" t="str">
        <f t="shared" si="14"/>
        <v>list</v>
      </c>
      <c r="E126" t="s">
        <v>78</v>
      </c>
    </row>
    <row r="127" spans="1:7">
      <c r="A127" t="str">
        <f t="shared" si="13"/>
        <v>imagelist</v>
      </c>
      <c r="B127" t="str">
        <f t="shared" si="14"/>
        <v>list</v>
      </c>
      <c r="E127" t="s">
        <v>85</v>
      </c>
    </row>
    <row r="128" spans="1:7">
      <c r="A128" t="str">
        <f t="shared" si="13"/>
        <v>imagelist</v>
      </c>
      <c r="B128" t="str">
        <f t="shared" si="14"/>
        <v>list</v>
      </c>
      <c r="E128" t="s">
        <v>79</v>
      </c>
    </row>
    <row r="129" spans="1:6">
      <c r="A129" t="str">
        <f t="shared" si="13"/>
        <v>imagelist</v>
      </c>
      <c r="B129" t="str">
        <f t="shared" si="14"/>
        <v>list</v>
      </c>
      <c r="E129" t="s">
        <v>86</v>
      </c>
    </row>
    <row r="130" spans="1:6">
      <c r="A130" t="str">
        <f t="shared" si="13"/>
        <v>imagelist</v>
      </c>
      <c r="B130" t="str">
        <f t="shared" si="14"/>
        <v>list</v>
      </c>
      <c r="E130" t="s">
        <v>80</v>
      </c>
    </row>
    <row r="131" spans="1:6">
      <c r="A131" t="str">
        <f t="shared" si="13"/>
        <v>imagelist</v>
      </c>
      <c r="B131" t="str">
        <f t="shared" si="14"/>
        <v>list</v>
      </c>
      <c r="E131" t="s">
        <v>87</v>
      </c>
    </row>
    <row r="132" spans="1:6">
      <c r="A132" t="str">
        <f t="shared" si="13"/>
        <v>imagelist</v>
      </c>
      <c r="B132" t="str">
        <f t="shared" si="14"/>
        <v>list</v>
      </c>
      <c r="E132" t="s">
        <v>81</v>
      </c>
    </row>
    <row r="133" spans="1:6">
      <c r="A133" t="str">
        <f t="shared" si="13"/>
        <v>imagelist</v>
      </c>
      <c r="B133" t="str">
        <f t="shared" si="14"/>
        <v>list</v>
      </c>
      <c r="E133" t="s">
        <v>88</v>
      </c>
    </row>
    <row r="134" spans="1:6">
      <c r="A134" t="str">
        <f t="shared" si="13"/>
        <v>imagelist</v>
      </c>
      <c r="B134" t="str">
        <f t="shared" si="14"/>
        <v>list</v>
      </c>
      <c r="E134" t="s">
        <v>82</v>
      </c>
    </row>
    <row r="135" spans="1:6">
      <c r="A135" t="str">
        <f t="shared" si="13"/>
        <v>imagelist</v>
      </c>
      <c r="B135" t="str">
        <f t="shared" si="14"/>
        <v>list</v>
      </c>
      <c r="E135" t="s">
        <v>89</v>
      </c>
    </row>
    <row r="136" spans="1:6">
      <c r="A136" t="str">
        <f t="shared" si="13"/>
        <v>imagelist</v>
      </c>
      <c r="B136" t="str">
        <f t="shared" si="14"/>
        <v>list</v>
      </c>
      <c r="E136" t="s">
        <v>83</v>
      </c>
    </row>
    <row r="137" spans="1:6">
      <c r="A137" t="str">
        <f t="shared" si="13"/>
        <v>imagelist</v>
      </c>
      <c r="B137" t="str">
        <f t="shared" si="14"/>
        <v>list</v>
      </c>
      <c r="E137" t="s">
        <v>90</v>
      </c>
    </row>
    <row r="138" spans="1:6">
      <c r="A138" t="str">
        <f t="shared" si="13"/>
        <v/>
      </c>
      <c r="B138" t="str">
        <f t="shared" si="14"/>
        <v/>
      </c>
    </row>
    <row r="139" spans="1:6">
      <c r="A139" t="str">
        <f t="shared" si="13"/>
        <v/>
      </c>
      <c r="B139" t="str">
        <f t="shared" si="14"/>
        <v/>
      </c>
    </row>
    <row r="140" spans="1:6">
      <c r="A140" t="str">
        <f t="shared" si="13"/>
        <v>pageTitles</v>
      </c>
      <c r="B140" t="str">
        <f t="shared" si="14"/>
        <v>list</v>
      </c>
      <c r="C140" t="s">
        <v>16</v>
      </c>
      <c r="D140" t="s">
        <v>67</v>
      </c>
      <c r="E140" t="s">
        <v>68</v>
      </c>
    </row>
    <row r="141" spans="1:6">
      <c r="A141" t="str">
        <f t="shared" si="13"/>
        <v>pageTitles</v>
      </c>
      <c r="B141" t="str">
        <f t="shared" si="14"/>
        <v>list</v>
      </c>
      <c r="E141" t="s">
        <v>69</v>
      </c>
    </row>
    <row r="142" spans="1:6">
      <c r="A142" t="str">
        <f t="shared" si="13"/>
        <v/>
      </c>
      <c r="B142" t="str">
        <f t="shared" si="14"/>
        <v/>
      </c>
    </row>
    <row r="143" spans="1:6">
      <c r="A143" t="str">
        <f t="shared" si="13"/>
        <v>globalParameters</v>
      </c>
      <c r="B143" t="str">
        <f t="shared" si="14"/>
        <v>key</v>
      </c>
      <c r="C143" t="s">
        <v>15</v>
      </c>
      <c r="D143" t="s">
        <v>35</v>
      </c>
      <c r="E143" t="s">
        <v>36</v>
      </c>
      <c r="F143" t="b">
        <v>0</v>
      </c>
    </row>
    <row r="144" spans="1:6">
      <c r="A144" t="str">
        <f t="shared" si="13"/>
        <v/>
      </c>
      <c r="B144" t="str">
        <f t="shared" si="14"/>
        <v/>
      </c>
    </row>
    <row r="145" spans="1:7">
      <c r="A145" t="str">
        <f t="shared" si="13"/>
        <v>main_temp</v>
      </c>
      <c r="B145" t="str">
        <f t="shared" si="14"/>
        <v>list</v>
      </c>
      <c r="C145" t="s">
        <v>16</v>
      </c>
      <c r="D145" t="s">
        <v>70</v>
      </c>
      <c r="E145" t="s">
        <v>30</v>
      </c>
    </row>
    <row r="146" spans="1:7">
      <c r="A146" t="str">
        <f t="shared" si="13"/>
        <v>main_temp</v>
      </c>
      <c r="B146" t="str">
        <f t="shared" si="14"/>
        <v>list</v>
      </c>
      <c r="E146" t="s">
        <v>72</v>
      </c>
      <c r="G146" t="s">
        <v>71</v>
      </c>
    </row>
    <row r="147" spans="1:7">
      <c r="A147" t="str">
        <f t="shared" si="13"/>
        <v>main_temp</v>
      </c>
      <c r="B147" t="str">
        <f t="shared" si="14"/>
        <v>list</v>
      </c>
      <c r="E147" t="s">
        <v>73</v>
      </c>
    </row>
    <row r="148" spans="1:7">
      <c r="A148" t="str">
        <f t="shared" si="13"/>
        <v/>
      </c>
      <c r="B148" t="str">
        <f t="shared" si="14"/>
        <v/>
      </c>
    </row>
    <row r="149" spans="1:7">
      <c r="A149" t="str">
        <f t="shared" si="13"/>
        <v/>
      </c>
      <c r="B149" t="str">
        <f t="shared" si="14"/>
        <v/>
      </c>
    </row>
    <row r="150" spans="1:7">
      <c r="A150" t="str">
        <f t="shared" si="13"/>
        <v/>
      </c>
      <c r="B150" t="str">
        <f t="shared" si="14"/>
        <v/>
      </c>
    </row>
    <row r="151" spans="1:7">
      <c r="A151" t="str">
        <f t="shared" si="13"/>
        <v/>
      </c>
      <c r="B151" t="str">
        <f t="shared" si="14"/>
        <v/>
      </c>
    </row>
    <row r="152" spans="1:7">
      <c r="A152" t="str">
        <f t="shared" si="13"/>
        <v/>
      </c>
      <c r="B152" t="str">
        <f t="shared" si="14"/>
        <v/>
      </c>
    </row>
    <row r="153" spans="1:7">
      <c r="A153" t="str">
        <f t="shared" si="13"/>
        <v>pageTitles</v>
      </c>
      <c r="B153" t="str">
        <f t="shared" si="14"/>
        <v>list</v>
      </c>
      <c r="C153" t="s">
        <v>16</v>
      </c>
      <c r="D153" t="s">
        <v>67</v>
      </c>
      <c r="E153" t="s">
        <v>68</v>
      </c>
    </row>
    <row r="154" spans="1:7">
      <c r="A154" t="str">
        <f t="shared" si="13"/>
        <v>pageTitles</v>
      </c>
      <c r="B154" t="str">
        <f t="shared" si="14"/>
        <v>list</v>
      </c>
      <c r="E154" t="s">
        <v>157</v>
      </c>
    </row>
    <row r="155" spans="1:7">
      <c r="A155" t="str">
        <f t="shared" si="13"/>
        <v>pageTitles</v>
      </c>
      <c r="B155" t="str">
        <f t="shared" si="14"/>
        <v>list</v>
      </c>
      <c r="E155" t="s">
        <v>158</v>
      </c>
    </row>
    <row r="156" spans="1:7">
      <c r="A156" t="str">
        <f t="shared" si="13"/>
        <v>pageTitles</v>
      </c>
      <c r="B156" t="str">
        <f t="shared" si="14"/>
        <v>list</v>
      </c>
      <c r="E156" t="s">
        <v>159</v>
      </c>
    </row>
    <row r="157" spans="1:7">
      <c r="A157" t="str">
        <f t="shared" si="13"/>
        <v>pageTitles</v>
      </c>
      <c r="B157" t="str">
        <f t="shared" si="14"/>
        <v>list</v>
      </c>
      <c r="E157" t="s">
        <v>160</v>
      </c>
    </row>
    <row r="158" spans="1:7">
      <c r="A158" t="str">
        <f t="shared" si="13"/>
        <v>pageTitles</v>
      </c>
      <c r="B158" t="str">
        <f t="shared" si="14"/>
        <v>list</v>
      </c>
      <c r="E158" t="s">
        <v>161</v>
      </c>
    </row>
    <row r="159" spans="1:7">
      <c r="A159" t="str">
        <f t="shared" si="13"/>
        <v>pageTitles</v>
      </c>
      <c r="B159" t="str">
        <f t="shared" si="14"/>
        <v>list</v>
      </c>
      <c r="E159" t="s">
        <v>162</v>
      </c>
    </row>
    <row r="160" spans="1:7">
      <c r="A160" t="str">
        <f t="shared" si="13"/>
        <v>pageTitles</v>
      </c>
      <c r="B160" t="str">
        <f t="shared" si="14"/>
        <v>list</v>
      </c>
      <c r="E160" t="s">
        <v>163</v>
      </c>
    </row>
    <row r="161" spans="1:5">
      <c r="A161" t="str">
        <f t="shared" si="13"/>
        <v>pageTitles</v>
      </c>
      <c r="B161" t="str">
        <f t="shared" si="14"/>
        <v>list</v>
      </c>
      <c r="E161" t="s">
        <v>164</v>
      </c>
    </row>
    <row r="162" spans="1:5">
      <c r="A162" t="str">
        <f t="shared" si="13"/>
        <v>pageTitles</v>
      </c>
      <c r="B162" t="str">
        <f t="shared" si="14"/>
        <v>list</v>
      </c>
      <c r="E162" t="s">
        <v>165</v>
      </c>
    </row>
    <row r="163" spans="1:5">
      <c r="A163" t="str">
        <f t="shared" si="13"/>
        <v>pageTitles</v>
      </c>
      <c r="B163" t="str">
        <f t="shared" si="14"/>
        <v>list</v>
      </c>
      <c r="E163" t="s">
        <v>166</v>
      </c>
    </row>
    <row r="164" spans="1:5">
      <c r="A164" t="str">
        <f t="shared" si="13"/>
        <v>pageTitles</v>
      </c>
      <c r="B164" t="str">
        <f t="shared" si="14"/>
        <v>list</v>
      </c>
      <c r="E164" t="s">
        <v>167</v>
      </c>
    </row>
    <row r="165" spans="1:5">
      <c r="A165" t="str">
        <f t="shared" si="13"/>
        <v>pageTitles</v>
      </c>
      <c r="B165" t="str">
        <f t="shared" si="14"/>
        <v>list</v>
      </c>
      <c r="E165" t="s">
        <v>168</v>
      </c>
    </row>
    <row r="166" spans="1:5">
      <c r="A166" t="str">
        <f t="shared" ref="A166:A229" si="15">IF(D166="",IF(E166="","",A165),D166)</f>
        <v>pageTitles</v>
      </c>
      <c r="B166" t="str">
        <f t="shared" ref="B166:B229" si="16">IF(C166="",IF(E166="","",B165),C166)</f>
        <v>list</v>
      </c>
      <c r="E166" t="s">
        <v>169</v>
      </c>
    </row>
    <row r="167" spans="1:5">
      <c r="A167" t="str">
        <f t="shared" si="15"/>
        <v>pageTitles</v>
      </c>
      <c r="B167" t="str">
        <f t="shared" si="16"/>
        <v>list</v>
      </c>
      <c r="E167" t="s">
        <v>170</v>
      </c>
    </row>
    <row r="168" spans="1:5">
      <c r="A168" t="str">
        <f t="shared" si="15"/>
        <v>pageTitles</v>
      </c>
      <c r="B168" t="str">
        <f t="shared" si="16"/>
        <v>list</v>
      </c>
      <c r="E168" t="s">
        <v>171</v>
      </c>
    </row>
    <row r="169" spans="1:5">
      <c r="A169" t="str">
        <f t="shared" si="15"/>
        <v>pageTitles</v>
      </c>
      <c r="B169" t="str">
        <f t="shared" si="16"/>
        <v>list</v>
      </c>
      <c r="E169" t="s">
        <v>172</v>
      </c>
    </row>
    <row r="170" spans="1:5">
      <c r="A170" t="str">
        <f t="shared" si="15"/>
        <v>pageTitles</v>
      </c>
      <c r="B170" t="str">
        <f t="shared" si="16"/>
        <v>list</v>
      </c>
      <c r="E170" t="s">
        <v>173</v>
      </c>
    </row>
    <row r="171" spans="1:5">
      <c r="A171" t="str">
        <f t="shared" si="15"/>
        <v>pageTitles</v>
      </c>
      <c r="B171" t="str">
        <f t="shared" si="16"/>
        <v>list</v>
      </c>
      <c r="E171" t="s">
        <v>174</v>
      </c>
    </row>
    <row r="172" spans="1:5">
      <c r="A172" t="str">
        <f t="shared" si="15"/>
        <v>pageTitles</v>
      </c>
      <c r="B172" t="str">
        <f t="shared" si="16"/>
        <v>list</v>
      </c>
      <c r="E172" t="s">
        <v>175</v>
      </c>
    </row>
    <row r="173" spans="1:5">
      <c r="A173" t="str">
        <f t="shared" si="15"/>
        <v>pageTitles</v>
      </c>
      <c r="B173" t="str">
        <f t="shared" si="16"/>
        <v>list</v>
      </c>
      <c r="E173" t="s">
        <v>176</v>
      </c>
    </row>
    <row r="174" spans="1:5">
      <c r="A174" t="str">
        <f t="shared" si="15"/>
        <v>pageTitles</v>
      </c>
      <c r="B174" t="str">
        <f t="shared" si="16"/>
        <v>list</v>
      </c>
      <c r="E174" t="s">
        <v>177</v>
      </c>
    </row>
    <row r="175" spans="1:5">
      <c r="A175" t="str">
        <f t="shared" si="15"/>
        <v>pageTitles</v>
      </c>
      <c r="B175" t="str">
        <f t="shared" si="16"/>
        <v>list</v>
      </c>
      <c r="E175" t="s">
        <v>178</v>
      </c>
    </row>
    <row r="176" spans="1:5">
      <c r="A176" t="str">
        <f t="shared" si="15"/>
        <v>pageTitles</v>
      </c>
      <c r="B176" t="str">
        <f t="shared" si="16"/>
        <v>list</v>
      </c>
      <c r="E176" t="s">
        <v>179</v>
      </c>
    </row>
    <row r="177" spans="1:5">
      <c r="A177" t="str">
        <f t="shared" si="15"/>
        <v>pageTitles</v>
      </c>
      <c r="B177" t="str">
        <f t="shared" si="16"/>
        <v>list</v>
      </c>
      <c r="E177" t="s">
        <v>180</v>
      </c>
    </row>
    <row r="178" spans="1:5">
      <c r="A178" t="str">
        <f t="shared" si="15"/>
        <v>pageTitles</v>
      </c>
      <c r="B178" t="str">
        <f t="shared" si="16"/>
        <v>list</v>
      </c>
      <c r="E178" t="s">
        <v>181</v>
      </c>
    </row>
    <row r="179" spans="1:5">
      <c r="A179" t="str">
        <f t="shared" si="15"/>
        <v>pageTitles</v>
      </c>
      <c r="B179" t="str">
        <f t="shared" si="16"/>
        <v>list</v>
      </c>
      <c r="E179" t="s">
        <v>182</v>
      </c>
    </row>
    <row r="180" spans="1:5">
      <c r="A180" t="str">
        <f t="shared" si="15"/>
        <v>pageTitles</v>
      </c>
      <c r="B180" t="str">
        <f t="shared" si="16"/>
        <v>list</v>
      </c>
      <c r="E180" t="s">
        <v>183</v>
      </c>
    </row>
    <row r="181" spans="1:5">
      <c r="A181" t="str">
        <f t="shared" si="15"/>
        <v>pageTitles</v>
      </c>
      <c r="B181" t="str">
        <f t="shared" si="16"/>
        <v>list</v>
      </c>
      <c r="E181" t="s">
        <v>184</v>
      </c>
    </row>
    <row r="182" spans="1:5">
      <c r="A182" t="str">
        <f t="shared" si="15"/>
        <v>pageTitles</v>
      </c>
      <c r="B182" t="str">
        <f t="shared" si="16"/>
        <v>list</v>
      </c>
      <c r="E182" t="s">
        <v>185</v>
      </c>
    </row>
    <row r="183" spans="1:5">
      <c r="A183" t="str">
        <f t="shared" si="15"/>
        <v>pageTitles</v>
      </c>
      <c r="B183" t="str">
        <f t="shared" si="16"/>
        <v>list</v>
      </c>
      <c r="E183" t="s">
        <v>186</v>
      </c>
    </row>
    <row r="184" spans="1:5">
      <c r="A184" t="str">
        <f t="shared" si="15"/>
        <v>pageTitles</v>
      </c>
      <c r="B184" t="str">
        <f t="shared" si="16"/>
        <v>list</v>
      </c>
      <c r="E184" t="s">
        <v>187</v>
      </c>
    </row>
    <row r="185" spans="1:5">
      <c r="A185" t="str">
        <f t="shared" si="15"/>
        <v>pageTitles</v>
      </c>
      <c r="B185" t="str">
        <f t="shared" si="16"/>
        <v>list</v>
      </c>
      <c r="E185" t="s">
        <v>188</v>
      </c>
    </row>
    <row r="186" spans="1:5">
      <c r="A186" t="str">
        <f t="shared" si="15"/>
        <v>pageTitles</v>
      </c>
      <c r="B186" t="str">
        <f t="shared" si="16"/>
        <v>list</v>
      </c>
      <c r="E186" t="s">
        <v>189</v>
      </c>
    </row>
    <row r="187" spans="1:5">
      <c r="A187" t="str">
        <f t="shared" si="15"/>
        <v>pageTitles</v>
      </c>
      <c r="B187" t="str">
        <f t="shared" si="16"/>
        <v>list</v>
      </c>
      <c r="E187" t="s">
        <v>190</v>
      </c>
    </row>
    <row r="188" spans="1:5">
      <c r="A188" t="str">
        <f t="shared" si="15"/>
        <v>pageTitles</v>
      </c>
      <c r="B188" t="str">
        <f t="shared" si="16"/>
        <v>list</v>
      </c>
      <c r="E188" t="s">
        <v>191</v>
      </c>
    </row>
    <row r="189" spans="1:5">
      <c r="A189" t="str">
        <f t="shared" si="15"/>
        <v>pageTitles</v>
      </c>
      <c r="B189" t="str">
        <f t="shared" si="16"/>
        <v>list</v>
      </c>
      <c r="E189" t="s">
        <v>192</v>
      </c>
    </row>
    <row r="190" spans="1:5">
      <c r="A190" t="str">
        <f t="shared" si="15"/>
        <v>pageTitles</v>
      </c>
      <c r="B190" t="str">
        <f t="shared" si="16"/>
        <v>list</v>
      </c>
      <c r="E190" t="s">
        <v>193</v>
      </c>
    </row>
    <row r="191" spans="1:5">
      <c r="A191" t="str">
        <f t="shared" si="15"/>
        <v>pageTitles</v>
      </c>
      <c r="B191" t="str">
        <f t="shared" si="16"/>
        <v>list</v>
      </c>
      <c r="E191" t="s">
        <v>194</v>
      </c>
    </row>
    <row r="192" spans="1:5">
      <c r="A192" t="str">
        <f t="shared" si="15"/>
        <v>pageTitles</v>
      </c>
      <c r="B192" t="str">
        <f t="shared" si="16"/>
        <v>list</v>
      </c>
      <c r="E192" t="s">
        <v>195</v>
      </c>
    </row>
    <row r="193" spans="1:6">
      <c r="A193" t="str">
        <f t="shared" si="15"/>
        <v>pageTitles</v>
      </c>
      <c r="B193" t="str">
        <f t="shared" si="16"/>
        <v>list</v>
      </c>
      <c r="E193" t="s">
        <v>196</v>
      </c>
    </row>
    <row r="194" spans="1:6">
      <c r="A194" t="str">
        <f t="shared" si="15"/>
        <v>pageTitles</v>
      </c>
      <c r="B194" t="str">
        <f t="shared" si="16"/>
        <v>list</v>
      </c>
      <c r="E194" t="s">
        <v>197</v>
      </c>
    </row>
    <row r="195" spans="1:6">
      <c r="A195" t="str">
        <f t="shared" si="15"/>
        <v>pageTitles</v>
      </c>
      <c r="B195" t="str">
        <f t="shared" si="16"/>
        <v>list</v>
      </c>
      <c r="E195" t="s">
        <v>198</v>
      </c>
    </row>
    <row r="196" spans="1:6">
      <c r="A196" t="str">
        <f t="shared" si="15"/>
        <v>pageTitles</v>
      </c>
      <c r="B196" t="str">
        <f t="shared" si="16"/>
        <v>list</v>
      </c>
      <c r="E196" t="s">
        <v>199</v>
      </c>
    </row>
    <row r="197" spans="1:6">
      <c r="A197" t="str">
        <f t="shared" si="15"/>
        <v>pageTitles</v>
      </c>
      <c r="B197" t="str">
        <f t="shared" si="16"/>
        <v>list</v>
      </c>
      <c r="E197" t="s">
        <v>200</v>
      </c>
    </row>
    <row r="198" spans="1:6">
      <c r="A198" t="str">
        <f t="shared" si="15"/>
        <v>pageTitles</v>
      </c>
      <c r="B198" t="str">
        <f t="shared" si="16"/>
        <v>list</v>
      </c>
      <c r="E198" t="s">
        <v>201</v>
      </c>
    </row>
    <row r="199" spans="1:6">
      <c r="A199" t="str">
        <f t="shared" si="15"/>
        <v>pageTitles</v>
      </c>
      <c r="B199" t="str">
        <f t="shared" si="16"/>
        <v>list</v>
      </c>
      <c r="E199" t="s">
        <v>202</v>
      </c>
    </row>
    <row r="200" spans="1:6">
      <c r="A200" t="str">
        <f t="shared" si="15"/>
        <v>pageTitles</v>
      </c>
      <c r="B200" t="str">
        <f t="shared" si="16"/>
        <v>list</v>
      </c>
      <c r="E200" t="s">
        <v>203</v>
      </c>
    </row>
    <row r="201" spans="1:6">
      <c r="A201" t="str">
        <f t="shared" si="15"/>
        <v/>
      </c>
      <c r="B201" t="str">
        <f t="shared" si="16"/>
        <v/>
      </c>
    </row>
    <row r="202" spans="1:6">
      <c r="A202" t="str">
        <f t="shared" si="15"/>
        <v/>
      </c>
      <c r="B202" t="str">
        <f t="shared" si="16"/>
        <v/>
      </c>
    </row>
    <row r="203" spans="1:6">
      <c r="A203" t="str">
        <f t="shared" si="15"/>
        <v>imagelist</v>
      </c>
      <c r="B203" t="str">
        <f t="shared" si="16"/>
        <v>list</v>
      </c>
      <c r="C203" t="s">
        <v>16</v>
      </c>
      <c r="D203" t="s">
        <v>66</v>
      </c>
      <c r="E203" t="s">
        <v>204</v>
      </c>
      <c r="F203" t="s">
        <v>68</v>
      </c>
    </row>
    <row r="204" spans="1:6">
      <c r="A204" t="str">
        <f t="shared" si="15"/>
        <v>imagelist</v>
      </c>
      <c r="B204" t="str">
        <f t="shared" si="16"/>
        <v>list</v>
      </c>
      <c r="E204" t="s">
        <v>205</v>
      </c>
      <c r="F204" t="s">
        <v>157</v>
      </c>
    </row>
    <row r="205" spans="1:6">
      <c r="A205" t="str">
        <f t="shared" si="15"/>
        <v>imagelist</v>
      </c>
      <c r="B205" t="str">
        <f t="shared" si="16"/>
        <v>list</v>
      </c>
      <c r="E205" t="s">
        <v>206</v>
      </c>
      <c r="F205" t="s">
        <v>158</v>
      </c>
    </row>
    <row r="206" spans="1:6">
      <c r="A206" t="str">
        <f t="shared" si="15"/>
        <v>imagelist</v>
      </c>
      <c r="B206" t="str">
        <f t="shared" si="16"/>
        <v>list</v>
      </c>
      <c r="E206" t="s">
        <v>207</v>
      </c>
      <c r="F206" t="s">
        <v>159</v>
      </c>
    </row>
    <row r="207" spans="1:6">
      <c r="A207" t="str">
        <f t="shared" si="15"/>
        <v>imagelist</v>
      </c>
      <c r="B207" t="str">
        <f t="shared" si="16"/>
        <v>list</v>
      </c>
      <c r="E207" t="s">
        <v>208</v>
      </c>
      <c r="F207" t="s">
        <v>160</v>
      </c>
    </row>
    <row r="208" spans="1:6">
      <c r="A208" t="str">
        <f t="shared" si="15"/>
        <v>imagelist</v>
      </c>
      <c r="B208" t="str">
        <f t="shared" si="16"/>
        <v>list</v>
      </c>
      <c r="E208" t="s">
        <v>209</v>
      </c>
      <c r="F208" t="s">
        <v>161</v>
      </c>
    </row>
    <row r="209" spans="1:6">
      <c r="A209" t="str">
        <f t="shared" si="15"/>
        <v>imagelist</v>
      </c>
      <c r="B209" t="str">
        <f t="shared" si="16"/>
        <v>list</v>
      </c>
      <c r="E209" t="s">
        <v>210</v>
      </c>
      <c r="F209" t="s">
        <v>162</v>
      </c>
    </row>
    <row r="210" spans="1:6">
      <c r="A210" t="str">
        <f t="shared" si="15"/>
        <v>imagelist</v>
      </c>
      <c r="B210" t="str">
        <f t="shared" si="16"/>
        <v>list</v>
      </c>
      <c r="E210" t="s">
        <v>211</v>
      </c>
      <c r="F210" t="s">
        <v>163</v>
      </c>
    </row>
    <row r="211" spans="1:6">
      <c r="A211" t="str">
        <f t="shared" si="15"/>
        <v>imagelist</v>
      </c>
      <c r="B211" t="str">
        <f t="shared" si="16"/>
        <v>list</v>
      </c>
      <c r="E211" t="s">
        <v>212</v>
      </c>
      <c r="F211" t="s">
        <v>164</v>
      </c>
    </row>
    <row r="212" spans="1:6">
      <c r="A212" t="str">
        <f t="shared" si="15"/>
        <v>imagelist</v>
      </c>
      <c r="B212" t="str">
        <f t="shared" si="16"/>
        <v>list</v>
      </c>
      <c r="E212" t="s">
        <v>213</v>
      </c>
      <c r="F212" t="s">
        <v>165</v>
      </c>
    </row>
    <row r="213" spans="1:6">
      <c r="A213" t="str">
        <f t="shared" si="15"/>
        <v>imagelist</v>
      </c>
      <c r="B213" t="str">
        <f t="shared" si="16"/>
        <v>list</v>
      </c>
      <c r="E213" t="s">
        <v>214</v>
      </c>
      <c r="F213" t="s">
        <v>166</v>
      </c>
    </row>
    <row r="214" spans="1:6">
      <c r="A214" t="str">
        <f t="shared" si="15"/>
        <v>imagelist</v>
      </c>
      <c r="B214" t="str">
        <f t="shared" si="16"/>
        <v>list</v>
      </c>
      <c r="E214" t="s">
        <v>215</v>
      </c>
      <c r="F214" t="s">
        <v>167</v>
      </c>
    </row>
    <row r="215" spans="1:6">
      <c r="A215" t="str">
        <f t="shared" si="15"/>
        <v>imagelist</v>
      </c>
      <c r="B215" t="str">
        <f t="shared" si="16"/>
        <v>list</v>
      </c>
      <c r="E215" t="s">
        <v>216</v>
      </c>
      <c r="F215" t="s">
        <v>168</v>
      </c>
    </row>
    <row r="216" spans="1:6">
      <c r="A216" t="str">
        <f t="shared" si="15"/>
        <v>imagelist</v>
      </c>
      <c r="B216" t="str">
        <f t="shared" si="16"/>
        <v>list</v>
      </c>
      <c r="E216" t="s">
        <v>217</v>
      </c>
      <c r="F216" t="s">
        <v>169</v>
      </c>
    </row>
    <row r="217" spans="1:6">
      <c r="A217" t="str">
        <f t="shared" si="15"/>
        <v>imagelist</v>
      </c>
      <c r="B217" t="str">
        <f t="shared" si="16"/>
        <v>list</v>
      </c>
      <c r="E217" t="s">
        <v>218</v>
      </c>
      <c r="F217" t="s">
        <v>170</v>
      </c>
    </row>
    <row r="218" spans="1:6">
      <c r="A218" t="str">
        <f t="shared" si="15"/>
        <v>imagelist</v>
      </c>
      <c r="B218" t="str">
        <f t="shared" si="16"/>
        <v>list</v>
      </c>
      <c r="E218" t="s">
        <v>219</v>
      </c>
      <c r="F218" t="s">
        <v>171</v>
      </c>
    </row>
    <row r="219" spans="1:6">
      <c r="A219" t="str">
        <f t="shared" si="15"/>
        <v>imagelist</v>
      </c>
      <c r="B219" t="str">
        <f t="shared" si="16"/>
        <v>list</v>
      </c>
      <c r="E219" t="s">
        <v>220</v>
      </c>
      <c r="F219" t="s">
        <v>172</v>
      </c>
    </row>
    <row r="220" spans="1:6">
      <c r="A220" t="str">
        <f t="shared" si="15"/>
        <v>imagelist</v>
      </c>
      <c r="B220" t="str">
        <f t="shared" si="16"/>
        <v>list</v>
      </c>
      <c r="E220" t="s">
        <v>221</v>
      </c>
      <c r="F220" t="s">
        <v>173</v>
      </c>
    </row>
    <row r="221" spans="1:6">
      <c r="A221" t="str">
        <f t="shared" si="15"/>
        <v>imagelist</v>
      </c>
      <c r="B221" t="str">
        <f t="shared" si="16"/>
        <v>list</v>
      </c>
      <c r="E221" t="s">
        <v>222</v>
      </c>
      <c r="F221" t="s">
        <v>174</v>
      </c>
    </row>
    <row r="222" spans="1:6">
      <c r="A222" t="str">
        <f t="shared" si="15"/>
        <v>imagelist</v>
      </c>
      <c r="B222" t="str">
        <f t="shared" si="16"/>
        <v>list</v>
      </c>
      <c r="E222" t="s">
        <v>223</v>
      </c>
      <c r="F222" t="s">
        <v>175</v>
      </c>
    </row>
    <row r="223" spans="1:6">
      <c r="A223" t="str">
        <f t="shared" si="15"/>
        <v>imagelist</v>
      </c>
      <c r="B223" t="str">
        <f t="shared" si="16"/>
        <v>list</v>
      </c>
      <c r="E223" t="s">
        <v>224</v>
      </c>
      <c r="F223" t="s">
        <v>176</v>
      </c>
    </row>
    <row r="224" spans="1:6">
      <c r="A224" t="str">
        <f t="shared" si="15"/>
        <v>imagelist</v>
      </c>
      <c r="B224" t="str">
        <f t="shared" si="16"/>
        <v>list</v>
      </c>
      <c r="E224" t="s">
        <v>225</v>
      </c>
      <c r="F224" t="s">
        <v>177</v>
      </c>
    </row>
    <row r="225" spans="1:6">
      <c r="A225" t="str">
        <f t="shared" si="15"/>
        <v>imagelist</v>
      </c>
      <c r="B225" t="str">
        <f t="shared" si="16"/>
        <v>list</v>
      </c>
      <c r="E225" t="s">
        <v>226</v>
      </c>
      <c r="F225" t="s">
        <v>178</v>
      </c>
    </row>
    <row r="226" spans="1:6">
      <c r="A226" t="str">
        <f t="shared" si="15"/>
        <v>imagelist</v>
      </c>
      <c r="B226" t="str">
        <f t="shared" si="16"/>
        <v>list</v>
      </c>
      <c r="E226" t="s">
        <v>227</v>
      </c>
      <c r="F226" t="s">
        <v>179</v>
      </c>
    </row>
    <row r="227" spans="1:6">
      <c r="A227" t="str">
        <f t="shared" si="15"/>
        <v>imagelist</v>
      </c>
      <c r="B227" t="str">
        <f t="shared" si="16"/>
        <v>list</v>
      </c>
      <c r="E227" t="s">
        <v>228</v>
      </c>
      <c r="F227" t="s">
        <v>180</v>
      </c>
    </row>
    <row r="228" spans="1:6">
      <c r="A228" t="str">
        <f t="shared" si="15"/>
        <v>imagelist</v>
      </c>
      <c r="B228" t="str">
        <f t="shared" si="16"/>
        <v>list</v>
      </c>
      <c r="E228" t="s">
        <v>229</v>
      </c>
      <c r="F228" t="s">
        <v>181</v>
      </c>
    </row>
    <row r="229" spans="1:6">
      <c r="A229" t="str">
        <f t="shared" si="15"/>
        <v>imagelist</v>
      </c>
      <c r="B229" t="str">
        <f t="shared" si="16"/>
        <v>list</v>
      </c>
      <c r="E229" t="s">
        <v>230</v>
      </c>
      <c r="F229" t="s">
        <v>182</v>
      </c>
    </row>
    <row r="230" spans="1:6">
      <c r="A230" t="str">
        <f t="shared" ref="A230:A293" si="17">IF(D230="",IF(E230="","",A229),D230)</f>
        <v>imagelist</v>
      </c>
      <c r="B230" t="str">
        <f t="shared" ref="B230:B293" si="18">IF(C230="",IF(E230="","",B229),C230)</f>
        <v>list</v>
      </c>
      <c r="E230" t="s">
        <v>231</v>
      </c>
      <c r="F230" t="s">
        <v>183</v>
      </c>
    </row>
    <row r="231" spans="1:6">
      <c r="A231" t="str">
        <f t="shared" si="17"/>
        <v>imagelist</v>
      </c>
      <c r="B231" t="str">
        <f t="shared" si="18"/>
        <v>list</v>
      </c>
      <c r="E231" t="s">
        <v>232</v>
      </c>
      <c r="F231" t="s">
        <v>184</v>
      </c>
    </row>
    <row r="232" spans="1:6">
      <c r="A232" t="str">
        <f t="shared" si="17"/>
        <v>imagelist</v>
      </c>
      <c r="B232" t="str">
        <f t="shared" si="18"/>
        <v>list</v>
      </c>
      <c r="E232" t="s">
        <v>233</v>
      </c>
      <c r="F232" t="s">
        <v>185</v>
      </c>
    </row>
    <row r="233" spans="1:6">
      <c r="A233" t="str">
        <f t="shared" si="17"/>
        <v>imagelist</v>
      </c>
      <c r="B233" t="str">
        <f t="shared" si="18"/>
        <v>list</v>
      </c>
      <c r="E233" t="s">
        <v>234</v>
      </c>
      <c r="F233" t="s">
        <v>186</v>
      </c>
    </row>
    <row r="234" spans="1:6">
      <c r="A234" t="str">
        <f t="shared" si="17"/>
        <v>imagelist</v>
      </c>
      <c r="B234" t="str">
        <f t="shared" si="18"/>
        <v>list</v>
      </c>
      <c r="E234" t="s">
        <v>235</v>
      </c>
      <c r="F234" t="s">
        <v>187</v>
      </c>
    </row>
    <row r="235" spans="1:6">
      <c r="A235" t="str">
        <f t="shared" si="17"/>
        <v>imagelist</v>
      </c>
      <c r="B235" t="str">
        <f t="shared" si="18"/>
        <v>list</v>
      </c>
      <c r="E235" t="s">
        <v>236</v>
      </c>
      <c r="F235" t="s">
        <v>188</v>
      </c>
    </row>
    <row r="236" spans="1:6">
      <c r="A236" t="str">
        <f t="shared" si="17"/>
        <v>imagelist</v>
      </c>
      <c r="B236" t="str">
        <f t="shared" si="18"/>
        <v>list</v>
      </c>
      <c r="E236" t="s">
        <v>237</v>
      </c>
      <c r="F236" t="s">
        <v>189</v>
      </c>
    </row>
    <row r="237" spans="1:6">
      <c r="A237" t="str">
        <f t="shared" si="17"/>
        <v>imagelist</v>
      </c>
      <c r="B237" t="str">
        <f t="shared" si="18"/>
        <v>list</v>
      </c>
      <c r="E237" t="s">
        <v>238</v>
      </c>
      <c r="F237" t="s">
        <v>190</v>
      </c>
    </row>
    <row r="238" spans="1:6">
      <c r="A238" t="str">
        <f t="shared" si="17"/>
        <v>imagelist</v>
      </c>
      <c r="B238" t="str">
        <f t="shared" si="18"/>
        <v>list</v>
      </c>
      <c r="E238" t="s">
        <v>239</v>
      </c>
      <c r="F238" t="s">
        <v>191</v>
      </c>
    </row>
    <row r="239" spans="1:6">
      <c r="A239" t="str">
        <f t="shared" si="17"/>
        <v>imagelist</v>
      </c>
      <c r="B239" t="str">
        <f t="shared" si="18"/>
        <v>list</v>
      </c>
      <c r="E239" t="s">
        <v>240</v>
      </c>
      <c r="F239" t="s">
        <v>192</v>
      </c>
    </row>
    <row r="240" spans="1:6">
      <c r="A240" t="str">
        <f t="shared" si="17"/>
        <v>imagelist</v>
      </c>
      <c r="B240" t="str">
        <f t="shared" si="18"/>
        <v>list</v>
      </c>
      <c r="E240" t="s">
        <v>241</v>
      </c>
      <c r="F240" t="s">
        <v>193</v>
      </c>
    </row>
    <row r="241" spans="1:15">
      <c r="A241" t="str">
        <f t="shared" si="17"/>
        <v>imagelist</v>
      </c>
      <c r="B241" t="str">
        <f t="shared" si="18"/>
        <v>list</v>
      </c>
      <c r="E241" t="s">
        <v>242</v>
      </c>
      <c r="F241" t="s">
        <v>194</v>
      </c>
    </row>
    <row r="242" spans="1:15">
      <c r="A242" t="str">
        <f t="shared" si="17"/>
        <v>imagelist</v>
      </c>
      <c r="B242" t="str">
        <f t="shared" si="18"/>
        <v>list</v>
      </c>
      <c r="E242" t="s">
        <v>243</v>
      </c>
      <c r="F242" t="s">
        <v>195</v>
      </c>
    </row>
    <row r="243" spans="1:15">
      <c r="A243" t="str">
        <f t="shared" si="17"/>
        <v>imagelist</v>
      </c>
      <c r="B243" t="str">
        <f t="shared" si="18"/>
        <v>list</v>
      </c>
      <c r="E243" t="s">
        <v>244</v>
      </c>
      <c r="F243" t="s">
        <v>196</v>
      </c>
    </row>
    <row r="244" spans="1:15">
      <c r="A244" t="str">
        <f t="shared" si="17"/>
        <v>imagelist</v>
      </c>
      <c r="B244" t="str">
        <f t="shared" si="18"/>
        <v>list</v>
      </c>
      <c r="E244" t="s">
        <v>245</v>
      </c>
      <c r="F244" t="s">
        <v>197</v>
      </c>
    </row>
    <row r="245" spans="1:15">
      <c r="A245" t="str">
        <f t="shared" si="17"/>
        <v>imagelist</v>
      </c>
      <c r="B245" t="str">
        <f t="shared" si="18"/>
        <v>list</v>
      </c>
      <c r="E245" t="s">
        <v>246</v>
      </c>
      <c r="F245" t="s">
        <v>198</v>
      </c>
    </row>
    <row r="246" spans="1:15">
      <c r="A246" t="str">
        <f t="shared" si="17"/>
        <v>imagelist</v>
      </c>
      <c r="B246" t="str">
        <f t="shared" si="18"/>
        <v>list</v>
      </c>
      <c r="E246" t="s">
        <v>247</v>
      </c>
      <c r="F246" t="s">
        <v>199</v>
      </c>
    </row>
    <row r="247" spans="1:15">
      <c r="A247" t="str">
        <f t="shared" si="17"/>
        <v>imagelist</v>
      </c>
      <c r="B247" t="str">
        <f t="shared" si="18"/>
        <v>list</v>
      </c>
      <c r="E247" t="s">
        <v>248</v>
      </c>
      <c r="F247" t="s">
        <v>200</v>
      </c>
    </row>
    <row r="248" spans="1:15">
      <c r="A248" t="str">
        <f t="shared" si="17"/>
        <v>imagelist</v>
      </c>
      <c r="B248" t="str">
        <f t="shared" si="18"/>
        <v>list</v>
      </c>
      <c r="E248" t="s">
        <v>249</v>
      </c>
      <c r="F248" t="s">
        <v>201</v>
      </c>
    </row>
    <row r="249" spans="1:15">
      <c r="A249" t="str">
        <f t="shared" si="17"/>
        <v>imagelist</v>
      </c>
      <c r="B249" t="str">
        <f t="shared" si="18"/>
        <v>list</v>
      </c>
      <c r="E249" t="s">
        <v>250</v>
      </c>
      <c r="F249" t="s">
        <v>202</v>
      </c>
    </row>
    <row r="250" spans="1:15">
      <c r="A250" t="str">
        <f t="shared" si="17"/>
        <v>imagelist</v>
      </c>
      <c r="B250" t="str">
        <f t="shared" si="18"/>
        <v>list</v>
      </c>
      <c r="E250" t="s">
        <v>251</v>
      </c>
      <c r="F250" t="s">
        <v>203</v>
      </c>
    </row>
    <row r="251" spans="1:15">
      <c r="A251" t="str">
        <f t="shared" si="17"/>
        <v/>
      </c>
      <c r="B251" t="str">
        <f t="shared" si="18"/>
        <v/>
      </c>
    </row>
    <row r="252" spans="1:15">
      <c r="A252" t="str">
        <f t="shared" si="17"/>
        <v/>
      </c>
      <c r="B252" t="str">
        <f t="shared" si="18"/>
        <v/>
      </c>
      <c r="E252" t="s">
        <v>66</v>
      </c>
      <c r="G252" t="s">
        <v>318</v>
      </c>
      <c r="I252" t="s">
        <v>319</v>
      </c>
      <c r="O252" t="s">
        <v>68</v>
      </c>
    </row>
    <row r="253" spans="1:15">
      <c r="A253" t="str">
        <f t="shared" si="17"/>
        <v>saveFile</v>
      </c>
      <c r="B253" t="str">
        <f t="shared" si="18"/>
        <v>list</v>
      </c>
      <c r="C253" t="s">
        <v>16</v>
      </c>
      <c r="D253" t="s">
        <v>252</v>
      </c>
      <c r="E253" t="s">
        <v>204</v>
      </c>
      <c r="F253" t="s">
        <v>253</v>
      </c>
      <c r="G253" t="s">
        <v>317</v>
      </c>
      <c r="H253">
        <v>3</v>
      </c>
      <c r="O253" t="s">
        <v>157</v>
      </c>
    </row>
    <row r="254" spans="1:15">
      <c r="A254" t="str">
        <f t="shared" si="17"/>
        <v>saveFile</v>
      </c>
      <c r="B254" t="str">
        <f t="shared" si="18"/>
        <v>list</v>
      </c>
      <c r="E254" t="s">
        <v>205</v>
      </c>
      <c r="F254" t="s">
        <v>254</v>
      </c>
      <c r="G254" t="s">
        <v>320</v>
      </c>
      <c r="H254">
        <v>3</v>
      </c>
      <c r="I254" t="s">
        <v>255</v>
      </c>
      <c r="O254" t="s">
        <v>158</v>
      </c>
    </row>
    <row r="255" spans="1:15">
      <c r="A255" t="str">
        <f t="shared" si="17"/>
        <v>saveFile</v>
      </c>
      <c r="B255" t="str">
        <f t="shared" si="18"/>
        <v>list</v>
      </c>
      <c r="E255" t="s">
        <v>206</v>
      </c>
      <c r="I255" t="s">
        <v>321</v>
      </c>
      <c r="O255" t="s">
        <v>159</v>
      </c>
    </row>
    <row r="256" spans="1:15">
      <c r="A256" t="str">
        <f t="shared" si="17"/>
        <v>saveFile</v>
      </c>
      <c r="B256" t="str">
        <f t="shared" si="18"/>
        <v>list</v>
      </c>
      <c r="E256" t="s">
        <v>207</v>
      </c>
      <c r="I256" t="s">
        <v>322</v>
      </c>
      <c r="O256" t="s">
        <v>160</v>
      </c>
    </row>
    <row r="257" spans="1:15">
      <c r="A257" t="str">
        <f t="shared" si="17"/>
        <v>saveFile</v>
      </c>
      <c r="B257" t="str">
        <f t="shared" si="18"/>
        <v>list</v>
      </c>
      <c r="E257" t="s">
        <v>208</v>
      </c>
      <c r="I257" t="s">
        <v>323</v>
      </c>
      <c r="O257" t="s">
        <v>161</v>
      </c>
    </row>
    <row r="258" spans="1:15">
      <c r="A258" t="str">
        <f t="shared" si="17"/>
        <v>saveFile</v>
      </c>
      <c r="B258" t="str">
        <f t="shared" si="18"/>
        <v>list</v>
      </c>
      <c r="E258" t="s">
        <v>209</v>
      </c>
      <c r="I258" t="s">
        <v>324</v>
      </c>
      <c r="O258" t="s">
        <v>162</v>
      </c>
    </row>
    <row r="259" spans="1:15">
      <c r="A259" t="str">
        <f t="shared" si="17"/>
        <v>saveFile</v>
      </c>
      <c r="B259" t="str">
        <f t="shared" si="18"/>
        <v>list</v>
      </c>
      <c r="E259" t="s">
        <v>210</v>
      </c>
      <c r="I259" t="s">
        <v>321</v>
      </c>
      <c r="O259" t="s">
        <v>163</v>
      </c>
    </row>
    <row r="260" spans="1:15">
      <c r="A260" t="str">
        <f t="shared" si="17"/>
        <v>saveFile</v>
      </c>
      <c r="B260" t="str">
        <f t="shared" si="18"/>
        <v>list</v>
      </c>
      <c r="E260" t="s">
        <v>211</v>
      </c>
      <c r="I260" t="s">
        <v>322</v>
      </c>
      <c r="O260" t="s">
        <v>164</v>
      </c>
    </row>
    <row r="261" spans="1:15">
      <c r="A261" t="str">
        <f t="shared" si="17"/>
        <v>saveFile</v>
      </c>
      <c r="B261" t="str">
        <f t="shared" si="18"/>
        <v>list</v>
      </c>
      <c r="E261" t="s">
        <v>212</v>
      </c>
      <c r="I261" t="s">
        <v>323</v>
      </c>
      <c r="O261" t="s">
        <v>165</v>
      </c>
    </row>
    <row r="262" spans="1:15">
      <c r="A262" t="str">
        <f t="shared" si="17"/>
        <v>WSLG</v>
      </c>
      <c r="B262" t="str">
        <f t="shared" si="18"/>
        <v>Day</v>
      </c>
      <c r="C262" t="s">
        <v>257</v>
      </c>
      <c r="D262" t="s">
        <v>256</v>
      </c>
      <c r="E262" t="str">
        <f>"grid_"&amp;C262&amp;"_"&amp;D262&amp;".png"</f>
        <v>grid_Day_WSLG.png</v>
      </c>
      <c r="I262" t="s">
        <v>325</v>
      </c>
      <c r="O262" t="s">
        <v>166</v>
      </c>
    </row>
    <row r="263" spans="1:15">
      <c r="A263" t="str">
        <f t="shared" si="17"/>
        <v>WSLG</v>
      </c>
      <c r="B263" t="str">
        <f t="shared" si="18"/>
        <v>WTD</v>
      </c>
      <c r="C263" t="s">
        <v>258</v>
      </c>
      <c r="D263" t="s">
        <v>256</v>
      </c>
      <c r="E263" t="str">
        <f t="shared" ref="E263:E265" si="19">"grid_"&amp;C263&amp;"_"&amp;D263&amp;".png"</f>
        <v>grid_WTD_WSLG.png</v>
      </c>
      <c r="I263" t="s">
        <v>321</v>
      </c>
      <c r="O263" t="s">
        <v>167</v>
      </c>
    </row>
    <row r="264" spans="1:15">
      <c r="A264" t="str">
        <f t="shared" si="17"/>
        <v>WSLG</v>
      </c>
      <c r="B264" t="str">
        <f t="shared" si="18"/>
        <v>MTD</v>
      </c>
      <c r="C264" t="s">
        <v>259</v>
      </c>
      <c r="D264" t="s">
        <v>256</v>
      </c>
      <c r="E264" t="str">
        <f t="shared" si="19"/>
        <v>grid_MTD_WSLG.png</v>
      </c>
      <c r="I264" t="s">
        <v>322</v>
      </c>
      <c r="O264" t="s">
        <v>168</v>
      </c>
    </row>
    <row r="265" spans="1:15">
      <c r="A265" t="str">
        <f t="shared" si="17"/>
        <v>WSLG</v>
      </c>
      <c r="B265" t="str">
        <f t="shared" si="18"/>
        <v>YTD</v>
      </c>
      <c r="C265" t="s">
        <v>260</v>
      </c>
      <c r="D265" t="s">
        <v>256</v>
      </c>
      <c r="E265" t="str">
        <f t="shared" si="19"/>
        <v>grid_YTD_WSLG.png</v>
      </c>
      <c r="I265" t="s">
        <v>323</v>
      </c>
      <c r="O265" t="s">
        <v>169</v>
      </c>
    </row>
    <row r="266" spans="1:15">
      <c r="A266" t="str">
        <f t="shared" si="17"/>
        <v>WRTW</v>
      </c>
      <c r="B266" t="str">
        <f t="shared" si="18"/>
        <v>Day</v>
      </c>
      <c r="C266" t="s">
        <v>257</v>
      </c>
      <c r="D266" t="s">
        <v>261</v>
      </c>
      <c r="E266" t="str">
        <f>"grid_"&amp;C266&amp;"_"&amp;D266&amp;".png"</f>
        <v>grid_Day_WRTW.png</v>
      </c>
      <c r="I266" t="s">
        <v>326</v>
      </c>
      <c r="O266" t="s">
        <v>170</v>
      </c>
    </row>
    <row r="267" spans="1:15">
      <c r="A267" t="str">
        <f t="shared" si="17"/>
        <v>WRTW</v>
      </c>
      <c r="B267" t="str">
        <f t="shared" si="18"/>
        <v>WTD</v>
      </c>
      <c r="C267" t="s">
        <v>258</v>
      </c>
      <c r="D267" t="s">
        <v>261</v>
      </c>
      <c r="E267" t="str">
        <f t="shared" ref="E267:E269" si="20">"grid_"&amp;C267&amp;"_"&amp;D267&amp;".png"</f>
        <v>grid_WTD_WRTW.png</v>
      </c>
      <c r="I267" t="s">
        <v>321</v>
      </c>
      <c r="O267" t="s">
        <v>171</v>
      </c>
    </row>
    <row r="268" spans="1:15">
      <c r="A268" t="str">
        <f t="shared" si="17"/>
        <v>WRTW</v>
      </c>
      <c r="B268" t="str">
        <f t="shared" si="18"/>
        <v>MTD</v>
      </c>
      <c r="C268" t="s">
        <v>259</v>
      </c>
      <c r="D268" t="s">
        <v>261</v>
      </c>
      <c r="E268" t="str">
        <f t="shared" si="20"/>
        <v>grid_MTD_WRTW.png</v>
      </c>
      <c r="I268" t="s">
        <v>322</v>
      </c>
      <c r="O268" t="s">
        <v>172</v>
      </c>
    </row>
    <row r="269" spans="1:15">
      <c r="A269" t="str">
        <f t="shared" si="17"/>
        <v>WRTW</v>
      </c>
      <c r="B269" t="str">
        <f t="shared" si="18"/>
        <v>YTD</v>
      </c>
      <c r="C269" t="s">
        <v>260</v>
      </c>
      <c r="D269" t="s">
        <v>261</v>
      </c>
      <c r="E269" t="str">
        <f t="shared" si="20"/>
        <v>grid_YTD_WRTW.png</v>
      </c>
      <c r="I269" t="s">
        <v>323</v>
      </c>
      <c r="O269" t="s">
        <v>173</v>
      </c>
    </row>
    <row r="270" spans="1:15">
      <c r="A270" t="str">
        <f t="shared" si="17"/>
        <v>WSHOES</v>
      </c>
      <c r="B270" t="str">
        <f t="shared" si="18"/>
        <v>Day</v>
      </c>
      <c r="C270" t="s">
        <v>257</v>
      </c>
      <c r="D270" t="s">
        <v>262</v>
      </c>
      <c r="E270" t="str">
        <f>"grid_"&amp;C270&amp;"_"&amp;D270&amp;".png"</f>
        <v>grid_Day_WSHOES.png</v>
      </c>
      <c r="I270" t="s">
        <v>327</v>
      </c>
      <c r="O270" t="s">
        <v>174</v>
      </c>
    </row>
    <row r="271" spans="1:15">
      <c r="A271" t="str">
        <f t="shared" si="17"/>
        <v>WSHOES</v>
      </c>
      <c r="B271" t="str">
        <f t="shared" si="18"/>
        <v>WTD</v>
      </c>
      <c r="C271" t="s">
        <v>258</v>
      </c>
      <c r="D271" t="s">
        <v>262</v>
      </c>
      <c r="E271" t="str">
        <f t="shared" ref="E271:E273" si="21">"grid_"&amp;C271&amp;"_"&amp;D271&amp;".png"</f>
        <v>grid_WTD_WSHOES.png</v>
      </c>
      <c r="I271" t="s">
        <v>321</v>
      </c>
      <c r="O271" t="s">
        <v>175</v>
      </c>
    </row>
    <row r="272" spans="1:15">
      <c r="A272" t="str">
        <f t="shared" si="17"/>
        <v>WSHOES</v>
      </c>
      <c r="B272" t="str">
        <f t="shared" si="18"/>
        <v>MTD</v>
      </c>
      <c r="C272" t="s">
        <v>259</v>
      </c>
      <c r="D272" t="s">
        <v>262</v>
      </c>
      <c r="E272" t="str">
        <f t="shared" si="21"/>
        <v>grid_MTD_WSHOES.png</v>
      </c>
      <c r="I272" t="s">
        <v>322</v>
      </c>
      <c r="O272" t="s">
        <v>176</v>
      </c>
    </row>
    <row r="273" spans="1:15">
      <c r="A273" t="str">
        <f t="shared" si="17"/>
        <v>WSHOES</v>
      </c>
      <c r="B273" t="str">
        <f t="shared" si="18"/>
        <v>YTD</v>
      </c>
      <c r="C273" t="s">
        <v>260</v>
      </c>
      <c r="D273" t="s">
        <v>262</v>
      </c>
      <c r="E273" t="str">
        <f t="shared" si="21"/>
        <v>grid_YTD_WSHOES.png</v>
      </c>
      <c r="I273" t="s">
        <v>323</v>
      </c>
      <c r="O273" t="s">
        <v>177</v>
      </c>
    </row>
    <row r="274" spans="1:15">
      <c r="A274" t="str">
        <f t="shared" si="17"/>
        <v>WACC</v>
      </c>
      <c r="B274" t="str">
        <f t="shared" si="18"/>
        <v>Day</v>
      </c>
      <c r="C274" t="s">
        <v>257</v>
      </c>
      <c r="D274" t="s">
        <v>263</v>
      </c>
      <c r="E274" t="str">
        <f>"grid_"&amp;C274&amp;"_"&amp;D274&amp;".png"</f>
        <v>grid_Day_WACC.png</v>
      </c>
      <c r="I274" t="s">
        <v>328</v>
      </c>
      <c r="O274" t="s">
        <v>178</v>
      </c>
    </row>
    <row r="275" spans="1:15">
      <c r="A275" t="str">
        <f t="shared" si="17"/>
        <v>WACC</v>
      </c>
      <c r="B275" t="str">
        <f t="shared" si="18"/>
        <v>WTD</v>
      </c>
      <c r="C275" t="s">
        <v>258</v>
      </c>
      <c r="D275" t="s">
        <v>263</v>
      </c>
      <c r="E275" t="str">
        <f t="shared" ref="E275:E277" si="22">"grid_"&amp;C275&amp;"_"&amp;D275&amp;".png"</f>
        <v>grid_WTD_WACC.png</v>
      </c>
      <c r="I275" t="s">
        <v>321</v>
      </c>
      <c r="O275" t="s">
        <v>179</v>
      </c>
    </row>
    <row r="276" spans="1:15">
      <c r="A276" t="str">
        <f t="shared" si="17"/>
        <v>WACC</v>
      </c>
      <c r="B276" t="str">
        <f t="shared" si="18"/>
        <v>MTD</v>
      </c>
      <c r="C276" t="s">
        <v>259</v>
      </c>
      <c r="D276" t="s">
        <v>263</v>
      </c>
      <c r="E276" t="str">
        <f t="shared" si="22"/>
        <v>grid_MTD_WACC.png</v>
      </c>
      <c r="I276" t="s">
        <v>322</v>
      </c>
      <c r="O276" t="s">
        <v>180</v>
      </c>
    </row>
    <row r="277" spans="1:15">
      <c r="A277" t="str">
        <f t="shared" si="17"/>
        <v>WACC</v>
      </c>
      <c r="B277" t="str">
        <f t="shared" si="18"/>
        <v>YTD</v>
      </c>
      <c r="C277" t="s">
        <v>260</v>
      </c>
      <c r="D277" t="s">
        <v>263</v>
      </c>
      <c r="E277" t="str">
        <f t="shared" si="22"/>
        <v>grid_YTD_WACC.png</v>
      </c>
      <c r="I277" t="s">
        <v>323</v>
      </c>
      <c r="O277" t="s">
        <v>181</v>
      </c>
    </row>
    <row r="278" spans="1:15">
      <c r="A278" t="str">
        <f t="shared" si="17"/>
        <v>WnJ</v>
      </c>
      <c r="B278" t="str">
        <f t="shared" si="18"/>
        <v>Day</v>
      </c>
      <c r="C278" t="s">
        <v>257</v>
      </c>
      <c r="D278" t="s">
        <v>264</v>
      </c>
      <c r="E278" t="str">
        <f>"grid_"&amp;C278&amp;"_"&amp;D278&amp;".png"</f>
        <v>grid_Day_WnJ.png</v>
      </c>
      <c r="I278" t="s">
        <v>329</v>
      </c>
      <c r="O278" t="s">
        <v>182</v>
      </c>
    </row>
    <row r="279" spans="1:15">
      <c r="A279" t="str">
        <f t="shared" si="17"/>
        <v>WnJ</v>
      </c>
      <c r="B279" t="str">
        <f t="shared" si="18"/>
        <v>WTD</v>
      </c>
      <c r="C279" t="s">
        <v>258</v>
      </c>
      <c r="D279" t="s">
        <v>264</v>
      </c>
      <c r="E279" t="str">
        <f t="shared" ref="E279:E281" si="23">"grid_"&amp;C279&amp;"_"&amp;D279&amp;".png"</f>
        <v>grid_WTD_WnJ.png</v>
      </c>
      <c r="I279" t="s">
        <v>321</v>
      </c>
      <c r="O279" t="s">
        <v>183</v>
      </c>
    </row>
    <row r="280" spans="1:15">
      <c r="A280" t="str">
        <f t="shared" si="17"/>
        <v>WnJ</v>
      </c>
      <c r="B280" t="str">
        <f t="shared" si="18"/>
        <v>MTD</v>
      </c>
      <c r="C280" t="s">
        <v>259</v>
      </c>
      <c r="D280" t="s">
        <v>264</v>
      </c>
      <c r="E280" t="str">
        <f t="shared" si="23"/>
        <v>grid_MTD_WnJ.png</v>
      </c>
      <c r="I280" t="s">
        <v>322</v>
      </c>
      <c r="O280" t="s">
        <v>184</v>
      </c>
    </row>
    <row r="281" spans="1:15">
      <c r="A281" t="str">
        <f t="shared" si="17"/>
        <v>WnJ</v>
      </c>
      <c r="B281" t="str">
        <f t="shared" si="18"/>
        <v>YTD</v>
      </c>
      <c r="C281" t="s">
        <v>260</v>
      </c>
      <c r="D281" t="s">
        <v>264</v>
      </c>
      <c r="E281" t="str">
        <f t="shared" si="23"/>
        <v>grid_YTD_WnJ.png</v>
      </c>
      <c r="I281" t="s">
        <v>323</v>
      </c>
      <c r="O281" t="s">
        <v>185</v>
      </c>
    </row>
    <row r="282" spans="1:15">
      <c r="A282" t="str">
        <f t="shared" si="17"/>
        <v>MENS</v>
      </c>
      <c r="B282" t="str">
        <f t="shared" si="18"/>
        <v>Day</v>
      </c>
      <c r="C282" t="s">
        <v>257</v>
      </c>
      <c r="D282" t="s">
        <v>265</v>
      </c>
      <c r="E282" t="str">
        <f>"grid_"&amp;C282&amp;"_"&amp;D282&amp;".png"</f>
        <v>grid_Day_MENS.png</v>
      </c>
      <c r="I282" t="s">
        <v>330</v>
      </c>
      <c r="O282" t="s">
        <v>186</v>
      </c>
    </row>
    <row r="283" spans="1:15">
      <c r="A283" t="str">
        <f t="shared" si="17"/>
        <v>MENS</v>
      </c>
      <c r="B283" t="str">
        <f t="shared" si="18"/>
        <v>WTD</v>
      </c>
      <c r="C283" t="s">
        <v>258</v>
      </c>
      <c r="D283" t="s">
        <v>265</v>
      </c>
      <c r="E283" t="str">
        <f t="shared" ref="E283:E285" si="24">"grid_"&amp;C283&amp;"_"&amp;D283&amp;".png"</f>
        <v>grid_WTD_MENS.png</v>
      </c>
      <c r="I283" t="s">
        <v>321</v>
      </c>
      <c r="O283" t="s">
        <v>187</v>
      </c>
    </row>
    <row r="284" spans="1:15">
      <c r="A284" t="str">
        <f t="shared" si="17"/>
        <v>MENS</v>
      </c>
      <c r="B284" t="str">
        <f t="shared" si="18"/>
        <v>MTD</v>
      </c>
      <c r="C284" t="s">
        <v>259</v>
      </c>
      <c r="D284" t="s">
        <v>265</v>
      </c>
      <c r="E284" t="str">
        <f t="shared" si="24"/>
        <v>grid_MTD_MENS.png</v>
      </c>
      <c r="I284" t="s">
        <v>322</v>
      </c>
      <c r="O284" t="s">
        <v>188</v>
      </c>
    </row>
    <row r="285" spans="1:15">
      <c r="A285" t="str">
        <f t="shared" si="17"/>
        <v>MENS</v>
      </c>
      <c r="B285" t="str">
        <f t="shared" si="18"/>
        <v>YTD</v>
      </c>
      <c r="C285" t="s">
        <v>260</v>
      </c>
      <c r="D285" t="s">
        <v>265</v>
      </c>
      <c r="E285" t="str">
        <f t="shared" si="24"/>
        <v>grid_YTD_MENS.png</v>
      </c>
      <c r="I285" t="s">
        <v>323</v>
      </c>
      <c r="O285" t="s">
        <v>189</v>
      </c>
    </row>
    <row r="286" spans="1:15">
      <c r="A286" t="str">
        <f t="shared" si="17"/>
        <v>BABY</v>
      </c>
      <c r="B286" t="str">
        <f t="shared" si="18"/>
        <v>Day</v>
      </c>
      <c r="C286" t="s">
        <v>257</v>
      </c>
      <c r="D286" t="s">
        <v>266</v>
      </c>
      <c r="E286" t="str">
        <f>"grid_"&amp;C286&amp;"_"&amp;D286&amp;".png"</f>
        <v>grid_Day_BABY.png</v>
      </c>
      <c r="I286" t="s">
        <v>331</v>
      </c>
      <c r="O286" t="s">
        <v>190</v>
      </c>
    </row>
    <row r="287" spans="1:15">
      <c r="A287" t="str">
        <f t="shared" si="17"/>
        <v>BABY</v>
      </c>
      <c r="B287" t="str">
        <f t="shared" si="18"/>
        <v>WTD</v>
      </c>
      <c r="C287" t="s">
        <v>258</v>
      </c>
      <c r="D287" t="s">
        <v>266</v>
      </c>
      <c r="E287" t="str">
        <f t="shared" ref="E287:E289" si="25">"grid_"&amp;C287&amp;"_"&amp;D287&amp;".png"</f>
        <v>grid_WTD_BABY.png</v>
      </c>
      <c r="I287" t="s">
        <v>321</v>
      </c>
      <c r="O287" t="s">
        <v>191</v>
      </c>
    </row>
    <row r="288" spans="1:15">
      <c r="A288" t="str">
        <f t="shared" si="17"/>
        <v>BABY</v>
      </c>
      <c r="B288" t="str">
        <f t="shared" si="18"/>
        <v>MTD</v>
      </c>
      <c r="C288" t="s">
        <v>259</v>
      </c>
      <c r="D288" t="s">
        <v>266</v>
      </c>
      <c r="E288" t="str">
        <f t="shared" si="25"/>
        <v>grid_MTD_BABY.png</v>
      </c>
      <c r="I288" t="s">
        <v>322</v>
      </c>
      <c r="O288" t="s">
        <v>192</v>
      </c>
    </row>
    <row r="289" spans="1:15">
      <c r="A289" t="str">
        <f t="shared" si="17"/>
        <v>BABY</v>
      </c>
      <c r="B289" t="str">
        <f t="shared" si="18"/>
        <v>YTD</v>
      </c>
      <c r="C289" t="s">
        <v>260</v>
      </c>
      <c r="D289" t="s">
        <v>266</v>
      </c>
      <c r="E289" t="str">
        <f t="shared" si="25"/>
        <v>grid_YTD_BABY.png</v>
      </c>
      <c r="I289" t="s">
        <v>323</v>
      </c>
      <c r="O289" t="s">
        <v>193</v>
      </c>
    </row>
    <row r="290" spans="1:15">
      <c r="A290" t="str">
        <f t="shared" si="17"/>
        <v>STORE</v>
      </c>
      <c r="B290" t="str">
        <f t="shared" si="18"/>
        <v>Day</v>
      </c>
      <c r="C290" t="s">
        <v>257</v>
      </c>
      <c r="D290" t="s">
        <v>267</v>
      </c>
      <c r="E290" t="str">
        <f>"grid_"&amp;C290&amp;"_"&amp;D290&amp;".png"</f>
        <v>grid_Day_STORE.png</v>
      </c>
      <c r="I290" t="s">
        <v>332</v>
      </c>
      <c r="O290" t="s">
        <v>194</v>
      </c>
    </row>
    <row r="291" spans="1:15">
      <c r="A291" t="str">
        <f t="shared" si="17"/>
        <v>STORE</v>
      </c>
      <c r="B291" t="str">
        <f t="shared" si="18"/>
        <v>WTD</v>
      </c>
      <c r="C291" t="s">
        <v>258</v>
      </c>
      <c r="D291" t="s">
        <v>267</v>
      </c>
      <c r="E291" t="str">
        <f t="shared" ref="E291:E293" si="26">"grid_"&amp;C291&amp;"_"&amp;D291&amp;".png"</f>
        <v>grid_WTD_STORE.png</v>
      </c>
      <c r="I291" t="s">
        <v>321</v>
      </c>
      <c r="O291" t="s">
        <v>195</v>
      </c>
    </row>
    <row r="292" spans="1:15">
      <c r="A292" t="str">
        <f t="shared" si="17"/>
        <v>STORE</v>
      </c>
      <c r="B292" t="str">
        <f t="shared" si="18"/>
        <v>MTD</v>
      </c>
      <c r="C292" t="s">
        <v>259</v>
      </c>
      <c r="D292" t="s">
        <v>267</v>
      </c>
      <c r="E292" t="str">
        <f t="shared" si="26"/>
        <v>grid_MTD_STORE.png</v>
      </c>
      <c r="I292" t="s">
        <v>322</v>
      </c>
      <c r="O292" t="s">
        <v>196</v>
      </c>
    </row>
    <row r="293" spans="1:15">
      <c r="A293" t="str">
        <f t="shared" si="17"/>
        <v>STORE</v>
      </c>
      <c r="B293" t="str">
        <f t="shared" si="18"/>
        <v>YTD</v>
      </c>
      <c r="C293" t="s">
        <v>260</v>
      </c>
      <c r="D293" t="s">
        <v>267</v>
      </c>
      <c r="E293" t="str">
        <f t="shared" si="26"/>
        <v>grid_YTD_STORE.png</v>
      </c>
      <c r="I293" t="s">
        <v>323</v>
      </c>
      <c r="O293" t="s">
        <v>197</v>
      </c>
    </row>
    <row r="294" spans="1:15">
      <c r="A294" t="str">
        <f t="shared" ref="A294:A357" si="27">IF(D294="",IF(E294="","",A293),D294)</f>
        <v>BusinessUnit</v>
      </c>
      <c r="B294" t="str">
        <f t="shared" ref="B294:B357" si="28">IF(C294="",IF(E294="","",B293),C294)</f>
        <v>Day</v>
      </c>
      <c r="C294" t="s">
        <v>257</v>
      </c>
      <c r="D294" t="s">
        <v>268</v>
      </c>
      <c r="E294" t="str">
        <f>"grid_"&amp;C294&amp;"_"&amp;D294&amp;".png"</f>
        <v>grid_Day_BusinessUnit.png</v>
      </c>
      <c r="I294" t="s">
        <v>333</v>
      </c>
      <c r="O294" t="s">
        <v>198</v>
      </c>
    </row>
    <row r="295" spans="1:15">
      <c r="A295" t="str">
        <f t="shared" si="27"/>
        <v>BusinessUnit</v>
      </c>
      <c r="B295" t="str">
        <f t="shared" si="28"/>
        <v>WTD</v>
      </c>
      <c r="C295" t="s">
        <v>258</v>
      </c>
      <c r="D295" t="s">
        <v>268</v>
      </c>
      <c r="E295" t="str">
        <f t="shared" ref="E295:E297" si="29">"grid_"&amp;C295&amp;"_"&amp;D295&amp;".png"</f>
        <v>grid_WTD_BusinessUnit.png</v>
      </c>
      <c r="I295" t="s">
        <v>321</v>
      </c>
      <c r="O295" t="s">
        <v>199</v>
      </c>
    </row>
    <row r="296" spans="1:15">
      <c r="A296" t="str">
        <f t="shared" si="27"/>
        <v>BusinessUnit</v>
      </c>
      <c r="B296" t="str">
        <f t="shared" si="28"/>
        <v>MTD</v>
      </c>
      <c r="C296" t="s">
        <v>259</v>
      </c>
      <c r="D296" t="s">
        <v>268</v>
      </c>
      <c r="E296" t="str">
        <f t="shared" si="29"/>
        <v>grid_MTD_BusinessUnit.png</v>
      </c>
      <c r="I296" t="s">
        <v>322</v>
      </c>
      <c r="O296" t="s">
        <v>200</v>
      </c>
    </row>
    <row r="297" spans="1:15">
      <c r="A297" t="str">
        <f t="shared" si="27"/>
        <v>BusinessUnit</v>
      </c>
      <c r="B297" t="str">
        <f t="shared" si="28"/>
        <v>YTD</v>
      </c>
      <c r="C297" t="s">
        <v>260</v>
      </c>
      <c r="D297" t="s">
        <v>268</v>
      </c>
      <c r="E297" t="str">
        <f t="shared" si="29"/>
        <v>grid_YTD_BusinessUnit.png</v>
      </c>
      <c r="I297" t="s">
        <v>323</v>
      </c>
      <c r="O297" t="s">
        <v>201</v>
      </c>
    </row>
    <row r="298" spans="1:15">
      <c r="A298" t="str">
        <f t="shared" si="27"/>
        <v>TopProducts</v>
      </c>
      <c r="B298" t="str">
        <f t="shared" si="28"/>
        <v>Day</v>
      </c>
      <c r="C298" t="s">
        <v>257</v>
      </c>
      <c r="D298" t="s">
        <v>270</v>
      </c>
      <c r="E298" t="str">
        <f>"grid_"&amp;C298&amp;"_"&amp;D298&amp;".png"</f>
        <v>grid_Day_TopProducts.png</v>
      </c>
      <c r="F298" t="s">
        <v>269</v>
      </c>
      <c r="I298" t="s">
        <v>334</v>
      </c>
      <c r="O298" t="s">
        <v>202</v>
      </c>
    </row>
    <row r="299" spans="1:15">
      <c r="A299" t="str">
        <f t="shared" si="27"/>
        <v>TopProducts</v>
      </c>
      <c r="B299" t="str">
        <f t="shared" si="28"/>
        <v>WTD</v>
      </c>
      <c r="C299" t="s">
        <v>258</v>
      </c>
      <c r="D299" t="s">
        <v>270</v>
      </c>
      <c r="E299" t="str">
        <f t="shared" ref="E299:E301" si="30">"grid_"&amp;C299&amp;"_"&amp;D299&amp;".png"</f>
        <v>grid_WTD_TopProducts.png</v>
      </c>
      <c r="I299" t="s">
        <v>321</v>
      </c>
      <c r="O299" t="s">
        <v>203</v>
      </c>
    </row>
    <row r="300" spans="1:15">
      <c r="A300" t="str">
        <f t="shared" si="27"/>
        <v>TopProducts</v>
      </c>
      <c r="B300" t="str">
        <f t="shared" si="28"/>
        <v>MTD</v>
      </c>
      <c r="C300" t="s">
        <v>259</v>
      </c>
      <c r="D300" t="s">
        <v>270</v>
      </c>
      <c r="E300" t="str">
        <f t="shared" si="30"/>
        <v>grid_MTD_TopProducts.png</v>
      </c>
      <c r="I300" t="s">
        <v>322</v>
      </c>
    </row>
    <row r="301" spans="1:15">
      <c r="A301" t="str">
        <f t="shared" si="27"/>
        <v>TopProducts</v>
      </c>
      <c r="B301" t="str">
        <f t="shared" si="28"/>
        <v>YTD</v>
      </c>
      <c r="C301" t="s">
        <v>260</v>
      </c>
      <c r="D301" t="s">
        <v>270</v>
      </c>
      <c r="E301" t="str">
        <f t="shared" si="30"/>
        <v>grid_YTD_TopProducts.png</v>
      </c>
      <c r="I301" t="s">
        <v>323</v>
      </c>
    </row>
    <row r="302" spans="1:15">
      <c r="A302" t="str">
        <f t="shared" si="27"/>
        <v>TopProducts</v>
      </c>
      <c r="B302" t="str">
        <f t="shared" si="28"/>
        <v>YTD</v>
      </c>
      <c r="E302" t="s">
        <v>249</v>
      </c>
      <c r="F302" t="s">
        <v>271</v>
      </c>
      <c r="I302" t="s">
        <v>335</v>
      </c>
    </row>
    <row r="303" spans="1:15">
      <c r="A303" t="str">
        <f t="shared" si="27"/>
        <v>TopProducts</v>
      </c>
      <c r="B303" t="str">
        <f t="shared" si="28"/>
        <v>YTD</v>
      </c>
      <c r="E303" t="s">
        <v>250</v>
      </c>
      <c r="I303" t="s">
        <v>336</v>
      </c>
    </row>
    <row r="304" spans="1:15">
      <c r="A304" t="str">
        <f t="shared" si="27"/>
        <v/>
      </c>
      <c r="B304" t="str">
        <f t="shared" si="28"/>
        <v/>
      </c>
      <c r="I304" t="s">
        <v>337</v>
      </c>
    </row>
    <row r="305" spans="1:11">
      <c r="A305" t="str">
        <f t="shared" si="27"/>
        <v/>
      </c>
      <c r="B305" t="str">
        <f t="shared" si="28"/>
        <v/>
      </c>
    </row>
    <row r="306" spans="1:11">
      <c r="A306" t="str">
        <f t="shared" si="27"/>
        <v>clkSelectionIcon</v>
      </c>
      <c r="B306" t="str">
        <f t="shared" si="28"/>
        <v/>
      </c>
      <c r="D306" t="s">
        <v>272</v>
      </c>
      <c r="E306" t="s">
        <v>287</v>
      </c>
    </row>
    <row r="307" spans="1:11">
      <c r="A307" t="str">
        <f t="shared" si="27"/>
        <v>clkSelectionIcon_Store_Grouping</v>
      </c>
      <c r="B307" t="str">
        <f t="shared" si="28"/>
        <v/>
      </c>
      <c r="D307" t="s">
        <v>273</v>
      </c>
      <c r="E307" t="s">
        <v>288</v>
      </c>
    </row>
    <row r="308" spans="1:11">
      <c r="A308" t="str">
        <f t="shared" si="27"/>
        <v>clkSelectionIcon_Country</v>
      </c>
      <c r="B308" t="str">
        <f t="shared" si="28"/>
        <v/>
      </c>
      <c r="D308" t="s">
        <v>274</v>
      </c>
      <c r="E308" t="s">
        <v>289</v>
      </c>
    </row>
    <row r="309" spans="1:11">
      <c r="A309" t="str">
        <f t="shared" si="27"/>
        <v>clkZONE</v>
      </c>
      <c r="B309" t="str">
        <f t="shared" si="28"/>
        <v/>
      </c>
      <c r="D309" t="s">
        <v>275</v>
      </c>
      <c r="E309" t="s">
        <v>290</v>
      </c>
    </row>
    <row r="310" spans="1:11">
      <c r="A310" t="str">
        <f t="shared" si="27"/>
        <v>clkBusinessUnit_ALL</v>
      </c>
      <c r="B310" t="str">
        <f t="shared" si="28"/>
        <v/>
      </c>
      <c r="D310" t="s">
        <v>276</v>
      </c>
      <c r="E310" t="s">
        <v>291</v>
      </c>
    </row>
    <row r="311" spans="1:11">
      <c r="A311" t="str">
        <f t="shared" si="27"/>
        <v>clkExpandWomenUniverse</v>
      </c>
      <c r="B311" t="str">
        <f t="shared" si="28"/>
        <v/>
      </c>
      <c r="D311" t="s">
        <v>277</v>
      </c>
      <c r="E311" t="s">
        <v>292</v>
      </c>
    </row>
    <row r="312" spans="1:11">
      <c r="A312" t="str">
        <f t="shared" si="27"/>
        <v>clkBusinessUnit_ALL</v>
      </c>
      <c r="B312" t="str">
        <f t="shared" si="28"/>
        <v/>
      </c>
      <c r="D312" t="s">
        <v>276</v>
      </c>
      <c r="E312" t="s">
        <v>291</v>
      </c>
      <c r="K312" t="s">
        <v>852</v>
      </c>
    </row>
    <row r="313" spans="1:11">
      <c r="A313" t="str">
        <f t="shared" si="27"/>
        <v>clkExpandWomenUniverse</v>
      </c>
      <c r="B313" t="str">
        <f t="shared" si="28"/>
        <v/>
      </c>
      <c r="D313" t="s">
        <v>277</v>
      </c>
      <c r="E313" t="s">
        <v>292</v>
      </c>
    </row>
    <row r="314" spans="1:11">
      <c r="A314" t="str">
        <f t="shared" si="27"/>
        <v>clkBackWBags</v>
      </c>
      <c r="B314" t="str">
        <f t="shared" si="28"/>
        <v/>
      </c>
      <c r="D314" t="s">
        <v>278</v>
      </c>
      <c r="E314" t="s">
        <v>293</v>
      </c>
    </row>
    <row r="315" spans="1:11">
      <c r="A315" t="str">
        <f t="shared" si="27"/>
        <v>clkBackWSLG</v>
      </c>
      <c r="B315" t="str">
        <f t="shared" si="28"/>
        <v/>
      </c>
      <c r="D315" t="s">
        <v>279</v>
      </c>
      <c r="E315" t="s">
        <v>294</v>
      </c>
      <c r="K315" t="s">
        <v>853</v>
      </c>
    </row>
    <row r="316" spans="1:11">
      <c r="A316" t="str">
        <f t="shared" si="27"/>
        <v>clkBackWRTW</v>
      </c>
      <c r="B316" t="str">
        <f t="shared" si="28"/>
        <v/>
      </c>
      <c r="D316" t="s">
        <v>280</v>
      </c>
      <c r="E316" t="s">
        <v>295</v>
      </c>
    </row>
    <row r="317" spans="1:11">
      <c r="A317" t="str">
        <f t="shared" si="27"/>
        <v>clkBackWShoes</v>
      </c>
      <c r="B317" t="str">
        <f t="shared" si="28"/>
        <v/>
      </c>
      <c r="D317" t="s">
        <v>281</v>
      </c>
      <c r="E317" t="s">
        <v>296</v>
      </c>
    </row>
    <row r="318" spans="1:11">
      <c r="A318" t="str">
        <f t="shared" si="27"/>
        <v>clkBackWJ</v>
      </c>
      <c r="B318" t="str">
        <f t="shared" si="28"/>
        <v/>
      </c>
      <c r="D318" t="s">
        <v>282</v>
      </c>
      <c r="E318" t="s">
        <v>297</v>
      </c>
    </row>
    <row r="319" spans="1:11">
      <c r="A319" t="str">
        <f t="shared" si="27"/>
        <v>clkMens</v>
      </c>
      <c r="B319" t="str">
        <f t="shared" si="28"/>
        <v/>
      </c>
      <c r="D319" t="s">
        <v>283</v>
      </c>
      <c r="E319" t="s">
        <v>298</v>
      </c>
    </row>
    <row r="320" spans="1:11">
      <c r="A320" t="str">
        <f t="shared" si="27"/>
        <v>clkBackMens</v>
      </c>
      <c r="B320" t="str">
        <f t="shared" si="28"/>
        <v/>
      </c>
      <c r="D320" t="s">
        <v>284</v>
      </c>
      <c r="E320" t="s">
        <v>299</v>
      </c>
    </row>
    <row r="321" spans="1:5">
      <c r="A321" t="str">
        <f t="shared" si="27"/>
        <v>clkBaby</v>
      </c>
      <c r="B321" t="str">
        <f t="shared" si="28"/>
        <v/>
      </c>
      <c r="D321" t="s">
        <v>285</v>
      </c>
      <c r="E321" t="s">
        <v>300</v>
      </c>
    </row>
    <row r="322" spans="1:5">
      <c r="A322" t="str">
        <f t="shared" si="27"/>
        <v>clkCloseLabel</v>
      </c>
      <c r="B322" t="str">
        <f t="shared" si="28"/>
        <v/>
      </c>
      <c r="D322" t="s">
        <v>286</v>
      </c>
      <c r="E322" t="s">
        <v>301</v>
      </c>
    </row>
    <row r="323" spans="1:5">
      <c r="A323" t="str">
        <f t="shared" si="27"/>
        <v/>
      </c>
      <c r="B323" t="str">
        <f t="shared" si="28"/>
        <v/>
      </c>
    </row>
    <row r="324" spans="1:5">
      <c r="A324" t="str">
        <f t="shared" si="27"/>
        <v/>
      </c>
      <c r="B324" t="str">
        <f t="shared" si="28"/>
        <v/>
      </c>
    </row>
    <row r="325" spans="1:5">
      <c r="A325" t="str">
        <f t="shared" si="27"/>
        <v/>
      </c>
      <c r="B325" t="str">
        <f t="shared" si="28"/>
        <v/>
      </c>
    </row>
    <row r="326" spans="1:5">
      <c r="A326" t="str">
        <f t="shared" si="27"/>
        <v/>
      </c>
      <c r="B326" t="str">
        <f t="shared" si="28"/>
        <v/>
      </c>
    </row>
    <row r="327" spans="1:5">
      <c r="A327" t="str">
        <f t="shared" si="27"/>
        <v/>
      </c>
      <c r="B327" t="str">
        <f t="shared" si="28"/>
        <v/>
      </c>
    </row>
    <row r="328" spans="1:5">
      <c r="A328" t="str">
        <f t="shared" si="27"/>
        <v/>
      </c>
      <c r="B328" t="str">
        <f t="shared" si="28"/>
        <v/>
      </c>
    </row>
    <row r="329" spans="1:5">
      <c r="A329" t="str">
        <f t="shared" si="27"/>
        <v/>
      </c>
      <c r="B329" t="str">
        <f t="shared" si="28"/>
        <v/>
      </c>
    </row>
    <row r="330" spans="1:5">
      <c r="A330" t="str">
        <f t="shared" si="27"/>
        <v/>
      </c>
      <c r="B330" t="str">
        <f t="shared" si="28"/>
        <v/>
      </c>
    </row>
    <row r="331" spans="1:5">
      <c r="A331" t="str">
        <f t="shared" si="27"/>
        <v/>
      </c>
      <c r="B331" t="str">
        <f t="shared" si="28"/>
        <v/>
      </c>
    </row>
    <row r="332" spans="1:5">
      <c r="A332" t="str">
        <f t="shared" si="27"/>
        <v/>
      </c>
      <c r="B332" t="str">
        <f t="shared" si="28"/>
        <v/>
      </c>
    </row>
    <row r="333" spans="1:5">
      <c r="A333" t="str">
        <f t="shared" si="27"/>
        <v/>
      </c>
      <c r="B333" t="str">
        <f t="shared" si="28"/>
        <v/>
      </c>
    </row>
    <row r="334" spans="1:5">
      <c r="A334" t="str">
        <f t="shared" si="27"/>
        <v/>
      </c>
      <c r="B334" t="str">
        <f t="shared" si="28"/>
        <v/>
      </c>
    </row>
    <row r="335" spans="1:5">
      <c r="A335" t="str">
        <f t="shared" si="27"/>
        <v/>
      </c>
      <c r="B335" t="str">
        <f t="shared" si="28"/>
        <v/>
      </c>
    </row>
    <row r="336" spans="1:5">
      <c r="A336" t="str">
        <f t="shared" si="27"/>
        <v/>
      </c>
      <c r="B336" t="str">
        <f t="shared" si="28"/>
        <v/>
      </c>
    </row>
    <row r="337" spans="1:2">
      <c r="A337" t="str">
        <f t="shared" si="27"/>
        <v/>
      </c>
      <c r="B337" t="str">
        <f t="shared" si="28"/>
        <v/>
      </c>
    </row>
    <row r="338" spans="1:2">
      <c r="A338" t="str">
        <f t="shared" si="27"/>
        <v/>
      </c>
      <c r="B338" t="str">
        <f t="shared" si="28"/>
        <v/>
      </c>
    </row>
    <row r="339" spans="1:2">
      <c r="A339" t="str">
        <f t="shared" si="27"/>
        <v/>
      </c>
      <c r="B339" t="str">
        <f t="shared" si="28"/>
        <v/>
      </c>
    </row>
    <row r="340" spans="1:2">
      <c r="A340" t="str">
        <f t="shared" si="27"/>
        <v/>
      </c>
      <c r="B340" t="str">
        <f t="shared" si="28"/>
        <v/>
      </c>
    </row>
    <row r="341" spans="1:2">
      <c r="A341" t="str">
        <f t="shared" si="27"/>
        <v/>
      </c>
      <c r="B341" t="str">
        <f t="shared" si="28"/>
        <v/>
      </c>
    </row>
    <row r="342" spans="1:2">
      <c r="A342" t="str">
        <f t="shared" si="27"/>
        <v/>
      </c>
      <c r="B342" t="str">
        <f t="shared" si="28"/>
        <v/>
      </c>
    </row>
    <row r="343" spans="1:2">
      <c r="A343" t="str">
        <f t="shared" si="27"/>
        <v/>
      </c>
      <c r="B343" t="str">
        <f t="shared" si="28"/>
        <v/>
      </c>
    </row>
    <row r="344" spans="1:2">
      <c r="A344" t="str">
        <f t="shared" si="27"/>
        <v/>
      </c>
      <c r="B344" t="str">
        <f t="shared" si="28"/>
        <v/>
      </c>
    </row>
    <row r="345" spans="1:2">
      <c r="A345" t="str">
        <f t="shared" si="27"/>
        <v/>
      </c>
      <c r="B345" t="str">
        <f t="shared" si="28"/>
        <v/>
      </c>
    </row>
    <row r="346" spans="1:2">
      <c r="A346" t="str">
        <f t="shared" si="27"/>
        <v/>
      </c>
      <c r="B346" t="str">
        <f t="shared" si="28"/>
        <v/>
      </c>
    </row>
    <row r="347" spans="1:2">
      <c r="A347" t="str">
        <f t="shared" si="27"/>
        <v/>
      </c>
      <c r="B347" t="str">
        <f t="shared" si="28"/>
        <v/>
      </c>
    </row>
    <row r="348" spans="1:2">
      <c r="A348" t="str">
        <f t="shared" si="27"/>
        <v/>
      </c>
      <c r="B348" t="str">
        <f t="shared" si="28"/>
        <v/>
      </c>
    </row>
    <row r="349" spans="1:2">
      <c r="A349" t="str">
        <f t="shared" si="27"/>
        <v/>
      </c>
      <c r="B349" t="str">
        <f t="shared" si="28"/>
        <v/>
      </c>
    </row>
    <row r="350" spans="1:2">
      <c r="A350" t="str">
        <f t="shared" si="27"/>
        <v/>
      </c>
      <c r="B350" t="str">
        <f t="shared" si="28"/>
        <v/>
      </c>
    </row>
    <row r="351" spans="1:2">
      <c r="A351" t="str">
        <f t="shared" si="27"/>
        <v/>
      </c>
      <c r="B351" t="str">
        <f t="shared" si="28"/>
        <v/>
      </c>
    </row>
    <row r="352" spans="1:2">
      <c r="A352" t="str">
        <f t="shared" si="27"/>
        <v/>
      </c>
      <c r="B352" t="str">
        <f t="shared" si="28"/>
        <v/>
      </c>
    </row>
    <row r="353" spans="1:2">
      <c r="A353" t="str">
        <f t="shared" si="27"/>
        <v/>
      </c>
      <c r="B353" t="str">
        <f t="shared" si="28"/>
        <v/>
      </c>
    </row>
    <row r="354" spans="1:2">
      <c r="A354" t="str">
        <f t="shared" si="27"/>
        <v/>
      </c>
      <c r="B354" t="str">
        <f t="shared" si="28"/>
        <v/>
      </c>
    </row>
    <row r="355" spans="1:2">
      <c r="A355" t="str">
        <f t="shared" si="27"/>
        <v/>
      </c>
      <c r="B355" t="str">
        <f t="shared" si="28"/>
        <v/>
      </c>
    </row>
    <row r="356" spans="1:2">
      <c r="A356" t="str">
        <f t="shared" si="27"/>
        <v/>
      </c>
      <c r="B356" t="str">
        <f t="shared" si="28"/>
        <v/>
      </c>
    </row>
    <row r="357" spans="1:2">
      <c r="A357" t="str">
        <f t="shared" si="27"/>
        <v/>
      </c>
      <c r="B357" t="str">
        <f t="shared" si="28"/>
        <v/>
      </c>
    </row>
    <row r="358" spans="1:2">
      <c r="A358" t="str">
        <f t="shared" ref="A358:A377" si="31">IF(D358="",IF(E358="","",A357),D358)</f>
        <v/>
      </c>
      <c r="B358" t="str">
        <f t="shared" ref="B358:B377" si="32">IF(C358="",IF(E358="","",B357),C358)</f>
        <v/>
      </c>
    </row>
    <row r="359" spans="1:2">
      <c r="A359" t="str">
        <f t="shared" si="31"/>
        <v/>
      </c>
      <c r="B359" t="str">
        <f t="shared" si="32"/>
        <v/>
      </c>
    </row>
    <row r="360" spans="1:2">
      <c r="A360" t="str">
        <f t="shared" si="31"/>
        <v/>
      </c>
      <c r="B360" t="str">
        <f t="shared" si="32"/>
        <v/>
      </c>
    </row>
    <row r="361" spans="1:2">
      <c r="A361" t="str">
        <f t="shared" si="31"/>
        <v/>
      </c>
      <c r="B361" t="str">
        <f t="shared" si="32"/>
        <v/>
      </c>
    </row>
    <row r="362" spans="1:2">
      <c r="A362" t="str">
        <f t="shared" si="31"/>
        <v/>
      </c>
      <c r="B362" t="str">
        <f t="shared" si="32"/>
        <v/>
      </c>
    </row>
    <row r="363" spans="1:2">
      <c r="A363" t="str">
        <f t="shared" si="31"/>
        <v/>
      </c>
      <c r="B363" t="str">
        <f t="shared" si="32"/>
        <v/>
      </c>
    </row>
    <row r="364" spans="1:2">
      <c r="A364" t="str">
        <f t="shared" si="31"/>
        <v/>
      </c>
      <c r="B364" t="str">
        <f t="shared" si="32"/>
        <v/>
      </c>
    </row>
    <row r="365" spans="1:2">
      <c r="A365" t="str">
        <f t="shared" si="31"/>
        <v/>
      </c>
      <c r="B365" t="str">
        <f t="shared" si="32"/>
        <v/>
      </c>
    </row>
    <row r="366" spans="1:2">
      <c r="A366" t="str">
        <f t="shared" si="31"/>
        <v/>
      </c>
      <c r="B366" t="str">
        <f t="shared" si="32"/>
        <v/>
      </c>
    </row>
    <row r="367" spans="1:2">
      <c r="A367" t="str">
        <f t="shared" si="31"/>
        <v/>
      </c>
      <c r="B367" t="str">
        <f t="shared" si="32"/>
        <v/>
      </c>
    </row>
    <row r="368" spans="1:2">
      <c r="A368" t="str">
        <f t="shared" si="31"/>
        <v/>
      </c>
      <c r="B368" t="str">
        <f t="shared" si="32"/>
        <v/>
      </c>
    </row>
    <row r="369" spans="1:2">
      <c r="A369" t="str">
        <f t="shared" si="31"/>
        <v/>
      </c>
      <c r="B369" t="str">
        <f t="shared" si="32"/>
        <v/>
      </c>
    </row>
    <row r="370" spans="1:2">
      <c r="A370" t="str">
        <f t="shared" si="31"/>
        <v/>
      </c>
      <c r="B370" t="str">
        <f t="shared" si="32"/>
        <v/>
      </c>
    </row>
    <row r="371" spans="1:2">
      <c r="A371" t="str">
        <f t="shared" si="31"/>
        <v/>
      </c>
      <c r="B371" t="str">
        <f t="shared" si="32"/>
        <v/>
      </c>
    </row>
    <row r="372" spans="1:2">
      <c r="A372" t="str">
        <f t="shared" si="31"/>
        <v/>
      </c>
      <c r="B372" t="str">
        <f t="shared" si="32"/>
        <v/>
      </c>
    </row>
    <row r="373" spans="1:2">
      <c r="A373" t="str">
        <f t="shared" si="31"/>
        <v/>
      </c>
      <c r="B373" t="str">
        <f t="shared" si="32"/>
        <v/>
      </c>
    </row>
    <row r="374" spans="1:2">
      <c r="A374" t="str">
        <f t="shared" si="31"/>
        <v/>
      </c>
      <c r="B374" t="str">
        <f t="shared" si="32"/>
        <v/>
      </c>
    </row>
    <row r="375" spans="1:2">
      <c r="A375" t="str">
        <f t="shared" si="31"/>
        <v/>
      </c>
      <c r="B375" t="str">
        <f t="shared" si="32"/>
        <v/>
      </c>
    </row>
    <row r="376" spans="1:2">
      <c r="A376" t="str">
        <f t="shared" si="31"/>
        <v/>
      </c>
      <c r="B376" t="str">
        <f t="shared" si="32"/>
        <v/>
      </c>
    </row>
    <row r="377" spans="1:2">
      <c r="A377" t="str">
        <f t="shared" si="31"/>
        <v/>
      </c>
      <c r="B377" t="str">
        <f t="shared" si="32"/>
        <v/>
      </c>
    </row>
  </sheetData>
  <hyperlinks>
    <hyperlink ref="E79" r:id="rId1" display="url:URL_Dclick_Pages" xr:uid="{14411D6C-37B6-42DD-A23A-0A55EDEA8076}"/>
    <hyperlink ref="E67" r:id="rId2" display="url:DCLICK" xr:uid="{456EEDE4-79EE-430A-AE9A-D7CFF79BBA9E}"/>
  </hyperlinks>
  <pageMargins left="0.7" right="0.7" top="0.75" bottom="0.75" header="0.3" footer="0.3"/>
  <pageSetup orientation="portrait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1527-5079-4362-855F-631D1F0B0738}">
  <sheetPr codeName="Sheet7"/>
  <dimension ref="A1:P142"/>
  <sheetViews>
    <sheetView topLeftCell="A67" workbookViewId="0">
      <selection activeCell="C93" sqref="C93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>
      <c r="E4" t="s">
        <v>92</v>
      </c>
      <c r="G4" t="str">
        <f t="shared" si="0"/>
        <v>_NetSales.png</v>
      </c>
      <c r="J4" t="str">
        <f t="shared" si="1"/>
        <v>_Units.png</v>
      </c>
      <c r="O4" t="s">
        <v>45</v>
      </c>
      <c r="P4" t="s">
        <v>44</v>
      </c>
    </row>
    <row r="5" spans="1:16">
      <c r="E5" t="s">
        <v>92</v>
      </c>
      <c r="G5" t="str">
        <f t="shared" si="0"/>
        <v>_NetSales.png</v>
      </c>
      <c r="J5" t="str">
        <f t="shared" si="1"/>
        <v>_Units.png</v>
      </c>
      <c r="O5" t="s">
        <v>47</v>
      </c>
      <c r="P5" t="s">
        <v>46</v>
      </c>
    </row>
    <row r="6" spans="1:16">
      <c r="E6" t="s">
        <v>92</v>
      </c>
      <c r="G6" t="str">
        <f t="shared" si="0"/>
        <v>_NetSales.png</v>
      </c>
      <c r="J6" t="str">
        <f t="shared" si="1"/>
        <v>_Units.png</v>
      </c>
      <c r="O6" t="s">
        <v>49</v>
      </c>
      <c r="P6" t="s">
        <v>48</v>
      </c>
    </row>
    <row r="7" spans="1:16">
      <c r="E7" t="s">
        <v>92</v>
      </c>
      <c r="G7" t="str">
        <f t="shared" si="0"/>
        <v>_NetSales.png</v>
      </c>
      <c r="J7" t="str">
        <f t="shared" si="1"/>
        <v>_Units.png</v>
      </c>
      <c r="O7" t="s">
        <v>50</v>
      </c>
      <c r="P7" t="s">
        <v>52</v>
      </c>
    </row>
    <row r="8" spans="1:16">
      <c r="E8" t="s">
        <v>92</v>
      </c>
      <c r="G8" t="str">
        <f t="shared" si="0"/>
        <v>_NetSales.png</v>
      </c>
      <c r="J8" t="str">
        <f t="shared" si="1"/>
        <v>_Units.png</v>
      </c>
      <c r="O8" t="s">
        <v>51</v>
      </c>
      <c r="P8" t="s">
        <v>53</v>
      </c>
    </row>
    <row r="9" spans="1:16">
      <c r="E9" t="s">
        <v>92</v>
      </c>
      <c r="G9" t="str">
        <f t="shared" si="0"/>
        <v>_NetSales.png</v>
      </c>
      <c r="J9" t="str">
        <f t="shared" si="1"/>
        <v>_Units.png</v>
      </c>
      <c r="O9" t="s">
        <v>55</v>
      </c>
      <c r="P9" t="s">
        <v>54</v>
      </c>
    </row>
    <row r="11" spans="1:16">
      <c r="A11" t="s">
        <v>15</v>
      </c>
      <c r="B11" s="3" t="s">
        <v>357</v>
      </c>
      <c r="C11" t="s">
        <v>359</v>
      </c>
      <c r="D11" t="s">
        <v>361</v>
      </c>
      <c r="E11" s="3" t="s">
        <v>432</v>
      </c>
    </row>
    <row r="12" spans="1:16">
      <c r="C12" t="s">
        <v>252</v>
      </c>
      <c r="D12" t="s">
        <v>360</v>
      </c>
    </row>
    <row r="13" spans="1:16">
      <c r="C13" t="s">
        <v>364</v>
      </c>
      <c r="D13" t="s">
        <v>362</v>
      </c>
    </row>
    <row r="14" spans="1:16">
      <c r="C14" t="s">
        <v>366</v>
      </c>
      <c r="D14" t="s">
        <v>358</v>
      </c>
    </row>
    <row r="15" spans="1:16">
      <c r="C15" t="s">
        <v>36</v>
      </c>
      <c r="D15" t="b">
        <v>0</v>
      </c>
    </row>
    <row r="16" spans="1:16">
      <c r="C16" t="s">
        <v>459</v>
      </c>
      <c r="D16" t="s">
        <v>473</v>
      </c>
      <c r="E16" s="5" t="s">
        <v>457</v>
      </c>
    </row>
    <row r="17" spans="1:15">
      <c r="C17" t="s">
        <v>460</v>
      </c>
      <c r="D17" t="s">
        <v>461</v>
      </c>
      <c r="E17" s="6" t="s">
        <v>458</v>
      </c>
    </row>
    <row r="19" spans="1:15">
      <c r="A19" t="s">
        <v>15</v>
      </c>
      <c r="B19" t="s">
        <v>9</v>
      </c>
      <c r="C19" t="s">
        <v>19</v>
      </c>
      <c r="D19" t="s">
        <v>20</v>
      </c>
      <c r="E19" s="3" t="s">
        <v>433</v>
      </c>
    </row>
    <row r="20" spans="1:15">
      <c r="C20" t="s">
        <v>93</v>
      </c>
      <c r="D20" t="s">
        <v>23</v>
      </c>
    </row>
    <row r="22" spans="1:15">
      <c r="A22" t="s">
        <v>16</v>
      </c>
      <c r="B22" t="s">
        <v>66</v>
      </c>
      <c r="C22" t="s">
        <v>469</v>
      </c>
      <c r="E22" t="s">
        <v>136</v>
      </c>
      <c r="J22" t="s">
        <v>76</v>
      </c>
      <c r="O22" t="s">
        <v>84</v>
      </c>
    </row>
    <row r="23" spans="1:15">
      <c r="C23" t="s">
        <v>470</v>
      </c>
      <c r="J23" t="s">
        <v>77</v>
      </c>
      <c r="O23" t="s">
        <v>91</v>
      </c>
    </row>
    <row r="24" spans="1:15">
      <c r="C24" t="s">
        <v>471</v>
      </c>
      <c r="J24" t="s">
        <v>78</v>
      </c>
      <c r="O24" t="s">
        <v>76</v>
      </c>
    </row>
    <row r="25" spans="1:15">
      <c r="C25" t="s">
        <v>472</v>
      </c>
      <c r="J25" t="s">
        <v>85</v>
      </c>
      <c r="O25" t="s">
        <v>77</v>
      </c>
    </row>
    <row r="26" spans="1:15">
      <c r="O26" t="s">
        <v>78</v>
      </c>
    </row>
    <row r="27" spans="1:15">
      <c r="O27" t="s">
        <v>85</v>
      </c>
    </row>
    <row r="28" spans="1:15">
      <c r="O28" t="s">
        <v>79</v>
      </c>
    </row>
    <row r="29" spans="1:15">
      <c r="O29" t="s">
        <v>86</v>
      </c>
    </row>
    <row r="30" spans="1:15">
      <c r="O30" t="s">
        <v>80</v>
      </c>
    </row>
    <row r="31" spans="1:15">
      <c r="O31" t="s">
        <v>87</v>
      </c>
    </row>
    <row r="32" spans="1:15">
      <c r="O32" t="s">
        <v>81</v>
      </c>
    </row>
    <row r="33" spans="1:15">
      <c r="O33" t="s">
        <v>88</v>
      </c>
    </row>
    <row r="34" spans="1:15">
      <c r="O34" t="s">
        <v>82</v>
      </c>
    </row>
    <row r="35" spans="1:15">
      <c r="O35" t="s">
        <v>89</v>
      </c>
    </row>
    <row r="36" spans="1:15">
      <c r="O36" t="s">
        <v>83</v>
      </c>
    </row>
    <row r="37" spans="1:15">
      <c r="O37" t="s">
        <v>90</v>
      </c>
    </row>
    <row r="39" spans="1:15">
      <c r="A39" t="s">
        <v>16</v>
      </c>
      <c r="B39" t="s">
        <v>67</v>
      </c>
      <c r="C39" t="s">
        <v>68</v>
      </c>
    </row>
    <row r="40" spans="1:15">
      <c r="C40" t="s">
        <v>69</v>
      </c>
    </row>
    <row r="42" spans="1:15">
      <c r="A42" t="s">
        <v>15</v>
      </c>
      <c r="B42" t="s">
        <v>404</v>
      </c>
      <c r="C42" t="s">
        <v>405</v>
      </c>
      <c r="E42" s="3" t="s">
        <v>436</v>
      </c>
    </row>
    <row r="44" spans="1:15">
      <c r="A44" t="s">
        <v>16</v>
      </c>
      <c r="B44" t="s">
        <v>464</v>
      </c>
      <c r="C44" t="s">
        <v>462</v>
      </c>
      <c r="E44" t="s">
        <v>463</v>
      </c>
    </row>
    <row r="45" spans="1:15">
      <c r="A45" t="s">
        <v>16</v>
      </c>
      <c r="B45" s="3" t="s">
        <v>25</v>
      </c>
      <c r="C45" t="s">
        <v>434</v>
      </c>
      <c r="E45" t="s">
        <v>148</v>
      </c>
    </row>
    <row r="46" spans="1:15">
      <c r="B46" s="3"/>
      <c r="C46" t="s">
        <v>435</v>
      </c>
      <c r="D46" s="3"/>
    </row>
    <row r="47" spans="1:15">
      <c r="C47" t="s">
        <v>0</v>
      </c>
    </row>
    <row r="48" spans="1:15">
      <c r="C48" t="s">
        <v>95</v>
      </c>
    </row>
    <row r="49" spans="1:11">
      <c r="C49" t="s">
        <v>369</v>
      </c>
      <c r="E49" t="s">
        <v>370</v>
      </c>
    </row>
    <row r="50" spans="1:11">
      <c r="C50" t="s">
        <v>1</v>
      </c>
    </row>
    <row r="51" spans="1:11">
      <c r="C51" t="s">
        <v>147</v>
      </c>
      <c r="K51" t="str">
        <f ca="1">_xlfn.CONCAT("createPDF:imagelist,./Output/Images/,./Output/APAC_Daily_Sales_",K53,".pdf")</f>
        <v>createPDF:imagelist,./Output/Images/,./Output/APAC_Daily_Sales_20221103104758.pdf</v>
      </c>
    </row>
    <row r="52" spans="1:11">
      <c r="C52" t="s">
        <v>438</v>
      </c>
      <c r="E52" t="s">
        <v>437</v>
      </c>
    </row>
    <row r="53" spans="1:11">
      <c r="A53" t="s">
        <v>16</v>
      </c>
      <c r="B53" t="s">
        <v>147</v>
      </c>
      <c r="C53" t="s">
        <v>365</v>
      </c>
      <c r="E53" t="s">
        <v>71</v>
      </c>
      <c r="K53" s="4" t="str">
        <f ca="1">TEXT(NOW(),"YYYYMMDDHHMMSS")</f>
        <v>20221103104758</v>
      </c>
    </row>
    <row r="57" spans="1:11">
      <c r="A57" t="s">
        <v>16</v>
      </c>
      <c r="B57" s="3" t="s">
        <v>0</v>
      </c>
      <c r="C57" t="s">
        <v>21</v>
      </c>
      <c r="D57" s="2"/>
      <c r="E57" t="s">
        <v>397</v>
      </c>
    </row>
    <row r="58" spans="1:11">
      <c r="C58" t="s">
        <v>1</v>
      </c>
    </row>
    <row r="59" spans="1:11">
      <c r="C59" t="s">
        <v>338</v>
      </c>
      <c r="E59" t="s">
        <v>104</v>
      </c>
    </row>
    <row r="60" spans="1:11">
      <c r="C60" t="s">
        <v>107</v>
      </c>
      <c r="E60" t="s">
        <v>108</v>
      </c>
    </row>
    <row r="61" spans="1:11">
      <c r="A61" t="s">
        <v>16</v>
      </c>
      <c r="B61" s="1" t="s">
        <v>107</v>
      </c>
      <c r="C61" t="s">
        <v>440</v>
      </c>
      <c r="E61" s="1" t="s">
        <v>343</v>
      </c>
    </row>
    <row r="62" spans="1:11">
      <c r="B62" s="1"/>
      <c r="C62" t="s">
        <v>22</v>
      </c>
      <c r="E62" s="1" t="s">
        <v>105</v>
      </c>
    </row>
    <row r="63" spans="1:11">
      <c r="C63" t="s">
        <v>34</v>
      </c>
      <c r="E63" t="s">
        <v>106</v>
      </c>
    </row>
    <row r="64" spans="1:11">
      <c r="C64" t="s">
        <v>411</v>
      </c>
      <c r="E64" t="s">
        <v>38</v>
      </c>
    </row>
    <row r="65" spans="1:5">
      <c r="C65" t="s">
        <v>7</v>
      </c>
      <c r="E65" t="s">
        <v>110</v>
      </c>
    </row>
    <row r="66" spans="1:5">
      <c r="C66" t="s">
        <v>449</v>
      </c>
      <c r="E66" t="s">
        <v>450</v>
      </c>
    </row>
    <row r="67" spans="1:5">
      <c r="C67" t="s">
        <v>452</v>
      </c>
      <c r="E67" t="s">
        <v>453</v>
      </c>
    </row>
    <row r="68" spans="1:5">
      <c r="C68" t="s">
        <v>344</v>
      </c>
      <c r="E68" t="s">
        <v>111</v>
      </c>
    </row>
    <row r="70" spans="1:5">
      <c r="A70" t="s">
        <v>16</v>
      </c>
      <c r="B70" t="s">
        <v>410</v>
      </c>
      <c r="C70" t="s">
        <v>37</v>
      </c>
    </row>
    <row r="71" spans="1:5">
      <c r="C71" t="s">
        <v>456</v>
      </c>
      <c r="E71" t="s">
        <v>455</v>
      </c>
    </row>
    <row r="72" spans="1:5">
      <c r="C72" t="s">
        <v>27</v>
      </c>
    </row>
    <row r="74" spans="1:5">
      <c r="A74" t="s">
        <v>16</v>
      </c>
      <c r="B74" t="s">
        <v>451</v>
      </c>
      <c r="C74" t="s">
        <v>454</v>
      </c>
      <c r="E74" t="s">
        <v>455</v>
      </c>
    </row>
    <row r="75" spans="1:5">
      <c r="C75" t="s">
        <v>27</v>
      </c>
    </row>
    <row r="77" spans="1:5">
      <c r="A77" t="s">
        <v>16</v>
      </c>
      <c r="B77" s="3" t="s">
        <v>95</v>
      </c>
      <c r="C77" t="s">
        <v>94</v>
      </c>
    </row>
    <row r="78" spans="1:5">
      <c r="C78" t="s">
        <v>1</v>
      </c>
    </row>
    <row r="79" spans="1:5">
      <c r="C79" t="s">
        <v>338</v>
      </c>
      <c r="E79" t="s">
        <v>104</v>
      </c>
    </row>
    <row r="80" spans="1:5">
      <c r="C80" t="s">
        <v>114</v>
      </c>
    </row>
    <row r="81" spans="1:5">
      <c r="A81" t="s">
        <v>16</v>
      </c>
      <c r="B81" t="s">
        <v>114</v>
      </c>
      <c r="C81" t="s">
        <v>448</v>
      </c>
      <c r="E81" t="s">
        <v>115</v>
      </c>
    </row>
    <row r="83" spans="1:5">
      <c r="A83" t="s">
        <v>16</v>
      </c>
      <c r="B83" s="3" t="s">
        <v>32</v>
      </c>
      <c r="C83" t="s">
        <v>399</v>
      </c>
    </row>
    <row r="84" spans="1:5">
      <c r="B84" s="3"/>
      <c r="C84" t="s">
        <v>118</v>
      </c>
    </row>
    <row r="85" spans="1:5">
      <c r="C85" t="s">
        <v>122</v>
      </c>
    </row>
    <row r="86" spans="1:5">
      <c r="C86" t="s">
        <v>57</v>
      </c>
    </row>
    <row r="87" spans="1:5">
      <c r="C87" t="s">
        <v>56</v>
      </c>
    </row>
    <row r="88" spans="1:5">
      <c r="C88" t="s">
        <v>376</v>
      </c>
    </row>
    <row r="89" spans="1:5">
      <c r="C89" t="s">
        <v>400</v>
      </c>
      <c r="D89" t="s">
        <v>400</v>
      </c>
      <c r="E89" t="s">
        <v>64</v>
      </c>
    </row>
    <row r="90" spans="1:5">
      <c r="C90" t="s">
        <v>58</v>
      </c>
    </row>
    <row r="91" spans="1:5">
      <c r="C91" t="s">
        <v>376</v>
      </c>
    </row>
    <row r="92" spans="1:5">
      <c r="C92" t="s">
        <v>401</v>
      </c>
      <c r="D92" t="s">
        <v>401</v>
      </c>
    </row>
    <row r="93" spans="1:5">
      <c r="A93" t="s">
        <v>16</v>
      </c>
      <c r="B93" t="s">
        <v>118</v>
      </c>
      <c r="C93" t="s">
        <v>398</v>
      </c>
      <c r="D93" t="s">
        <v>29</v>
      </c>
      <c r="E93" t="s">
        <v>117</v>
      </c>
    </row>
    <row r="94" spans="1:5">
      <c r="C94" t="s">
        <v>441</v>
      </c>
    </row>
    <row r="95" spans="1:5">
      <c r="A95" t="s">
        <v>16</v>
      </c>
      <c r="B95" t="s">
        <v>441</v>
      </c>
      <c r="C95" t="s">
        <v>442</v>
      </c>
    </row>
    <row r="96" spans="1:5">
      <c r="A96" t="s">
        <v>16</v>
      </c>
      <c r="B96" t="s">
        <v>122</v>
      </c>
      <c r="C96" t="s">
        <v>347</v>
      </c>
      <c r="E96" t="s">
        <v>126</v>
      </c>
    </row>
    <row r="97" spans="1:5">
      <c r="C97" t="s">
        <v>348</v>
      </c>
      <c r="E97" t="s">
        <v>127</v>
      </c>
    </row>
    <row r="98" spans="1:5">
      <c r="A98" t="s">
        <v>16</v>
      </c>
      <c r="B98" t="s">
        <v>124</v>
      </c>
      <c r="C98" t="s">
        <v>349</v>
      </c>
      <c r="E98" t="s">
        <v>128</v>
      </c>
    </row>
    <row r="99" spans="1:5">
      <c r="C99" t="s">
        <v>2</v>
      </c>
    </row>
    <row r="100" spans="1:5">
      <c r="C100" t="s">
        <v>129</v>
      </c>
    </row>
    <row r="101" spans="1:5">
      <c r="C101" t="s">
        <v>120</v>
      </c>
      <c r="E101" t="s">
        <v>131</v>
      </c>
    </row>
    <row r="102" spans="1:5">
      <c r="C102" t="s">
        <v>121</v>
      </c>
      <c r="E102" t="s">
        <v>132</v>
      </c>
    </row>
    <row r="103" spans="1:5">
      <c r="C103" t="s">
        <v>350</v>
      </c>
      <c r="E103" t="s">
        <v>133</v>
      </c>
    </row>
    <row r="104" spans="1:5">
      <c r="A104" t="s">
        <v>16</v>
      </c>
      <c r="B104" t="s">
        <v>134</v>
      </c>
      <c r="C104" t="s">
        <v>27</v>
      </c>
    </row>
    <row r="106" spans="1:5">
      <c r="A106" t="s">
        <v>16</v>
      </c>
      <c r="B106" t="s">
        <v>57</v>
      </c>
      <c r="C106" t="s">
        <v>61</v>
      </c>
      <c r="E106" t="s">
        <v>99</v>
      </c>
    </row>
    <row r="107" spans="1:5">
      <c r="A107" t="s">
        <v>16</v>
      </c>
      <c r="B107" t="s">
        <v>56</v>
      </c>
      <c r="C107" t="s">
        <v>60</v>
      </c>
      <c r="E107" t="s">
        <v>100</v>
      </c>
    </row>
    <row r="108" spans="1:5">
      <c r="A108" t="s">
        <v>16</v>
      </c>
      <c r="B108" t="s">
        <v>58</v>
      </c>
      <c r="C108" t="s">
        <v>59</v>
      </c>
      <c r="E108" t="s">
        <v>101</v>
      </c>
    </row>
    <row r="109" spans="1:5">
      <c r="A109" t="s">
        <v>16</v>
      </c>
      <c r="B109" t="s">
        <v>63</v>
      </c>
      <c r="C109" t="s">
        <v>341</v>
      </c>
      <c r="E109" t="s">
        <v>102</v>
      </c>
    </row>
    <row r="111" spans="1:5">
      <c r="A111" t="s">
        <v>16</v>
      </c>
      <c r="B111" t="s">
        <v>376</v>
      </c>
      <c r="C111" t="s">
        <v>339</v>
      </c>
      <c r="E111" t="s">
        <v>143</v>
      </c>
    </row>
    <row r="112" spans="1:5">
      <c r="C112" t="s">
        <v>447</v>
      </c>
    </row>
    <row r="113" spans="1:5">
      <c r="C113" t="s">
        <v>63</v>
      </c>
      <c r="E113" t="s">
        <v>144</v>
      </c>
    </row>
    <row r="114" spans="1:5">
      <c r="C114" t="s">
        <v>17</v>
      </c>
      <c r="E114" t="s">
        <v>439</v>
      </c>
    </row>
    <row r="115" spans="1:5">
      <c r="A115" t="s">
        <v>16</v>
      </c>
      <c r="B115" t="s">
        <v>17</v>
      </c>
      <c r="C115" t="s">
        <v>443</v>
      </c>
    </row>
    <row r="116" spans="1:5">
      <c r="C116" t="s">
        <v>3</v>
      </c>
      <c r="E116" t="s">
        <v>97</v>
      </c>
    </row>
    <row r="117" spans="1:5">
      <c r="C117" t="s">
        <v>444</v>
      </c>
      <c r="E117" t="s">
        <v>354</v>
      </c>
    </row>
    <row r="118" spans="1:5">
      <c r="C118" t="s">
        <v>4</v>
      </c>
      <c r="E118" t="s">
        <v>96</v>
      </c>
    </row>
    <row r="119" spans="1:5">
      <c r="C119" t="s">
        <v>445</v>
      </c>
    </row>
    <row r="120" spans="1:5">
      <c r="C120" t="s">
        <v>5</v>
      </c>
    </row>
    <row r="121" spans="1:5">
      <c r="C121" t="s">
        <v>446</v>
      </c>
    </row>
    <row r="122" spans="1:5">
      <c r="C122" t="s">
        <v>6</v>
      </c>
    </row>
    <row r="123" spans="1:5">
      <c r="C123" t="s">
        <v>24</v>
      </c>
      <c r="E123" t="s">
        <v>146</v>
      </c>
    </row>
    <row r="124" spans="1:5">
      <c r="C124" t="s">
        <v>340</v>
      </c>
      <c r="E124" t="s">
        <v>145</v>
      </c>
    </row>
    <row r="125" spans="1:5">
      <c r="C125" t="s">
        <v>65</v>
      </c>
      <c r="E125" t="s">
        <v>137</v>
      </c>
    </row>
    <row r="126" spans="1:5">
      <c r="A126" t="s">
        <v>16</v>
      </c>
      <c r="B126" t="s">
        <v>377</v>
      </c>
      <c r="C126" t="s">
        <v>381</v>
      </c>
    </row>
    <row r="127" spans="1:5">
      <c r="C127" t="s">
        <v>3</v>
      </c>
      <c r="E127" t="s">
        <v>97</v>
      </c>
    </row>
    <row r="128" spans="1:5">
      <c r="C128" t="s">
        <v>382</v>
      </c>
      <c r="E128" t="s">
        <v>354</v>
      </c>
    </row>
    <row r="129" spans="1:7">
      <c r="C129" t="s">
        <v>378</v>
      </c>
      <c r="E129" t="s">
        <v>379</v>
      </c>
      <c r="G129" t="s">
        <v>380</v>
      </c>
    </row>
    <row r="130" spans="1:7">
      <c r="C130" t="s">
        <v>383</v>
      </c>
    </row>
    <row r="131" spans="1:7">
      <c r="C131" t="s">
        <v>5</v>
      </c>
    </row>
    <row r="132" spans="1:7">
      <c r="C132" t="s">
        <v>384</v>
      </c>
    </row>
    <row r="133" spans="1:7">
      <c r="C133" t="s">
        <v>6</v>
      </c>
    </row>
    <row r="134" spans="1:7">
      <c r="C134" t="s">
        <v>24</v>
      </c>
      <c r="E134" t="s">
        <v>146</v>
      </c>
    </row>
    <row r="135" spans="1:7">
      <c r="C135" t="s">
        <v>340</v>
      </c>
      <c r="E135" t="s">
        <v>385</v>
      </c>
    </row>
    <row r="136" spans="1:7">
      <c r="C136" t="s">
        <v>65</v>
      </c>
      <c r="E136" t="s">
        <v>137</v>
      </c>
    </row>
    <row r="138" spans="1:7">
      <c r="A138" t="s">
        <v>16</v>
      </c>
      <c r="B138" t="s">
        <v>429</v>
      </c>
      <c r="C138" t="s">
        <v>425</v>
      </c>
    </row>
    <row r="139" spans="1:7">
      <c r="C139" t="s">
        <v>428</v>
      </c>
    </row>
    <row r="140" spans="1:7">
      <c r="C140" t="s">
        <v>129</v>
      </c>
    </row>
    <row r="141" spans="1:7">
      <c r="C141" t="s">
        <v>427</v>
      </c>
    </row>
    <row r="142" spans="1:7">
      <c r="C142" t="s">
        <v>426</v>
      </c>
    </row>
  </sheetData>
  <hyperlinks>
    <hyperlink ref="C77" r:id="rId1" xr:uid="{0FE37F8C-08F8-474C-A20D-E47376AA1F27}"/>
    <hyperlink ref="D93" r:id="rId2" display="url:URL_Dclick_Pages" xr:uid="{DEC9656A-2DD0-4D28-A5EC-67E9C7EF84B7}"/>
    <hyperlink ref="C93" r:id="rId3" display="url:URL_Dclick_Pages" xr:uid="{E281202A-DD63-4B29-B06C-F9C9C521CE8A}"/>
  </hyperlinks>
  <pageMargins left="0.7" right="0.7" top="0.75" bottom="0.75" header="0.3" footer="0.3"/>
  <pageSetup orientation="portrait"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B5326-91F7-4DF1-BB82-0FEB6D55DF11}">
  <sheetPr codeName="Sheet8"/>
  <dimension ref="A1:N233"/>
  <sheetViews>
    <sheetView topLeftCell="A35" workbookViewId="0">
      <selection activeCell="D53" sqref="D53"/>
    </sheetView>
  </sheetViews>
  <sheetFormatPr defaultRowHeight="15"/>
  <cols>
    <col min="1" max="2" width="9.140625" style="7"/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>
      <c r="A1" s="7" t="s">
        <v>13</v>
      </c>
      <c r="B1" s="7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>
      <c r="A2" s="7" t="str">
        <f>IF(D2="",IF(E2="","",A1),D2)</f>
        <v>URL_Dclick_Pages</v>
      </c>
      <c r="B2" s="7" t="str">
        <f t="shared" ref="B2:B65" si="0">IF(C2="",IF(E2="","",B1),C2)</f>
        <v>key</v>
      </c>
      <c r="C2" t="s">
        <v>15</v>
      </c>
      <c r="D2" t="s">
        <v>28</v>
      </c>
      <c r="E2" t="s">
        <v>466</v>
      </c>
      <c r="F2" t="s">
        <v>465</v>
      </c>
      <c r="G2" t="s">
        <v>92</v>
      </c>
      <c r="I2" t="str">
        <f t="shared" ref="I2:I9" si="1">E2&amp;"_NetSales.png"</f>
        <v>CountryStore_NetSales.png</v>
      </c>
      <c r="L2" t="str">
        <f t="shared" ref="L2:L9" si="2">E2&amp;"_Units.png"</f>
        <v>CountryStore_Units.png</v>
      </c>
      <c r="N2" t="s">
        <v>76</v>
      </c>
    </row>
    <row r="3" spans="1:14">
      <c r="A3" s="7" t="str">
        <f t="shared" ref="A3:A66" si="3">IF(D3="",IF(E3="","",A2),D3)</f>
        <v>URL_Dclick_Pages</v>
      </c>
      <c r="B3" s="7" t="str">
        <f t="shared" si="0"/>
        <v>key</v>
      </c>
      <c r="E3" t="s">
        <v>467</v>
      </c>
      <c r="F3" t="s">
        <v>468</v>
      </c>
      <c r="G3" t="s">
        <v>92</v>
      </c>
      <c r="I3" t="str">
        <f t="shared" si="1"/>
        <v>SubCategory_NetSales.png</v>
      </c>
      <c r="L3" t="str">
        <f t="shared" si="2"/>
        <v>SubCategory_Units.png</v>
      </c>
      <c r="N3" t="s">
        <v>77</v>
      </c>
    </row>
    <row r="4" spans="1:14">
      <c r="A4" s="7" t="str">
        <f t="shared" si="3"/>
        <v>URL_Dclick_Pages</v>
      </c>
      <c r="B4" s="7" t="str">
        <f t="shared" si="0"/>
        <v>key</v>
      </c>
      <c r="E4" t="s">
        <v>43</v>
      </c>
      <c r="F4" t="s">
        <v>40</v>
      </c>
      <c r="G4" t="s">
        <v>92</v>
      </c>
      <c r="I4" t="str">
        <f t="shared" si="1"/>
        <v>wBags_NetSales.png</v>
      </c>
      <c r="L4" t="str">
        <f t="shared" si="2"/>
        <v>wBags_Units.png</v>
      </c>
    </row>
    <row r="5" spans="1:14">
      <c r="A5" s="7" t="str">
        <f t="shared" si="3"/>
        <v>URL_Dclick_Pages</v>
      </c>
      <c r="B5" s="7" t="str">
        <f t="shared" si="0"/>
        <v>key</v>
      </c>
      <c r="E5" t="s">
        <v>42</v>
      </c>
      <c r="F5" t="s">
        <v>41</v>
      </c>
      <c r="G5" t="s">
        <v>92</v>
      </c>
      <c r="I5" t="str">
        <f t="shared" si="1"/>
        <v>wRTW_NetSales.png</v>
      </c>
      <c r="L5" t="str">
        <f t="shared" si="2"/>
        <v>wRTW_Units.png</v>
      </c>
    </row>
    <row r="6" spans="1:14">
      <c r="A6" s="7" t="str">
        <f t="shared" si="3"/>
        <v>URL_Dclick_Pages</v>
      </c>
      <c r="B6" s="7" t="str">
        <f t="shared" si="0"/>
        <v>key</v>
      </c>
      <c r="E6" t="s">
        <v>45</v>
      </c>
      <c r="F6" t="s">
        <v>44</v>
      </c>
      <c r="G6" t="s">
        <v>92</v>
      </c>
      <c r="I6" t="str">
        <f t="shared" si="1"/>
        <v>wShoes_NetSales.png</v>
      </c>
      <c r="L6" t="str">
        <f t="shared" si="2"/>
        <v>wShoes_Units.png</v>
      </c>
    </row>
    <row r="7" spans="1:14">
      <c r="A7" s="7" t="str">
        <f t="shared" si="3"/>
        <v>URL_Dclick_Pages</v>
      </c>
      <c r="B7" s="7" t="str">
        <f t="shared" si="0"/>
        <v>key</v>
      </c>
      <c r="E7" t="s">
        <v>47</v>
      </c>
      <c r="F7" t="s">
        <v>46</v>
      </c>
      <c r="G7" t="s">
        <v>92</v>
      </c>
      <c r="I7" t="str">
        <f t="shared" si="1"/>
        <v>wAccessories_NetSales.png</v>
      </c>
      <c r="L7" t="str">
        <f t="shared" si="2"/>
        <v>wAccessories_Units.png</v>
      </c>
    </row>
    <row r="8" spans="1:14">
      <c r="A8" s="7" t="str">
        <f t="shared" si="3"/>
        <v>URL_Dclick_Pages</v>
      </c>
      <c r="B8" s="7" t="str">
        <f t="shared" si="0"/>
        <v>key</v>
      </c>
      <c r="E8" t="s">
        <v>49</v>
      </c>
      <c r="F8" t="s">
        <v>48</v>
      </c>
      <c r="G8" t="s">
        <v>92</v>
      </c>
      <c r="I8" t="str">
        <f t="shared" si="1"/>
        <v>JewelleryAndWatches_NetSales.png</v>
      </c>
      <c r="L8" t="str">
        <f t="shared" si="2"/>
        <v>JewelleryAndWatches_Units.png</v>
      </c>
    </row>
    <row r="9" spans="1:14">
      <c r="A9" s="7" t="str">
        <f t="shared" si="3"/>
        <v>URL_Dclick_Pages</v>
      </c>
      <c r="B9" s="7" t="str">
        <f t="shared" si="0"/>
        <v>key</v>
      </c>
      <c r="E9" t="s">
        <v>50</v>
      </c>
      <c r="F9" t="s">
        <v>52</v>
      </c>
      <c r="G9" t="s">
        <v>92</v>
      </c>
      <c r="I9" t="str">
        <f t="shared" si="1"/>
        <v>Mens_NetSales.png</v>
      </c>
      <c r="L9" t="str">
        <f t="shared" si="2"/>
        <v>Mens_Units.png</v>
      </c>
    </row>
    <row r="10" spans="1:14">
      <c r="A10" s="7" t="str">
        <f t="shared" si="3"/>
        <v>URL_Dclick_Pages</v>
      </c>
      <c r="B10" s="7" t="str">
        <f t="shared" si="0"/>
        <v>key</v>
      </c>
      <c r="E10" t="s">
        <v>51</v>
      </c>
      <c r="F10" t="s">
        <v>53</v>
      </c>
    </row>
    <row r="11" spans="1:14">
      <c r="A11" s="7" t="str">
        <f t="shared" si="3"/>
        <v>URL_Dclick_Pages</v>
      </c>
      <c r="B11" s="7" t="str">
        <f t="shared" si="0"/>
        <v>key</v>
      </c>
      <c r="E11" t="s">
        <v>55</v>
      </c>
      <c r="F11" t="s">
        <v>465</v>
      </c>
    </row>
    <row r="12" spans="1:14">
      <c r="A12" s="7" t="str">
        <f t="shared" si="3"/>
        <v/>
      </c>
      <c r="B12" s="7" t="str">
        <f t="shared" si="0"/>
        <v/>
      </c>
    </row>
    <row r="13" spans="1:14">
      <c r="A13" s="7" t="str">
        <f t="shared" si="3"/>
        <v/>
      </c>
      <c r="B13" s="7" t="str">
        <f t="shared" si="0"/>
        <v/>
      </c>
    </row>
    <row r="14" spans="1:14">
      <c r="A14" s="7" t="str">
        <f t="shared" si="3"/>
        <v>constants</v>
      </c>
      <c r="B14" s="7" t="str">
        <f t="shared" si="0"/>
        <v>key</v>
      </c>
      <c r="C14" t="s">
        <v>15</v>
      </c>
      <c r="D14" t="s">
        <v>357</v>
      </c>
      <c r="E14" t="s">
        <v>359</v>
      </c>
      <c r="F14" t="s">
        <v>361</v>
      </c>
    </row>
    <row r="15" spans="1:14">
      <c r="A15" s="7" t="str">
        <f t="shared" si="3"/>
        <v>constants</v>
      </c>
      <c r="B15" s="7" t="str">
        <f t="shared" si="0"/>
        <v>key</v>
      </c>
      <c r="E15" t="s">
        <v>252</v>
      </c>
      <c r="F15" t="s">
        <v>360</v>
      </c>
    </row>
    <row r="16" spans="1:14">
      <c r="A16" s="7" t="str">
        <f t="shared" si="3"/>
        <v>constants</v>
      </c>
      <c r="B16" s="7" t="str">
        <f t="shared" si="0"/>
        <v>key</v>
      </c>
      <c r="E16" t="s">
        <v>364</v>
      </c>
      <c r="F16" t="s">
        <v>362</v>
      </c>
    </row>
    <row r="17" spans="1:13">
      <c r="A17" s="7" t="str">
        <f t="shared" si="3"/>
        <v>constants</v>
      </c>
      <c r="B17" s="7" t="str">
        <f t="shared" si="0"/>
        <v>key</v>
      </c>
      <c r="E17" t="s">
        <v>366</v>
      </c>
      <c r="F17" t="s">
        <v>358</v>
      </c>
    </row>
    <row r="18" spans="1:13">
      <c r="A18" s="7" t="str">
        <f t="shared" si="3"/>
        <v>URL</v>
      </c>
      <c r="B18" s="7" t="str">
        <f t="shared" si="0"/>
        <v>key</v>
      </c>
      <c r="C18" t="s">
        <v>15</v>
      </c>
      <c r="D18" t="s">
        <v>9</v>
      </c>
      <c r="E18" t="s">
        <v>19</v>
      </c>
      <c r="F18" t="s">
        <v>20</v>
      </c>
    </row>
    <row r="19" spans="1:13">
      <c r="A19" s="7" t="str">
        <f t="shared" si="3"/>
        <v>URL</v>
      </c>
      <c r="B19" s="7" t="str">
        <f t="shared" si="0"/>
        <v>key</v>
      </c>
      <c r="E19" t="s">
        <v>93</v>
      </c>
      <c r="F19" t="s">
        <v>23</v>
      </c>
    </row>
    <row r="20" spans="1:13">
      <c r="A20" s="7" t="str">
        <f t="shared" si="3"/>
        <v/>
      </c>
      <c r="B20" s="7" t="str">
        <f t="shared" si="0"/>
        <v/>
      </c>
    </row>
    <row r="21" spans="1:13">
      <c r="A21" s="7" t="str">
        <f t="shared" si="3"/>
        <v>main</v>
      </c>
      <c r="B21" s="7" t="str">
        <f t="shared" si="0"/>
        <v>list</v>
      </c>
      <c r="C21" t="s">
        <v>16</v>
      </c>
      <c r="D21" s="3" t="s">
        <v>25</v>
      </c>
      <c r="E21" t="s">
        <v>30</v>
      </c>
      <c r="F21" t="s">
        <v>371</v>
      </c>
      <c r="G21" t="s">
        <v>148</v>
      </c>
    </row>
    <row r="22" spans="1:13">
      <c r="A22" s="7" t="str">
        <f t="shared" si="3"/>
        <v>main</v>
      </c>
      <c r="B22" s="7" t="str">
        <f t="shared" si="0"/>
        <v>list</v>
      </c>
      <c r="D22" s="3"/>
      <c r="E22" t="s">
        <v>373</v>
      </c>
      <c r="F22" s="3"/>
    </row>
    <row r="23" spans="1:13">
      <c r="A23" s="7" t="str">
        <f t="shared" si="3"/>
        <v>main</v>
      </c>
      <c r="B23" s="7" t="str">
        <f t="shared" si="0"/>
        <v>list</v>
      </c>
      <c r="D23" s="3"/>
      <c r="E23" t="s">
        <v>374</v>
      </c>
      <c r="F23" s="3" t="s">
        <v>372</v>
      </c>
    </row>
    <row r="24" spans="1:13">
      <c r="A24" s="7" t="str">
        <f t="shared" si="3"/>
        <v>main</v>
      </c>
      <c r="B24" s="7" t="str">
        <f t="shared" si="0"/>
        <v>list</v>
      </c>
      <c r="E24" t="s">
        <v>0</v>
      </c>
    </row>
    <row r="25" spans="1:13">
      <c r="A25" s="7" t="str">
        <f t="shared" si="3"/>
        <v>main</v>
      </c>
      <c r="B25" s="7" t="str">
        <f t="shared" si="0"/>
        <v>list</v>
      </c>
      <c r="E25" t="s">
        <v>95</v>
      </c>
    </row>
    <row r="26" spans="1:13">
      <c r="A26" s="7" t="str">
        <f t="shared" si="3"/>
        <v>main</v>
      </c>
      <c r="B26" s="7" t="str">
        <f t="shared" si="0"/>
        <v>list</v>
      </c>
      <c r="E26" t="s">
        <v>369</v>
      </c>
      <c r="G26" t="s">
        <v>370</v>
      </c>
    </row>
    <row r="27" spans="1:13">
      <c r="A27" s="7" t="str">
        <f t="shared" si="3"/>
        <v>main</v>
      </c>
      <c r="B27" s="7" t="str">
        <f t="shared" si="0"/>
        <v>list</v>
      </c>
      <c r="E27" t="s">
        <v>1</v>
      </c>
    </row>
    <row r="28" spans="1:13">
      <c r="A28" s="7" t="str">
        <f t="shared" si="3"/>
        <v>main</v>
      </c>
      <c r="B28" s="7" t="str">
        <f t="shared" si="0"/>
        <v>list</v>
      </c>
      <c r="E28" t="s">
        <v>147</v>
      </c>
      <c r="M28" t="str">
        <f ca="1">_xlfn.CONCAT("createPDF:imagelist,./Output/Images/,./Output/APAC_Daily_Sales_",M30,".pdf")</f>
        <v>createPDF:imagelist,./Output/Images/,./Output/APAC_Daily_Sales_20221103104758.pdf</v>
      </c>
    </row>
    <row r="29" spans="1:13">
      <c r="A29" s="7" t="str">
        <f t="shared" si="3"/>
        <v>main</v>
      </c>
      <c r="B29" s="7" t="str">
        <f t="shared" si="0"/>
        <v>list</v>
      </c>
      <c r="E29" t="s">
        <v>363</v>
      </c>
      <c r="G29" t="s">
        <v>150</v>
      </c>
    </row>
    <row r="30" spans="1:13">
      <c r="A30" s="7" t="str">
        <f t="shared" si="3"/>
        <v>generatePDF</v>
      </c>
      <c r="B30" s="7" t="str">
        <f t="shared" si="0"/>
        <v>list</v>
      </c>
      <c r="C30" t="s">
        <v>16</v>
      </c>
      <c r="D30" t="s">
        <v>147</v>
      </c>
      <c r="E30" t="s">
        <v>365</v>
      </c>
      <c r="G30" t="s">
        <v>71</v>
      </c>
      <c r="M30" s="4" t="str">
        <f ca="1">TEXT(NOW(),"YYYYMMDDHHMMSS")</f>
        <v>20221103104758</v>
      </c>
    </row>
    <row r="31" spans="1:13">
      <c r="A31" s="7" t="str">
        <f t="shared" si="3"/>
        <v/>
      </c>
      <c r="B31" s="7" t="str">
        <f t="shared" si="0"/>
        <v/>
      </c>
    </row>
    <row r="32" spans="1:13">
      <c r="A32" s="7" t="str">
        <f t="shared" si="3"/>
        <v>logon_OKTA</v>
      </c>
      <c r="B32" s="7" t="str">
        <f t="shared" si="0"/>
        <v>list</v>
      </c>
      <c r="C32" t="s">
        <v>16</v>
      </c>
      <c r="D32" s="3" t="s">
        <v>0</v>
      </c>
      <c r="E32" t="s">
        <v>21</v>
      </c>
      <c r="F32" s="2"/>
      <c r="G32" t="s">
        <v>103</v>
      </c>
    </row>
    <row r="33" spans="1:7">
      <c r="A33" s="7" t="str">
        <f t="shared" si="3"/>
        <v>logon_OKTA</v>
      </c>
      <c r="B33" s="7" t="str">
        <f t="shared" si="0"/>
        <v>list</v>
      </c>
      <c r="E33" t="s">
        <v>375</v>
      </c>
    </row>
    <row r="34" spans="1:7">
      <c r="A34" s="7" t="str">
        <f t="shared" si="3"/>
        <v>logon_OKTA</v>
      </c>
      <c r="B34" s="7" t="str">
        <f t="shared" si="0"/>
        <v>list</v>
      </c>
      <c r="E34" t="s">
        <v>338</v>
      </c>
      <c r="G34" t="s">
        <v>104</v>
      </c>
    </row>
    <row r="35" spans="1:7">
      <c r="A35" s="7" t="str">
        <f t="shared" si="3"/>
        <v>logon_OKTA</v>
      </c>
      <c r="B35" s="7" t="str">
        <f t="shared" si="0"/>
        <v>list</v>
      </c>
      <c r="E35" t="s">
        <v>107</v>
      </c>
      <c r="G35" t="s">
        <v>108</v>
      </c>
    </row>
    <row r="36" spans="1:7">
      <c r="A36" s="7" t="str">
        <f t="shared" si="3"/>
        <v>logon_OKTA2</v>
      </c>
      <c r="B36" s="7" t="str">
        <f t="shared" si="0"/>
        <v>list</v>
      </c>
      <c r="C36" t="s">
        <v>16</v>
      </c>
      <c r="D36" s="1" t="s">
        <v>107</v>
      </c>
      <c r="E36" t="s">
        <v>342</v>
      </c>
      <c r="G36" s="1" t="s">
        <v>343</v>
      </c>
    </row>
    <row r="37" spans="1:7">
      <c r="A37" s="7" t="str">
        <f t="shared" si="3"/>
        <v>logon_OKTA2</v>
      </c>
      <c r="B37" s="7" t="str">
        <f t="shared" si="0"/>
        <v>list</v>
      </c>
      <c r="D37" s="1"/>
      <c r="E37" t="s">
        <v>22</v>
      </c>
      <c r="G37" s="1" t="s">
        <v>105</v>
      </c>
    </row>
    <row r="38" spans="1:7">
      <c r="A38" s="7" t="str">
        <f t="shared" si="3"/>
        <v>logon_OKTA2</v>
      </c>
      <c r="B38" s="7" t="str">
        <f t="shared" si="0"/>
        <v>list</v>
      </c>
      <c r="E38" t="s">
        <v>34</v>
      </c>
      <c r="G38" t="s">
        <v>106</v>
      </c>
    </row>
    <row r="39" spans="1:7">
      <c r="A39" s="7" t="str">
        <f t="shared" si="3"/>
        <v>logon_OKTA2</v>
      </c>
      <c r="B39" s="7" t="str">
        <f t="shared" si="0"/>
        <v>list</v>
      </c>
      <c r="E39" t="s">
        <v>39</v>
      </c>
      <c r="G39" t="s">
        <v>38</v>
      </c>
    </row>
    <row r="40" spans="1:7">
      <c r="A40" s="7" t="str">
        <f t="shared" si="3"/>
        <v>logon_OKTA2</v>
      </c>
      <c r="B40" s="7" t="str">
        <f t="shared" si="0"/>
        <v>list</v>
      </c>
      <c r="E40" t="s">
        <v>7</v>
      </c>
      <c r="G40" t="s">
        <v>110</v>
      </c>
    </row>
    <row r="41" spans="1:7">
      <c r="A41" s="7" t="str">
        <f t="shared" si="3"/>
        <v>logon_OKTA2</v>
      </c>
      <c r="B41" s="7" t="str">
        <f t="shared" si="0"/>
        <v>list</v>
      </c>
      <c r="E41" t="s">
        <v>344</v>
      </c>
      <c r="G41" t="s">
        <v>111</v>
      </c>
    </row>
    <row r="42" spans="1:7">
      <c r="A42" s="7" t="str">
        <f t="shared" si="3"/>
        <v/>
      </c>
      <c r="B42" s="7" t="str">
        <f t="shared" si="0"/>
        <v/>
      </c>
    </row>
    <row r="43" spans="1:7">
      <c r="A43" s="7" t="str">
        <f t="shared" si="3"/>
        <v>ifBlockCode</v>
      </c>
      <c r="B43" s="7" t="str">
        <f t="shared" si="0"/>
        <v>list</v>
      </c>
      <c r="C43" t="s">
        <v>16</v>
      </c>
      <c r="D43" t="s">
        <v>26</v>
      </c>
      <c r="E43" t="s">
        <v>37</v>
      </c>
    </row>
    <row r="44" spans="1:7">
      <c r="A44" s="7" t="str">
        <f t="shared" si="3"/>
        <v/>
      </c>
      <c r="B44" s="7" t="str">
        <f t="shared" si="0"/>
        <v/>
      </c>
    </row>
    <row r="45" spans="1:7">
      <c r="A45" s="7" t="str">
        <f t="shared" si="3"/>
        <v>logon_DCLICK</v>
      </c>
      <c r="B45" s="7" t="str">
        <f t="shared" si="0"/>
        <v>list</v>
      </c>
      <c r="C45" t="s">
        <v>16</v>
      </c>
      <c r="D45" s="3" t="s">
        <v>95</v>
      </c>
      <c r="E45" t="s">
        <v>94</v>
      </c>
    </row>
    <row r="46" spans="1:7">
      <c r="A46" s="7" t="str">
        <f t="shared" si="3"/>
        <v>logon_DCLICK</v>
      </c>
      <c r="B46" s="7" t="str">
        <f t="shared" si="0"/>
        <v>list</v>
      </c>
      <c r="E46" t="s">
        <v>1</v>
      </c>
    </row>
    <row r="47" spans="1:7">
      <c r="A47" s="7" t="str">
        <f t="shared" si="3"/>
        <v>logon_DCLICK</v>
      </c>
      <c r="B47" s="7" t="str">
        <f t="shared" si="0"/>
        <v>list</v>
      </c>
      <c r="E47" t="s">
        <v>338</v>
      </c>
      <c r="G47" t="s">
        <v>104</v>
      </c>
    </row>
    <row r="48" spans="1:7">
      <c r="A48" s="7" t="str">
        <f t="shared" si="3"/>
        <v>logon_DCLICK</v>
      </c>
      <c r="B48" s="7" t="str">
        <f t="shared" si="0"/>
        <v>list</v>
      </c>
      <c r="E48" t="s">
        <v>114</v>
      </c>
    </row>
    <row r="49" spans="1:7">
      <c r="A49" s="7" t="str">
        <f t="shared" si="3"/>
        <v>logon_DCLICK2</v>
      </c>
      <c r="B49" s="7" t="str">
        <f t="shared" si="0"/>
        <v>list</v>
      </c>
      <c r="C49" t="s">
        <v>16</v>
      </c>
      <c r="D49" t="s">
        <v>114</v>
      </c>
      <c r="E49" t="s">
        <v>345</v>
      </c>
      <c r="G49" t="s">
        <v>115</v>
      </c>
    </row>
    <row r="50" spans="1:7">
      <c r="A50" s="7" t="str">
        <f t="shared" si="3"/>
        <v/>
      </c>
      <c r="B50" s="7" t="str">
        <f t="shared" si="0"/>
        <v/>
      </c>
    </row>
    <row r="51" spans="1:7">
      <c r="A51" s="7" t="str">
        <f t="shared" si="3"/>
        <v>openPages</v>
      </c>
      <c r="B51" s="7" t="str">
        <f t="shared" si="0"/>
        <v>list</v>
      </c>
      <c r="C51" t="s">
        <v>16</v>
      </c>
      <c r="D51" s="3" t="s">
        <v>32</v>
      </c>
      <c r="E51" t="s">
        <v>33</v>
      </c>
    </row>
    <row r="52" spans="1:7">
      <c r="A52" s="7" t="str">
        <f t="shared" si="3"/>
        <v>openPages</v>
      </c>
      <c r="B52" s="7" t="str">
        <f t="shared" si="0"/>
        <v>list</v>
      </c>
      <c r="E52" t="s">
        <v>29</v>
      </c>
      <c r="G52" t="s">
        <v>117</v>
      </c>
    </row>
    <row r="53" spans="1:7">
      <c r="A53" s="7" t="str">
        <f t="shared" si="3"/>
        <v>openPages</v>
      </c>
      <c r="B53" s="7" t="str">
        <f t="shared" si="0"/>
        <v>list</v>
      </c>
      <c r="E53" t="s">
        <v>118</v>
      </c>
    </row>
    <row r="54" spans="1:7">
      <c r="A54" s="7" t="str">
        <f t="shared" si="3"/>
        <v>openPages2</v>
      </c>
      <c r="B54" s="7" t="str">
        <f t="shared" si="0"/>
        <v>list</v>
      </c>
      <c r="C54" t="s">
        <v>16</v>
      </c>
      <c r="D54" t="s">
        <v>118</v>
      </c>
      <c r="E54" t="s">
        <v>346</v>
      </c>
    </row>
    <row r="55" spans="1:7">
      <c r="A55" s="7" t="str">
        <f t="shared" si="3"/>
        <v>openPages2</v>
      </c>
      <c r="B55" s="7" t="str">
        <f t="shared" si="0"/>
        <v>list</v>
      </c>
      <c r="E55" t="s">
        <v>122</v>
      </c>
    </row>
    <row r="56" spans="1:7">
      <c r="A56" s="7" t="str">
        <f t="shared" si="3"/>
        <v>openPages2</v>
      </c>
      <c r="B56" s="7" t="str">
        <f t="shared" si="0"/>
        <v>list</v>
      </c>
      <c r="E56" t="s">
        <v>57</v>
      </c>
    </row>
    <row r="57" spans="1:7">
      <c r="A57" s="7" t="str">
        <f t="shared" si="3"/>
        <v>openPages2</v>
      </c>
      <c r="B57" s="7" t="str">
        <f t="shared" si="0"/>
        <v>list</v>
      </c>
      <c r="E57" t="s">
        <v>56</v>
      </c>
    </row>
    <row r="58" spans="1:7">
      <c r="A58" s="7" t="str">
        <f t="shared" si="3"/>
        <v>openPages2</v>
      </c>
      <c r="B58" s="7" t="str">
        <f t="shared" si="0"/>
        <v>list</v>
      </c>
      <c r="E58" t="s">
        <v>17</v>
      </c>
    </row>
    <row r="59" spans="1:7">
      <c r="A59" s="7" t="str">
        <f t="shared" si="3"/>
        <v>openPages2</v>
      </c>
      <c r="B59" s="7" t="str">
        <f t="shared" si="0"/>
        <v>list</v>
      </c>
      <c r="E59" t="s">
        <v>367</v>
      </c>
      <c r="G59" t="s">
        <v>64</v>
      </c>
    </row>
    <row r="60" spans="1:7">
      <c r="A60" s="7" t="str">
        <f t="shared" si="3"/>
        <v>openPages2</v>
      </c>
      <c r="B60" s="7" t="str">
        <f t="shared" si="0"/>
        <v>list</v>
      </c>
      <c r="E60" t="s">
        <v>58</v>
      </c>
    </row>
    <row r="61" spans="1:7">
      <c r="A61" s="7" t="str">
        <f t="shared" si="3"/>
        <v>openPages2</v>
      </c>
      <c r="B61" s="7" t="str">
        <f t="shared" si="0"/>
        <v>list</v>
      </c>
      <c r="E61" t="s">
        <v>17</v>
      </c>
    </row>
    <row r="62" spans="1:7">
      <c r="A62" s="7" t="str">
        <f t="shared" si="3"/>
        <v>openPages2</v>
      </c>
      <c r="B62" s="7" t="str">
        <f t="shared" si="0"/>
        <v>list</v>
      </c>
      <c r="E62" t="s">
        <v>368</v>
      </c>
    </row>
    <row r="63" spans="1:7">
      <c r="A63" s="7" t="str">
        <f t="shared" si="3"/>
        <v/>
      </c>
      <c r="B63" s="7" t="str">
        <f t="shared" si="0"/>
        <v/>
      </c>
    </row>
    <row r="64" spans="1:7">
      <c r="A64" s="7" t="str">
        <f t="shared" si="3"/>
        <v>CheckIfTouchOff</v>
      </c>
      <c r="B64" s="7" t="str">
        <f t="shared" si="0"/>
        <v>list</v>
      </c>
      <c r="C64" t="s">
        <v>16</v>
      </c>
      <c r="D64" t="s">
        <v>122</v>
      </c>
      <c r="E64" t="s">
        <v>347</v>
      </c>
      <c r="G64" t="s">
        <v>126</v>
      </c>
    </row>
    <row r="65" spans="1:7">
      <c r="A65" s="7" t="str">
        <f t="shared" si="3"/>
        <v>CheckIfTouchOff</v>
      </c>
      <c r="B65" s="7" t="str">
        <f t="shared" si="0"/>
        <v>list</v>
      </c>
      <c r="E65" t="s">
        <v>348</v>
      </c>
      <c r="G65" t="s">
        <v>127</v>
      </c>
    </row>
    <row r="66" spans="1:7">
      <c r="A66" s="7" t="str">
        <f t="shared" si="3"/>
        <v>disableTouchOn</v>
      </c>
      <c r="B66" s="7" t="str">
        <f t="shared" ref="B66:B129" si="4">IF(C66="",IF(E66="","",B65),C66)</f>
        <v>list</v>
      </c>
      <c r="C66" t="s">
        <v>16</v>
      </c>
      <c r="D66" t="s">
        <v>124</v>
      </c>
      <c r="E66" t="s">
        <v>349</v>
      </c>
      <c r="G66" t="s">
        <v>128</v>
      </c>
    </row>
    <row r="67" spans="1:7">
      <c r="A67" s="7" t="str">
        <f t="shared" ref="A67:A130" si="5">IF(D67="",IF(E67="","",A66),D67)</f>
        <v>disableTouchOn</v>
      </c>
      <c r="B67" s="7" t="str">
        <f t="shared" si="4"/>
        <v>list</v>
      </c>
      <c r="E67" t="s">
        <v>2</v>
      </c>
    </row>
    <row r="68" spans="1:7">
      <c r="A68" s="7" t="str">
        <f t="shared" si="5"/>
        <v>disableTouchOn</v>
      </c>
      <c r="B68" s="7" t="str">
        <f t="shared" si="4"/>
        <v>list</v>
      </c>
      <c r="E68" t="s">
        <v>129</v>
      </c>
    </row>
    <row r="69" spans="1:7">
      <c r="A69" s="7" t="str">
        <f t="shared" si="5"/>
        <v>disableTouchOn</v>
      </c>
      <c r="B69" s="7" t="str">
        <f t="shared" si="4"/>
        <v>list</v>
      </c>
      <c r="E69" t="s">
        <v>120</v>
      </c>
      <c r="G69" t="s">
        <v>131</v>
      </c>
    </row>
    <row r="70" spans="1:7">
      <c r="A70" s="7" t="str">
        <f t="shared" si="5"/>
        <v>disableTouchOn</v>
      </c>
      <c r="B70" s="7" t="str">
        <f t="shared" si="4"/>
        <v>list</v>
      </c>
      <c r="E70" t="s">
        <v>121</v>
      </c>
      <c r="G70" t="s">
        <v>132</v>
      </c>
    </row>
    <row r="71" spans="1:7">
      <c r="A71" s="7" t="str">
        <f t="shared" si="5"/>
        <v>disableTouchOn</v>
      </c>
      <c r="B71" s="7" t="str">
        <f t="shared" si="4"/>
        <v>list</v>
      </c>
      <c r="E71" t="s">
        <v>350</v>
      </c>
      <c r="G71" t="s">
        <v>133</v>
      </c>
    </row>
    <row r="72" spans="1:7">
      <c r="A72" s="7" t="str">
        <f t="shared" si="5"/>
        <v>exitProgram</v>
      </c>
      <c r="B72" s="7" t="str">
        <f t="shared" si="4"/>
        <v>list</v>
      </c>
      <c r="C72" t="s">
        <v>16</v>
      </c>
      <c r="D72" t="s">
        <v>134</v>
      </c>
      <c r="E72" t="s">
        <v>27</v>
      </c>
    </row>
    <row r="73" spans="1:7">
      <c r="A73" s="7" t="str">
        <f t="shared" si="5"/>
        <v/>
      </c>
      <c r="B73" s="7" t="str">
        <f t="shared" si="4"/>
        <v/>
      </c>
    </row>
    <row r="74" spans="1:7">
      <c r="A74" s="7" t="str">
        <f t="shared" si="5"/>
        <v>clkCurrent</v>
      </c>
      <c r="B74" s="7" t="str">
        <f t="shared" si="4"/>
        <v>list</v>
      </c>
      <c r="C74" t="s">
        <v>16</v>
      </c>
      <c r="D74" t="s">
        <v>57</v>
      </c>
      <c r="E74" t="s">
        <v>61</v>
      </c>
      <c r="G74" t="s">
        <v>99</v>
      </c>
    </row>
    <row r="75" spans="1:7">
      <c r="A75" s="7" t="str">
        <f t="shared" si="5"/>
        <v>clkNetSales</v>
      </c>
      <c r="B75" s="7" t="str">
        <f t="shared" si="4"/>
        <v>list</v>
      </c>
      <c r="C75" t="s">
        <v>16</v>
      </c>
      <c r="D75" t="s">
        <v>56</v>
      </c>
      <c r="E75" t="s">
        <v>60</v>
      </c>
      <c r="G75" t="s">
        <v>100</v>
      </c>
    </row>
    <row r="76" spans="1:7">
      <c r="A76" s="7" t="str">
        <f t="shared" si="5"/>
        <v>clkUnits</v>
      </c>
      <c r="B76" s="7" t="str">
        <f t="shared" si="4"/>
        <v>list</v>
      </c>
      <c r="C76" t="s">
        <v>16</v>
      </c>
      <c r="D76" t="s">
        <v>58</v>
      </c>
      <c r="E76" t="s">
        <v>59</v>
      </c>
      <c r="G76" t="s">
        <v>101</v>
      </c>
    </row>
    <row r="77" spans="1:7">
      <c r="A77" s="7" t="str">
        <f t="shared" si="5"/>
        <v>rclkValues</v>
      </c>
      <c r="B77" s="7" t="str">
        <f t="shared" si="4"/>
        <v>list</v>
      </c>
      <c r="C77" t="s">
        <v>16</v>
      </c>
      <c r="D77" t="s">
        <v>63</v>
      </c>
      <c r="E77" t="s">
        <v>341</v>
      </c>
      <c r="G77" t="s">
        <v>102</v>
      </c>
    </row>
    <row r="78" spans="1:7">
      <c r="A78" s="7" t="str">
        <f t="shared" si="5"/>
        <v/>
      </c>
      <c r="B78" s="7" t="str">
        <f t="shared" si="4"/>
        <v/>
      </c>
    </row>
    <row r="79" spans="1:7">
      <c r="A79" s="7" t="str">
        <f t="shared" si="5"/>
        <v>DownloadImage</v>
      </c>
      <c r="B79" s="7" t="str">
        <f t="shared" si="4"/>
        <v>list</v>
      </c>
      <c r="C79" t="s">
        <v>16</v>
      </c>
      <c r="D79" t="s">
        <v>17</v>
      </c>
      <c r="E79" t="s">
        <v>339</v>
      </c>
      <c r="G79" t="s">
        <v>143</v>
      </c>
    </row>
    <row r="80" spans="1:7">
      <c r="E80" t="s">
        <v>351</v>
      </c>
    </row>
    <row r="81" spans="1:7">
      <c r="A81" s="7" t="str">
        <f>IF(D81="",IF(E81="","",A79),D81)</f>
        <v>DownloadImage</v>
      </c>
      <c r="B81" s="7" t="str">
        <f>IF(C81="",IF(E81="","",B79),C81)</f>
        <v>list</v>
      </c>
      <c r="E81" t="s">
        <v>63</v>
      </c>
      <c r="G81" t="s">
        <v>144</v>
      </c>
    </row>
    <row r="82" spans="1:7">
      <c r="A82" s="7" t="str">
        <f t="shared" si="5"/>
        <v>DownloadImage</v>
      </c>
      <c r="B82" s="7" t="str">
        <f t="shared" si="4"/>
        <v>list</v>
      </c>
      <c r="E82" t="s">
        <v>138</v>
      </c>
    </row>
    <row r="83" spans="1:7">
      <c r="A83" s="7" t="str">
        <f t="shared" si="5"/>
        <v>DownloadImage2</v>
      </c>
      <c r="B83" s="7" t="str">
        <f t="shared" si="4"/>
        <v>list</v>
      </c>
      <c r="C83" t="s">
        <v>16</v>
      </c>
      <c r="D83" t="s">
        <v>138</v>
      </c>
      <c r="E83" t="s">
        <v>352</v>
      </c>
    </row>
    <row r="84" spans="1:7">
      <c r="A84" s="7" t="str">
        <f t="shared" si="5"/>
        <v>DownloadImage2</v>
      </c>
      <c r="B84" s="7" t="str">
        <f t="shared" si="4"/>
        <v>list</v>
      </c>
      <c r="E84" t="s">
        <v>3</v>
      </c>
      <c r="G84" t="s">
        <v>97</v>
      </c>
    </row>
    <row r="85" spans="1:7">
      <c r="A85" s="7" t="str">
        <f t="shared" si="5"/>
        <v>DownloadImage2</v>
      </c>
      <c r="B85" s="7" t="str">
        <f t="shared" si="4"/>
        <v>list</v>
      </c>
      <c r="E85" t="s">
        <v>353</v>
      </c>
      <c r="G85" t="s">
        <v>354</v>
      </c>
    </row>
    <row r="86" spans="1:7">
      <c r="A86" s="7" t="str">
        <f t="shared" si="5"/>
        <v>DownloadImage2</v>
      </c>
      <c r="B86" s="7" t="str">
        <f t="shared" si="4"/>
        <v>list</v>
      </c>
      <c r="E86" t="s">
        <v>4</v>
      </c>
      <c r="G86" t="s">
        <v>96</v>
      </c>
    </row>
    <row r="87" spans="1:7">
      <c r="A87" s="7" t="str">
        <f t="shared" si="5"/>
        <v>DownloadImage2</v>
      </c>
      <c r="B87" s="7" t="str">
        <f t="shared" si="4"/>
        <v>list</v>
      </c>
      <c r="E87" t="s">
        <v>355</v>
      </c>
    </row>
    <row r="88" spans="1:7">
      <c r="A88" s="7" t="str">
        <f t="shared" si="5"/>
        <v>DownloadImage2</v>
      </c>
      <c r="B88" s="7" t="str">
        <f t="shared" si="4"/>
        <v>list</v>
      </c>
      <c r="E88" t="s">
        <v>5</v>
      </c>
    </row>
    <row r="89" spans="1:7">
      <c r="A89" s="7" t="str">
        <f t="shared" si="5"/>
        <v>DownloadImage2</v>
      </c>
      <c r="B89" s="7" t="str">
        <f t="shared" si="4"/>
        <v>list</v>
      </c>
      <c r="E89" t="s">
        <v>356</v>
      </c>
    </row>
    <row r="90" spans="1:7">
      <c r="A90" s="7" t="str">
        <f t="shared" si="5"/>
        <v>DownloadImage2</v>
      </c>
      <c r="B90" s="7" t="str">
        <f t="shared" si="4"/>
        <v>list</v>
      </c>
      <c r="E90" t="s">
        <v>6</v>
      </c>
    </row>
    <row r="91" spans="1:7">
      <c r="A91" s="7" t="str">
        <f t="shared" si="5"/>
        <v>DownloadImage2</v>
      </c>
      <c r="B91" s="7" t="str">
        <f t="shared" si="4"/>
        <v>list</v>
      </c>
      <c r="E91" t="s">
        <v>24</v>
      </c>
      <c r="G91" t="s">
        <v>146</v>
      </c>
    </row>
    <row r="92" spans="1:7">
      <c r="A92" s="7" t="str">
        <f t="shared" si="5"/>
        <v>DownloadImage2</v>
      </c>
      <c r="B92" s="7" t="str">
        <f t="shared" si="4"/>
        <v>list</v>
      </c>
      <c r="E92" t="s">
        <v>340</v>
      </c>
      <c r="G92" t="s">
        <v>145</v>
      </c>
    </row>
    <row r="93" spans="1:7">
      <c r="A93" s="7" t="str">
        <f t="shared" si="5"/>
        <v>DownloadImage2</v>
      </c>
      <c r="B93" s="7" t="str">
        <f t="shared" si="4"/>
        <v>list</v>
      </c>
      <c r="E93" t="s">
        <v>65</v>
      </c>
      <c r="G93" t="s">
        <v>137</v>
      </c>
    </row>
    <row r="94" spans="1:7">
      <c r="A94" s="7" t="str">
        <f t="shared" si="5"/>
        <v/>
      </c>
      <c r="B94" s="7" t="str">
        <f t="shared" si="4"/>
        <v/>
      </c>
    </row>
    <row r="95" spans="1:7">
      <c r="A95" s="7" t="str">
        <f t="shared" si="5"/>
        <v>imagelist</v>
      </c>
      <c r="B95" s="7" t="str">
        <f t="shared" si="4"/>
        <v>list</v>
      </c>
      <c r="C95" t="s">
        <v>16</v>
      </c>
      <c r="D95" t="s">
        <v>66</v>
      </c>
      <c r="E95" t="s">
        <v>469</v>
      </c>
      <c r="G95" t="s">
        <v>136</v>
      </c>
    </row>
    <row r="96" spans="1:7">
      <c r="A96" s="7" t="str">
        <f t="shared" si="5"/>
        <v>imagelist</v>
      </c>
      <c r="B96" s="7" t="str">
        <f t="shared" si="4"/>
        <v>list</v>
      </c>
      <c r="E96" t="s">
        <v>470</v>
      </c>
    </row>
    <row r="97" spans="1:5">
      <c r="A97" s="7" t="str">
        <f t="shared" si="5"/>
        <v>imagelist</v>
      </c>
      <c r="B97" s="7" t="str">
        <f t="shared" si="4"/>
        <v>list</v>
      </c>
      <c r="E97" t="s">
        <v>471</v>
      </c>
    </row>
    <row r="98" spans="1:5">
      <c r="A98" s="7" t="str">
        <f t="shared" si="5"/>
        <v>imagelist</v>
      </c>
      <c r="B98" s="7" t="str">
        <f t="shared" si="4"/>
        <v>list</v>
      </c>
      <c r="E98" t="s">
        <v>472</v>
      </c>
    </row>
    <row r="99" spans="1:5">
      <c r="A99" s="7" t="str">
        <f t="shared" si="5"/>
        <v>imagelist</v>
      </c>
      <c r="B99" s="7" t="str">
        <f t="shared" si="4"/>
        <v>list</v>
      </c>
      <c r="E99" t="s">
        <v>84</v>
      </c>
    </row>
    <row r="100" spans="1:5">
      <c r="A100" s="7" t="str">
        <f t="shared" si="5"/>
        <v>imagelist</v>
      </c>
      <c r="B100" s="7" t="str">
        <f t="shared" si="4"/>
        <v>list</v>
      </c>
      <c r="E100" t="s">
        <v>91</v>
      </c>
    </row>
    <row r="101" spans="1:5">
      <c r="A101" s="7" t="str">
        <f t="shared" si="5"/>
        <v>imagelist</v>
      </c>
      <c r="B101" s="7" t="str">
        <f t="shared" si="4"/>
        <v>list</v>
      </c>
      <c r="E101" t="s">
        <v>76</v>
      </c>
    </row>
    <row r="102" spans="1:5">
      <c r="A102" s="7" t="str">
        <f t="shared" si="5"/>
        <v>imagelist</v>
      </c>
      <c r="B102" s="7" t="str">
        <f t="shared" si="4"/>
        <v>list</v>
      </c>
      <c r="E102" t="s">
        <v>77</v>
      </c>
    </row>
    <row r="103" spans="1:5">
      <c r="A103" s="7" t="str">
        <f t="shared" si="5"/>
        <v>imagelist</v>
      </c>
      <c r="B103" s="7" t="str">
        <f t="shared" si="4"/>
        <v>list</v>
      </c>
      <c r="E103" t="s">
        <v>78</v>
      </c>
    </row>
    <row r="104" spans="1:5">
      <c r="A104" s="7" t="str">
        <f t="shared" si="5"/>
        <v>imagelist</v>
      </c>
      <c r="B104" s="7" t="str">
        <f t="shared" si="4"/>
        <v>list</v>
      </c>
      <c r="E104" t="s">
        <v>85</v>
      </c>
    </row>
    <row r="105" spans="1:5">
      <c r="A105" s="7" t="str">
        <f t="shared" si="5"/>
        <v>imagelist</v>
      </c>
      <c r="B105" s="7" t="str">
        <f t="shared" si="4"/>
        <v>list</v>
      </c>
      <c r="E105" t="s">
        <v>79</v>
      </c>
    </row>
    <row r="106" spans="1:5">
      <c r="A106" s="7" t="str">
        <f t="shared" si="5"/>
        <v>imagelist</v>
      </c>
      <c r="B106" s="7" t="str">
        <f t="shared" si="4"/>
        <v>list</v>
      </c>
      <c r="E106" t="s">
        <v>86</v>
      </c>
    </row>
    <row r="107" spans="1:5">
      <c r="A107" s="7" t="str">
        <f t="shared" si="5"/>
        <v>imagelist</v>
      </c>
      <c r="B107" s="7" t="str">
        <f t="shared" si="4"/>
        <v>list</v>
      </c>
      <c r="E107" t="s">
        <v>80</v>
      </c>
    </row>
    <row r="108" spans="1:5">
      <c r="A108" s="7" t="str">
        <f t="shared" si="5"/>
        <v>imagelist</v>
      </c>
      <c r="B108" s="7" t="str">
        <f t="shared" si="4"/>
        <v>list</v>
      </c>
      <c r="E108" t="s">
        <v>87</v>
      </c>
    </row>
    <row r="109" spans="1:5">
      <c r="A109" s="7" t="str">
        <f t="shared" si="5"/>
        <v>imagelist</v>
      </c>
      <c r="B109" s="7" t="str">
        <f t="shared" si="4"/>
        <v>list</v>
      </c>
      <c r="E109" t="s">
        <v>81</v>
      </c>
    </row>
    <row r="110" spans="1:5">
      <c r="A110" s="7" t="str">
        <f t="shared" si="5"/>
        <v>imagelist</v>
      </c>
      <c r="B110" s="7" t="str">
        <f t="shared" si="4"/>
        <v>list</v>
      </c>
      <c r="E110" t="s">
        <v>88</v>
      </c>
    </row>
    <row r="111" spans="1:5">
      <c r="A111" s="7" t="str">
        <f t="shared" si="5"/>
        <v>imagelist</v>
      </c>
      <c r="B111" s="7" t="str">
        <f t="shared" si="4"/>
        <v>list</v>
      </c>
      <c r="E111" t="s">
        <v>82</v>
      </c>
    </row>
    <row r="112" spans="1:5">
      <c r="A112" s="7" t="str">
        <f t="shared" si="5"/>
        <v>imagelist</v>
      </c>
      <c r="B112" s="7" t="str">
        <f t="shared" si="4"/>
        <v>list</v>
      </c>
      <c r="E112" t="s">
        <v>89</v>
      </c>
    </row>
    <row r="113" spans="1:7">
      <c r="A113" s="7" t="str">
        <f t="shared" si="5"/>
        <v>imagelist</v>
      </c>
      <c r="B113" s="7" t="str">
        <f t="shared" si="4"/>
        <v>list</v>
      </c>
      <c r="E113" t="s">
        <v>83</v>
      </c>
    </row>
    <row r="114" spans="1:7">
      <c r="A114" s="7" t="str">
        <f t="shared" si="5"/>
        <v>imagelist</v>
      </c>
      <c r="B114" s="7" t="str">
        <f t="shared" si="4"/>
        <v>list</v>
      </c>
      <c r="E114" t="s">
        <v>90</v>
      </c>
    </row>
    <row r="115" spans="1:7">
      <c r="A115" s="7" t="str">
        <f t="shared" si="5"/>
        <v/>
      </c>
      <c r="B115" s="7" t="str">
        <f t="shared" si="4"/>
        <v/>
      </c>
    </row>
    <row r="116" spans="1:7">
      <c r="A116" s="7" t="str">
        <f t="shared" si="5"/>
        <v/>
      </c>
      <c r="B116" s="7" t="str">
        <f t="shared" si="4"/>
        <v/>
      </c>
    </row>
    <row r="117" spans="1:7">
      <c r="A117" s="7" t="str">
        <f t="shared" si="5"/>
        <v>pageTitles</v>
      </c>
      <c r="B117" s="7" t="str">
        <f t="shared" si="4"/>
        <v>list</v>
      </c>
      <c r="C117" t="s">
        <v>16</v>
      </c>
      <c r="D117" t="s">
        <v>67</v>
      </c>
      <c r="E117" t="s">
        <v>68</v>
      </c>
    </row>
    <row r="118" spans="1:7">
      <c r="A118" s="7" t="str">
        <f t="shared" si="5"/>
        <v>pageTitles</v>
      </c>
      <c r="B118" s="7" t="str">
        <f t="shared" si="4"/>
        <v>list</v>
      </c>
      <c r="E118" t="s">
        <v>69</v>
      </c>
    </row>
    <row r="119" spans="1:7">
      <c r="A119" s="7" t="str">
        <f t="shared" si="5"/>
        <v/>
      </c>
      <c r="B119" s="7" t="str">
        <f t="shared" si="4"/>
        <v/>
      </c>
    </row>
    <row r="120" spans="1:7">
      <c r="A120" s="7" t="str">
        <f t="shared" si="5"/>
        <v>globalParameters</v>
      </c>
      <c r="B120" s="7" t="str">
        <f t="shared" si="4"/>
        <v>key</v>
      </c>
      <c r="C120" t="s">
        <v>15</v>
      </c>
      <c r="D120" t="s">
        <v>35</v>
      </c>
      <c r="E120" t="s">
        <v>36</v>
      </c>
      <c r="F120" t="b">
        <v>0</v>
      </c>
    </row>
    <row r="121" spans="1:7">
      <c r="A121" s="7" t="str">
        <f t="shared" si="5"/>
        <v/>
      </c>
      <c r="B121" s="7" t="str">
        <f t="shared" si="4"/>
        <v/>
      </c>
    </row>
    <row r="122" spans="1:7">
      <c r="A122" s="7" t="str">
        <f t="shared" si="5"/>
        <v>main_temp</v>
      </c>
      <c r="B122" s="7" t="str">
        <f t="shared" si="4"/>
        <v>list</v>
      </c>
      <c r="C122" t="s">
        <v>16</v>
      </c>
      <c r="D122" t="s">
        <v>70</v>
      </c>
      <c r="E122" t="s">
        <v>30</v>
      </c>
    </row>
    <row r="123" spans="1:7">
      <c r="A123" s="7" t="str">
        <f t="shared" si="5"/>
        <v>main_temp</v>
      </c>
      <c r="B123" s="7" t="str">
        <f t="shared" si="4"/>
        <v>list</v>
      </c>
      <c r="E123" t="s">
        <v>72</v>
      </c>
      <c r="G123" t="s">
        <v>71</v>
      </c>
    </row>
    <row r="124" spans="1:7">
      <c r="A124" s="7" t="str">
        <f t="shared" si="5"/>
        <v>main_temp</v>
      </c>
      <c r="B124" s="7" t="str">
        <f t="shared" si="4"/>
        <v>list</v>
      </c>
      <c r="E124" t="s">
        <v>73</v>
      </c>
    </row>
    <row r="125" spans="1:7">
      <c r="A125" s="7" t="str">
        <f t="shared" si="5"/>
        <v/>
      </c>
      <c r="B125" s="7" t="str">
        <f t="shared" si="4"/>
        <v/>
      </c>
    </row>
    <row r="126" spans="1:7">
      <c r="A126" s="7" t="str">
        <f t="shared" si="5"/>
        <v/>
      </c>
      <c r="B126" s="7" t="str">
        <f t="shared" si="4"/>
        <v/>
      </c>
    </row>
    <row r="127" spans="1:7">
      <c r="A127" s="7" t="str">
        <f t="shared" si="5"/>
        <v/>
      </c>
      <c r="B127" s="7" t="str">
        <f t="shared" si="4"/>
        <v/>
      </c>
    </row>
    <row r="128" spans="1:7">
      <c r="A128" s="7" t="str">
        <f t="shared" si="5"/>
        <v/>
      </c>
      <c r="B128" s="7" t="str">
        <f t="shared" si="4"/>
        <v/>
      </c>
    </row>
    <row r="129" spans="1:2">
      <c r="A129" s="7" t="str">
        <f t="shared" si="5"/>
        <v/>
      </c>
      <c r="B129" s="7" t="str">
        <f t="shared" si="4"/>
        <v/>
      </c>
    </row>
    <row r="130" spans="1:2">
      <c r="A130" s="7" t="str">
        <f t="shared" si="5"/>
        <v/>
      </c>
      <c r="B130" s="7" t="str">
        <f t="shared" ref="B130:B193" si="6">IF(C130="",IF(E130="","",B129),C130)</f>
        <v/>
      </c>
    </row>
    <row r="131" spans="1:2">
      <c r="A131" s="7" t="str">
        <f t="shared" ref="A131:A194" si="7">IF(D131="",IF(E131="","",A130),D131)</f>
        <v/>
      </c>
      <c r="B131" s="7" t="str">
        <f t="shared" si="6"/>
        <v/>
      </c>
    </row>
    <row r="132" spans="1:2">
      <c r="A132" s="7" t="str">
        <f t="shared" si="7"/>
        <v/>
      </c>
      <c r="B132" s="7" t="str">
        <f t="shared" si="6"/>
        <v/>
      </c>
    </row>
    <row r="133" spans="1:2">
      <c r="A133" s="7" t="str">
        <f t="shared" si="7"/>
        <v/>
      </c>
      <c r="B133" s="7" t="str">
        <f t="shared" si="6"/>
        <v/>
      </c>
    </row>
    <row r="134" spans="1:2">
      <c r="A134" s="7" t="str">
        <f t="shared" si="7"/>
        <v/>
      </c>
      <c r="B134" s="7" t="str">
        <f t="shared" si="6"/>
        <v/>
      </c>
    </row>
    <row r="135" spans="1:2">
      <c r="A135" s="7" t="str">
        <f t="shared" si="7"/>
        <v/>
      </c>
      <c r="B135" s="7" t="str">
        <f t="shared" si="6"/>
        <v/>
      </c>
    </row>
    <row r="136" spans="1:2">
      <c r="A136" s="7" t="str">
        <f t="shared" si="7"/>
        <v/>
      </c>
      <c r="B136" s="7" t="str">
        <f t="shared" si="6"/>
        <v/>
      </c>
    </row>
    <row r="137" spans="1:2">
      <c r="A137" s="7" t="str">
        <f t="shared" si="7"/>
        <v/>
      </c>
      <c r="B137" s="7" t="str">
        <f t="shared" si="6"/>
        <v/>
      </c>
    </row>
    <row r="138" spans="1:2">
      <c r="A138" s="7" t="str">
        <f t="shared" si="7"/>
        <v/>
      </c>
      <c r="B138" s="7" t="str">
        <f t="shared" si="6"/>
        <v/>
      </c>
    </row>
    <row r="139" spans="1:2">
      <c r="A139" s="7" t="str">
        <f t="shared" si="7"/>
        <v/>
      </c>
      <c r="B139" s="7" t="str">
        <f t="shared" si="6"/>
        <v/>
      </c>
    </row>
    <row r="140" spans="1:2">
      <c r="A140" s="7" t="str">
        <f t="shared" si="7"/>
        <v/>
      </c>
      <c r="B140" s="7" t="str">
        <f t="shared" si="6"/>
        <v/>
      </c>
    </row>
    <row r="141" spans="1:2">
      <c r="A141" s="7" t="str">
        <f t="shared" si="7"/>
        <v/>
      </c>
      <c r="B141" s="7" t="str">
        <f t="shared" si="6"/>
        <v/>
      </c>
    </row>
    <row r="142" spans="1:2">
      <c r="A142" s="7" t="str">
        <f t="shared" si="7"/>
        <v/>
      </c>
      <c r="B142" s="7" t="str">
        <f t="shared" si="6"/>
        <v/>
      </c>
    </row>
    <row r="143" spans="1:2">
      <c r="A143" s="7" t="str">
        <f t="shared" si="7"/>
        <v/>
      </c>
      <c r="B143" s="7" t="str">
        <f t="shared" si="6"/>
        <v/>
      </c>
    </row>
    <row r="144" spans="1:2">
      <c r="A144" s="7" t="str">
        <f t="shared" si="7"/>
        <v/>
      </c>
      <c r="B144" s="7" t="str">
        <f t="shared" si="6"/>
        <v/>
      </c>
    </row>
    <row r="145" spans="1:2">
      <c r="A145" s="7" t="str">
        <f t="shared" si="7"/>
        <v/>
      </c>
      <c r="B145" s="7" t="str">
        <f t="shared" si="6"/>
        <v/>
      </c>
    </row>
    <row r="146" spans="1:2">
      <c r="A146" s="7" t="str">
        <f t="shared" si="7"/>
        <v/>
      </c>
      <c r="B146" s="7" t="str">
        <f t="shared" si="6"/>
        <v/>
      </c>
    </row>
    <row r="147" spans="1:2">
      <c r="A147" s="7" t="str">
        <f t="shared" si="7"/>
        <v/>
      </c>
      <c r="B147" s="7" t="str">
        <f t="shared" si="6"/>
        <v/>
      </c>
    </row>
    <row r="148" spans="1:2">
      <c r="A148" s="7" t="str">
        <f t="shared" si="7"/>
        <v/>
      </c>
      <c r="B148" s="7" t="str">
        <f t="shared" si="6"/>
        <v/>
      </c>
    </row>
    <row r="149" spans="1:2">
      <c r="A149" s="7" t="str">
        <f t="shared" si="7"/>
        <v/>
      </c>
      <c r="B149" s="7" t="str">
        <f t="shared" si="6"/>
        <v/>
      </c>
    </row>
    <row r="150" spans="1:2">
      <c r="A150" s="7" t="str">
        <f t="shared" si="7"/>
        <v/>
      </c>
      <c r="B150" s="7" t="str">
        <f t="shared" si="6"/>
        <v/>
      </c>
    </row>
    <row r="151" spans="1:2">
      <c r="A151" s="7" t="str">
        <f t="shared" si="7"/>
        <v/>
      </c>
      <c r="B151" s="7" t="str">
        <f t="shared" si="6"/>
        <v/>
      </c>
    </row>
    <row r="152" spans="1:2">
      <c r="A152" s="7" t="str">
        <f t="shared" si="7"/>
        <v/>
      </c>
      <c r="B152" s="7" t="str">
        <f t="shared" si="6"/>
        <v/>
      </c>
    </row>
    <row r="153" spans="1:2">
      <c r="A153" s="7" t="str">
        <f t="shared" si="7"/>
        <v/>
      </c>
      <c r="B153" s="7" t="str">
        <f t="shared" si="6"/>
        <v/>
      </c>
    </row>
    <row r="154" spans="1:2">
      <c r="A154" s="7" t="str">
        <f t="shared" si="7"/>
        <v/>
      </c>
      <c r="B154" s="7" t="str">
        <f t="shared" si="6"/>
        <v/>
      </c>
    </row>
    <row r="155" spans="1:2">
      <c r="A155" s="7" t="str">
        <f t="shared" si="7"/>
        <v/>
      </c>
      <c r="B155" s="7" t="str">
        <f t="shared" si="6"/>
        <v/>
      </c>
    </row>
    <row r="156" spans="1:2">
      <c r="A156" s="7" t="str">
        <f t="shared" si="7"/>
        <v/>
      </c>
      <c r="B156" s="7" t="str">
        <f t="shared" si="6"/>
        <v/>
      </c>
    </row>
    <row r="157" spans="1:2">
      <c r="A157" s="7" t="str">
        <f t="shared" si="7"/>
        <v/>
      </c>
      <c r="B157" s="7" t="str">
        <f t="shared" si="6"/>
        <v/>
      </c>
    </row>
    <row r="158" spans="1:2">
      <c r="A158" s="7" t="str">
        <f t="shared" si="7"/>
        <v/>
      </c>
      <c r="B158" s="7" t="str">
        <f t="shared" si="6"/>
        <v/>
      </c>
    </row>
    <row r="159" spans="1:2">
      <c r="A159" s="7" t="str">
        <f t="shared" si="7"/>
        <v/>
      </c>
      <c r="B159" s="7" t="str">
        <f t="shared" si="6"/>
        <v/>
      </c>
    </row>
    <row r="160" spans="1:2">
      <c r="A160" s="7" t="str">
        <f t="shared" si="7"/>
        <v/>
      </c>
      <c r="B160" s="7" t="str">
        <f t="shared" si="6"/>
        <v/>
      </c>
    </row>
    <row r="161" spans="1:2">
      <c r="A161" s="7" t="str">
        <f t="shared" si="7"/>
        <v/>
      </c>
      <c r="B161" s="7" t="str">
        <f t="shared" si="6"/>
        <v/>
      </c>
    </row>
    <row r="162" spans="1:2">
      <c r="A162" s="7" t="str">
        <f t="shared" si="7"/>
        <v/>
      </c>
      <c r="B162" s="7" t="str">
        <f t="shared" si="6"/>
        <v/>
      </c>
    </row>
    <row r="163" spans="1:2">
      <c r="A163" s="7" t="str">
        <f t="shared" si="7"/>
        <v/>
      </c>
      <c r="B163" s="7" t="str">
        <f t="shared" si="6"/>
        <v/>
      </c>
    </row>
    <row r="164" spans="1:2">
      <c r="A164" s="7" t="str">
        <f t="shared" si="7"/>
        <v/>
      </c>
      <c r="B164" s="7" t="str">
        <f t="shared" si="6"/>
        <v/>
      </c>
    </row>
    <row r="165" spans="1:2">
      <c r="A165" s="7" t="str">
        <f t="shared" si="7"/>
        <v/>
      </c>
      <c r="B165" s="7" t="str">
        <f t="shared" si="6"/>
        <v/>
      </c>
    </row>
    <row r="166" spans="1:2">
      <c r="A166" s="7" t="str">
        <f t="shared" si="7"/>
        <v/>
      </c>
      <c r="B166" s="7" t="str">
        <f t="shared" si="6"/>
        <v/>
      </c>
    </row>
    <row r="167" spans="1:2">
      <c r="A167" s="7" t="str">
        <f t="shared" si="7"/>
        <v/>
      </c>
      <c r="B167" s="7" t="str">
        <f t="shared" si="6"/>
        <v/>
      </c>
    </row>
    <row r="168" spans="1:2">
      <c r="A168" s="7" t="str">
        <f t="shared" si="7"/>
        <v/>
      </c>
      <c r="B168" s="7" t="str">
        <f t="shared" si="6"/>
        <v/>
      </c>
    </row>
    <row r="169" spans="1:2">
      <c r="A169" s="7" t="str">
        <f t="shared" si="7"/>
        <v/>
      </c>
      <c r="B169" s="7" t="str">
        <f t="shared" si="6"/>
        <v/>
      </c>
    </row>
    <row r="170" spans="1:2">
      <c r="A170" s="7" t="str">
        <f t="shared" si="7"/>
        <v/>
      </c>
      <c r="B170" s="7" t="str">
        <f t="shared" si="6"/>
        <v/>
      </c>
    </row>
    <row r="171" spans="1:2">
      <c r="A171" s="7" t="str">
        <f t="shared" si="7"/>
        <v/>
      </c>
      <c r="B171" s="7" t="str">
        <f t="shared" si="6"/>
        <v/>
      </c>
    </row>
    <row r="172" spans="1:2">
      <c r="A172" s="7" t="str">
        <f t="shared" si="7"/>
        <v/>
      </c>
      <c r="B172" s="7" t="str">
        <f t="shared" si="6"/>
        <v/>
      </c>
    </row>
    <row r="173" spans="1:2">
      <c r="A173" s="7" t="str">
        <f t="shared" si="7"/>
        <v/>
      </c>
      <c r="B173" s="7" t="str">
        <f t="shared" si="6"/>
        <v/>
      </c>
    </row>
    <row r="174" spans="1:2">
      <c r="A174" s="7" t="str">
        <f t="shared" si="7"/>
        <v/>
      </c>
      <c r="B174" s="7" t="str">
        <f t="shared" si="6"/>
        <v/>
      </c>
    </row>
    <row r="175" spans="1:2">
      <c r="A175" s="7" t="str">
        <f t="shared" si="7"/>
        <v/>
      </c>
      <c r="B175" s="7" t="str">
        <f t="shared" si="6"/>
        <v/>
      </c>
    </row>
    <row r="176" spans="1:2">
      <c r="A176" s="7" t="str">
        <f t="shared" si="7"/>
        <v/>
      </c>
      <c r="B176" s="7" t="str">
        <f t="shared" si="6"/>
        <v/>
      </c>
    </row>
    <row r="177" spans="1:2">
      <c r="A177" s="7" t="str">
        <f t="shared" si="7"/>
        <v/>
      </c>
      <c r="B177" s="7" t="str">
        <f t="shared" si="6"/>
        <v/>
      </c>
    </row>
    <row r="178" spans="1:2">
      <c r="A178" s="7" t="str">
        <f t="shared" si="7"/>
        <v/>
      </c>
      <c r="B178" s="7" t="str">
        <f t="shared" si="6"/>
        <v/>
      </c>
    </row>
    <row r="179" spans="1:2">
      <c r="A179" s="7" t="str">
        <f t="shared" si="7"/>
        <v/>
      </c>
      <c r="B179" s="7" t="str">
        <f t="shared" si="6"/>
        <v/>
      </c>
    </row>
    <row r="180" spans="1:2">
      <c r="A180" s="7" t="str">
        <f t="shared" si="7"/>
        <v/>
      </c>
      <c r="B180" s="7" t="str">
        <f t="shared" si="6"/>
        <v/>
      </c>
    </row>
    <row r="181" spans="1:2">
      <c r="A181" s="7" t="str">
        <f t="shared" si="7"/>
        <v/>
      </c>
      <c r="B181" s="7" t="str">
        <f t="shared" si="6"/>
        <v/>
      </c>
    </row>
    <row r="182" spans="1:2">
      <c r="A182" s="7" t="str">
        <f t="shared" si="7"/>
        <v/>
      </c>
      <c r="B182" s="7" t="str">
        <f t="shared" si="6"/>
        <v/>
      </c>
    </row>
    <row r="183" spans="1:2">
      <c r="A183" s="7" t="str">
        <f t="shared" si="7"/>
        <v/>
      </c>
      <c r="B183" s="7" t="str">
        <f t="shared" si="6"/>
        <v/>
      </c>
    </row>
    <row r="184" spans="1:2">
      <c r="A184" s="7" t="str">
        <f t="shared" si="7"/>
        <v/>
      </c>
      <c r="B184" s="7" t="str">
        <f t="shared" si="6"/>
        <v/>
      </c>
    </row>
    <row r="185" spans="1:2">
      <c r="A185" s="7" t="str">
        <f t="shared" si="7"/>
        <v/>
      </c>
      <c r="B185" s="7" t="str">
        <f t="shared" si="6"/>
        <v/>
      </c>
    </row>
    <row r="186" spans="1:2">
      <c r="A186" s="7" t="str">
        <f t="shared" si="7"/>
        <v/>
      </c>
      <c r="B186" s="7" t="str">
        <f t="shared" si="6"/>
        <v/>
      </c>
    </row>
    <row r="187" spans="1:2">
      <c r="A187" s="7" t="str">
        <f t="shared" si="7"/>
        <v/>
      </c>
      <c r="B187" s="7" t="str">
        <f t="shared" si="6"/>
        <v/>
      </c>
    </row>
    <row r="188" spans="1:2">
      <c r="A188" s="7" t="str">
        <f t="shared" si="7"/>
        <v/>
      </c>
      <c r="B188" s="7" t="str">
        <f t="shared" si="6"/>
        <v/>
      </c>
    </row>
    <row r="189" spans="1:2">
      <c r="A189" s="7" t="str">
        <f t="shared" si="7"/>
        <v/>
      </c>
      <c r="B189" s="7" t="str">
        <f t="shared" si="6"/>
        <v/>
      </c>
    </row>
    <row r="190" spans="1:2">
      <c r="A190" s="7" t="str">
        <f t="shared" si="7"/>
        <v/>
      </c>
      <c r="B190" s="7" t="str">
        <f t="shared" si="6"/>
        <v/>
      </c>
    </row>
    <row r="191" spans="1:2">
      <c r="A191" s="7" t="str">
        <f t="shared" si="7"/>
        <v/>
      </c>
      <c r="B191" s="7" t="str">
        <f t="shared" si="6"/>
        <v/>
      </c>
    </row>
    <row r="192" spans="1:2">
      <c r="A192" s="7" t="str">
        <f t="shared" si="7"/>
        <v/>
      </c>
      <c r="B192" s="7" t="str">
        <f t="shared" si="6"/>
        <v/>
      </c>
    </row>
    <row r="193" spans="1:2">
      <c r="A193" s="7" t="str">
        <f t="shared" si="7"/>
        <v/>
      </c>
      <c r="B193" s="7" t="str">
        <f t="shared" si="6"/>
        <v/>
      </c>
    </row>
    <row r="194" spans="1:2">
      <c r="A194" s="7" t="str">
        <f t="shared" si="7"/>
        <v/>
      </c>
      <c r="B194" s="7" t="str">
        <f t="shared" ref="B194:B233" si="8">IF(C194="",IF(E194="","",B193),C194)</f>
        <v/>
      </c>
    </row>
    <row r="195" spans="1:2">
      <c r="A195" s="7" t="str">
        <f t="shared" ref="A195:A233" si="9">IF(D195="",IF(E195="","",A194),D195)</f>
        <v/>
      </c>
      <c r="B195" s="7" t="str">
        <f t="shared" si="8"/>
        <v/>
      </c>
    </row>
    <row r="196" spans="1:2">
      <c r="A196" s="7" t="str">
        <f t="shared" si="9"/>
        <v/>
      </c>
      <c r="B196" s="7" t="str">
        <f t="shared" si="8"/>
        <v/>
      </c>
    </row>
    <row r="197" spans="1:2">
      <c r="A197" s="7" t="str">
        <f t="shared" si="9"/>
        <v/>
      </c>
      <c r="B197" s="7" t="str">
        <f t="shared" si="8"/>
        <v/>
      </c>
    </row>
    <row r="198" spans="1:2">
      <c r="A198" s="7" t="str">
        <f t="shared" si="9"/>
        <v/>
      </c>
      <c r="B198" s="7" t="str">
        <f t="shared" si="8"/>
        <v/>
      </c>
    </row>
    <row r="199" spans="1:2">
      <c r="A199" s="7" t="str">
        <f t="shared" si="9"/>
        <v/>
      </c>
      <c r="B199" s="7" t="str">
        <f t="shared" si="8"/>
        <v/>
      </c>
    </row>
    <row r="200" spans="1:2">
      <c r="A200" s="7" t="str">
        <f t="shared" si="9"/>
        <v/>
      </c>
      <c r="B200" s="7" t="str">
        <f t="shared" si="8"/>
        <v/>
      </c>
    </row>
    <row r="201" spans="1:2">
      <c r="A201" s="7" t="str">
        <f t="shared" si="9"/>
        <v/>
      </c>
      <c r="B201" s="7" t="str">
        <f t="shared" si="8"/>
        <v/>
      </c>
    </row>
    <row r="202" spans="1:2">
      <c r="A202" s="7" t="str">
        <f t="shared" si="9"/>
        <v/>
      </c>
      <c r="B202" s="7" t="str">
        <f t="shared" si="8"/>
        <v/>
      </c>
    </row>
    <row r="203" spans="1:2">
      <c r="A203" s="7" t="str">
        <f t="shared" si="9"/>
        <v/>
      </c>
      <c r="B203" s="7" t="str">
        <f t="shared" si="8"/>
        <v/>
      </c>
    </row>
    <row r="204" spans="1:2">
      <c r="A204" s="7" t="str">
        <f t="shared" si="9"/>
        <v/>
      </c>
      <c r="B204" s="7" t="str">
        <f t="shared" si="8"/>
        <v/>
      </c>
    </row>
    <row r="205" spans="1:2">
      <c r="A205" s="7" t="str">
        <f t="shared" si="9"/>
        <v/>
      </c>
      <c r="B205" s="7" t="str">
        <f t="shared" si="8"/>
        <v/>
      </c>
    </row>
    <row r="206" spans="1:2">
      <c r="A206" s="7" t="str">
        <f t="shared" si="9"/>
        <v/>
      </c>
      <c r="B206" s="7" t="str">
        <f t="shared" si="8"/>
        <v/>
      </c>
    </row>
    <row r="207" spans="1:2">
      <c r="A207" s="7" t="str">
        <f t="shared" si="9"/>
        <v/>
      </c>
      <c r="B207" s="7" t="str">
        <f t="shared" si="8"/>
        <v/>
      </c>
    </row>
    <row r="208" spans="1:2">
      <c r="A208" s="7" t="str">
        <f t="shared" si="9"/>
        <v/>
      </c>
      <c r="B208" s="7" t="str">
        <f t="shared" si="8"/>
        <v/>
      </c>
    </row>
    <row r="209" spans="1:2">
      <c r="A209" s="7" t="str">
        <f t="shared" si="9"/>
        <v/>
      </c>
      <c r="B209" s="7" t="str">
        <f t="shared" si="8"/>
        <v/>
      </c>
    </row>
    <row r="210" spans="1:2">
      <c r="A210" s="7" t="str">
        <f t="shared" si="9"/>
        <v/>
      </c>
      <c r="B210" s="7" t="str">
        <f t="shared" si="8"/>
        <v/>
      </c>
    </row>
    <row r="211" spans="1:2">
      <c r="A211" s="7" t="str">
        <f t="shared" si="9"/>
        <v/>
      </c>
      <c r="B211" s="7" t="str">
        <f t="shared" si="8"/>
        <v/>
      </c>
    </row>
    <row r="212" spans="1:2">
      <c r="A212" s="7" t="str">
        <f t="shared" si="9"/>
        <v/>
      </c>
      <c r="B212" s="7" t="str">
        <f t="shared" si="8"/>
        <v/>
      </c>
    </row>
    <row r="213" spans="1:2">
      <c r="A213" s="7" t="str">
        <f t="shared" si="9"/>
        <v/>
      </c>
      <c r="B213" s="7" t="str">
        <f t="shared" si="8"/>
        <v/>
      </c>
    </row>
    <row r="214" spans="1:2">
      <c r="A214" s="7" t="str">
        <f t="shared" si="9"/>
        <v/>
      </c>
      <c r="B214" s="7" t="str">
        <f t="shared" si="8"/>
        <v/>
      </c>
    </row>
    <row r="215" spans="1:2">
      <c r="A215" s="7" t="str">
        <f t="shared" si="9"/>
        <v/>
      </c>
      <c r="B215" s="7" t="str">
        <f t="shared" si="8"/>
        <v/>
      </c>
    </row>
    <row r="216" spans="1:2">
      <c r="A216" s="7" t="str">
        <f t="shared" si="9"/>
        <v/>
      </c>
      <c r="B216" s="7" t="str">
        <f t="shared" si="8"/>
        <v/>
      </c>
    </row>
    <row r="217" spans="1:2">
      <c r="A217" s="7" t="str">
        <f t="shared" si="9"/>
        <v/>
      </c>
      <c r="B217" s="7" t="str">
        <f t="shared" si="8"/>
        <v/>
      </c>
    </row>
    <row r="218" spans="1:2">
      <c r="A218" s="7" t="str">
        <f t="shared" si="9"/>
        <v/>
      </c>
      <c r="B218" s="7" t="str">
        <f t="shared" si="8"/>
        <v/>
      </c>
    </row>
    <row r="219" spans="1:2">
      <c r="A219" s="7" t="str">
        <f t="shared" si="9"/>
        <v/>
      </c>
      <c r="B219" s="7" t="str">
        <f t="shared" si="8"/>
        <v/>
      </c>
    </row>
    <row r="220" spans="1:2">
      <c r="A220" s="7" t="str">
        <f t="shared" si="9"/>
        <v/>
      </c>
      <c r="B220" s="7" t="str">
        <f t="shared" si="8"/>
        <v/>
      </c>
    </row>
    <row r="221" spans="1:2">
      <c r="A221" s="7" t="str">
        <f t="shared" si="9"/>
        <v/>
      </c>
      <c r="B221" s="7" t="str">
        <f t="shared" si="8"/>
        <v/>
      </c>
    </row>
    <row r="222" spans="1:2">
      <c r="A222" s="7" t="str">
        <f t="shared" si="9"/>
        <v/>
      </c>
      <c r="B222" s="7" t="str">
        <f t="shared" si="8"/>
        <v/>
      </c>
    </row>
    <row r="223" spans="1:2">
      <c r="A223" s="7" t="str">
        <f t="shared" si="9"/>
        <v/>
      </c>
      <c r="B223" s="7" t="str">
        <f t="shared" si="8"/>
        <v/>
      </c>
    </row>
    <row r="224" spans="1:2">
      <c r="A224" s="7" t="str">
        <f t="shared" si="9"/>
        <v/>
      </c>
      <c r="B224" s="7" t="str">
        <f t="shared" si="8"/>
        <v/>
      </c>
    </row>
    <row r="225" spans="1:2">
      <c r="A225" s="7" t="str">
        <f t="shared" si="9"/>
        <v/>
      </c>
      <c r="B225" s="7" t="str">
        <f t="shared" si="8"/>
        <v/>
      </c>
    </row>
    <row r="226" spans="1:2">
      <c r="A226" s="7" t="str">
        <f t="shared" si="9"/>
        <v/>
      </c>
      <c r="B226" s="7" t="str">
        <f t="shared" si="8"/>
        <v/>
      </c>
    </row>
    <row r="227" spans="1:2">
      <c r="A227" s="7" t="str">
        <f t="shared" si="9"/>
        <v/>
      </c>
      <c r="B227" s="7" t="str">
        <f t="shared" si="8"/>
        <v/>
      </c>
    </row>
    <row r="228" spans="1:2">
      <c r="A228" s="7" t="str">
        <f t="shared" si="9"/>
        <v/>
      </c>
      <c r="B228" s="7" t="str">
        <f t="shared" si="8"/>
        <v/>
      </c>
    </row>
    <row r="229" spans="1:2">
      <c r="A229" s="7" t="str">
        <f t="shared" si="9"/>
        <v/>
      </c>
      <c r="B229" s="7" t="str">
        <f t="shared" si="8"/>
        <v/>
      </c>
    </row>
    <row r="230" spans="1:2">
      <c r="A230" s="7" t="str">
        <f t="shared" si="9"/>
        <v/>
      </c>
      <c r="B230" s="7" t="str">
        <f t="shared" si="8"/>
        <v/>
      </c>
    </row>
    <row r="231" spans="1:2">
      <c r="A231" s="7" t="str">
        <f t="shared" si="9"/>
        <v/>
      </c>
      <c r="B231" s="7" t="str">
        <f t="shared" si="8"/>
        <v/>
      </c>
    </row>
    <row r="232" spans="1:2">
      <c r="A232" s="7" t="str">
        <f t="shared" si="9"/>
        <v/>
      </c>
      <c r="B232" s="7" t="str">
        <f t="shared" si="8"/>
        <v/>
      </c>
    </row>
    <row r="233" spans="1:2">
      <c r="A233" s="7" t="str">
        <f t="shared" si="9"/>
        <v/>
      </c>
      <c r="B233" s="7" t="str">
        <f t="shared" si="8"/>
        <v/>
      </c>
    </row>
  </sheetData>
  <hyperlinks>
    <hyperlink ref="E52" r:id="rId1" display="url:URL_Dclick_Pages" xr:uid="{174BC9A7-DA76-493F-BC5B-31412EBD99FE}"/>
    <hyperlink ref="E45" r:id="rId2" xr:uid="{8DE594B1-3E68-44DA-AC91-C38514576405}"/>
  </hyperlinks>
  <pageMargins left="0.7" right="0.7" top="0.75" bottom="0.75" header="0.3" footer="0.3"/>
  <pageSetup orientation="portrait"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C74DB-6C01-41FA-BD66-C7EEE1E2793C}">
  <sheetPr codeName="Sheet10"/>
  <dimension ref="A1:K117"/>
  <sheetViews>
    <sheetView workbookViewId="0">
      <selection activeCell="A16" sqref="A16"/>
    </sheetView>
  </sheetViews>
  <sheetFormatPr defaultRowHeight="1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>
      <c r="A2" t="s">
        <v>15</v>
      </c>
      <c r="B2" t="s">
        <v>28</v>
      </c>
      <c r="C2" t="s">
        <v>466</v>
      </c>
      <c r="D2" t="s">
        <v>465</v>
      </c>
      <c r="E2" t="s">
        <v>92</v>
      </c>
    </row>
    <row r="3" spans="1:5">
      <c r="C3" t="s">
        <v>467</v>
      </c>
      <c r="D3" t="s">
        <v>468</v>
      </c>
      <c r="E3" t="s">
        <v>92</v>
      </c>
    </row>
    <row r="4" spans="1:5">
      <c r="C4" t="s">
        <v>43</v>
      </c>
      <c r="D4" s="2" t="s">
        <v>474</v>
      </c>
      <c r="E4" t="s">
        <v>92</v>
      </c>
    </row>
    <row r="6" spans="1:5">
      <c r="A6" t="s">
        <v>15</v>
      </c>
      <c r="B6" s="3" t="s">
        <v>357</v>
      </c>
      <c r="C6" t="s">
        <v>359</v>
      </c>
      <c r="D6" t="s">
        <v>361</v>
      </c>
      <c r="E6" s="3" t="s">
        <v>432</v>
      </c>
    </row>
    <row r="7" spans="1:5">
      <c r="C7" t="s">
        <v>252</v>
      </c>
      <c r="D7" t="s">
        <v>632</v>
      </c>
    </row>
    <row r="8" spans="1:5">
      <c r="C8" t="s">
        <v>364</v>
      </c>
      <c r="D8" t="s">
        <v>362</v>
      </c>
    </row>
    <row r="9" spans="1:5">
      <c r="C9" t="s">
        <v>366</v>
      </c>
      <c r="D9" t="s">
        <v>358</v>
      </c>
    </row>
    <row r="10" spans="1:5">
      <c r="C10" t="s">
        <v>36</v>
      </c>
      <c r="D10" t="b">
        <v>0</v>
      </c>
    </row>
    <row r="11" spans="1:5">
      <c r="C11" t="s">
        <v>459</v>
      </c>
      <c r="D11" t="s">
        <v>520</v>
      </c>
    </row>
    <row r="12" spans="1:5">
      <c r="C12" t="s">
        <v>460</v>
      </c>
      <c r="D12" t="s">
        <v>461</v>
      </c>
    </row>
    <row r="13" spans="1:5">
      <c r="C13" t="s">
        <v>521</v>
      </c>
      <c r="D13" t="s">
        <v>523</v>
      </c>
      <c r="E13" s="6"/>
    </row>
    <row r="14" spans="1:5">
      <c r="C14" t="s">
        <v>522</v>
      </c>
      <c r="D14" t="s">
        <v>524</v>
      </c>
      <c r="E14" s="6"/>
    </row>
    <row r="16" spans="1:5">
      <c r="A16" t="s">
        <v>15</v>
      </c>
      <c r="B16" t="s">
        <v>9</v>
      </c>
      <c r="C16" t="s">
        <v>19</v>
      </c>
      <c r="D16" t="s">
        <v>20</v>
      </c>
      <c r="E16" s="3" t="s">
        <v>433</v>
      </c>
    </row>
    <row r="17" spans="1:5">
      <c r="C17" t="s">
        <v>93</v>
      </c>
      <c r="D17" t="s">
        <v>23</v>
      </c>
    </row>
    <row r="19" spans="1:5">
      <c r="A19" t="s">
        <v>16</v>
      </c>
      <c r="B19" t="s">
        <v>66</v>
      </c>
      <c r="C19" t="s">
        <v>469</v>
      </c>
      <c r="E19" t="s">
        <v>136</v>
      </c>
    </row>
    <row r="20" spans="1:5">
      <c r="C20" t="s">
        <v>470</v>
      </c>
    </row>
    <row r="21" spans="1:5">
      <c r="C21" t="s">
        <v>471</v>
      </c>
    </row>
    <row r="23" spans="1:5">
      <c r="A23" t="s">
        <v>16</v>
      </c>
      <c r="B23" t="s">
        <v>67</v>
      </c>
      <c r="C23" t="s">
        <v>68</v>
      </c>
    </row>
    <row r="24" spans="1:5">
      <c r="C24" t="s">
        <v>69</v>
      </c>
    </row>
    <row r="26" spans="1:5">
      <c r="A26" t="s">
        <v>15</v>
      </c>
      <c r="B26" t="s">
        <v>404</v>
      </c>
      <c r="C26" t="s">
        <v>405</v>
      </c>
      <c r="E26" s="3" t="s">
        <v>436</v>
      </c>
    </row>
    <row r="27" spans="1:5">
      <c r="E27" s="3"/>
    </row>
    <row r="28" spans="1:5">
      <c r="A28" t="s">
        <v>16</v>
      </c>
      <c r="B28" s="3" t="s">
        <v>25</v>
      </c>
      <c r="C28" t="s">
        <v>434</v>
      </c>
      <c r="E28" t="s">
        <v>148</v>
      </c>
    </row>
    <row r="29" spans="1:5">
      <c r="B29" s="3"/>
      <c r="C29" t="s">
        <v>435</v>
      </c>
      <c r="D29" s="3"/>
    </row>
    <row r="30" spans="1:5">
      <c r="C30" t="s">
        <v>0</v>
      </c>
    </row>
    <row r="31" spans="1:5">
      <c r="C31" t="s">
        <v>95</v>
      </c>
    </row>
    <row r="32" spans="1:5">
      <c r="C32" t="s">
        <v>369</v>
      </c>
      <c r="E32" t="s">
        <v>370</v>
      </c>
    </row>
    <row r="33" spans="1:11">
      <c r="C33" t="s">
        <v>1</v>
      </c>
    </row>
    <row r="34" spans="1:11">
      <c r="C34" t="s">
        <v>147</v>
      </c>
      <c r="K34" t="str">
        <f ca="1">_xlfn.CONCAT("createPDF:imagelist,./Output/Images/,./Output/APAC_Daily_Sales_",K36,".pdf")</f>
        <v>createPDF:imagelist,./Output/Images/,./Output/APAC_Daily_Sales_20221103104758.pdf</v>
      </c>
    </row>
    <row r="35" spans="1:11">
      <c r="C35" t="s">
        <v>438</v>
      </c>
      <c r="E35" t="s">
        <v>437</v>
      </c>
    </row>
    <row r="36" spans="1:11">
      <c r="A36" t="s">
        <v>16</v>
      </c>
      <c r="B36" t="s">
        <v>147</v>
      </c>
      <c r="C36" t="s">
        <v>365</v>
      </c>
      <c r="E36" t="s">
        <v>71</v>
      </c>
      <c r="K36" s="4" t="str">
        <f ca="1">TEXT(NOW(),"YYYYMMDDHHMMSS")</f>
        <v>20221103104758</v>
      </c>
    </row>
    <row r="40" spans="1:11">
      <c r="A40" t="s">
        <v>16</v>
      </c>
      <c r="B40" s="3" t="s">
        <v>0</v>
      </c>
      <c r="C40" t="s">
        <v>21</v>
      </c>
      <c r="D40" s="2"/>
      <c r="E40" t="s">
        <v>397</v>
      </c>
    </row>
    <row r="41" spans="1:11">
      <c r="C41" t="s">
        <v>1</v>
      </c>
    </row>
    <row r="42" spans="1:11">
      <c r="C42" t="s">
        <v>338</v>
      </c>
      <c r="E42" t="s">
        <v>104</v>
      </c>
    </row>
    <row r="43" spans="1:11">
      <c r="C43" t="s">
        <v>107</v>
      </c>
      <c r="E43" t="s">
        <v>108</v>
      </c>
    </row>
    <row r="44" spans="1:11">
      <c r="A44" t="s">
        <v>16</v>
      </c>
      <c r="B44" s="1" t="s">
        <v>107</v>
      </c>
      <c r="C44" t="s">
        <v>440</v>
      </c>
      <c r="E44" s="1" t="s">
        <v>343</v>
      </c>
    </row>
    <row r="45" spans="1:11">
      <c r="B45" s="1"/>
      <c r="C45" t="s">
        <v>22</v>
      </c>
      <c r="E45" s="1" t="s">
        <v>105</v>
      </c>
    </row>
    <row r="46" spans="1:11">
      <c r="C46" t="s">
        <v>34</v>
      </c>
      <c r="E46" t="s">
        <v>106</v>
      </c>
    </row>
    <row r="47" spans="1:11">
      <c r="C47" t="s">
        <v>411</v>
      </c>
      <c r="E47" t="s">
        <v>38</v>
      </c>
    </row>
    <row r="48" spans="1:11">
      <c r="C48" t="s">
        <v>7</v>
      </c>
      <c r="E48" t="s">
        <v>110</v>
      </c>
    </row>
    <row r="49" spans="1:5">
      <c r="C49" t="s">
        <v>449</v>
      </c>
      <c r="E49" t="s">
        <v>450</v>
      </c>
    </row>
    <row r="50" spans="1:5">
      <c r="C50" t="s">
        <v>452</v>
      </c>
      <c r="E50" t="s">
        <v>453</v>
      </c>
    </row>
    <row r="51" spans="1:5">
      <c r="C51" t="s">
        <v>344</v>
      </c>
      <c r="E51" t="s">
        <v>111</v>
      </c>
    </row>
    <row r="52" spans="1:5">
      <c r="A52" t="s">
        <v>16</v>
      </c>
      <c r="B52" t="s">
        <v>410</v>
      </c>
      <c r="C52" t="s">
        <v>37</v>
      </c>
    </row>
    <row r="53" spans="1:5">
      <c r="C53" t="s">
        <v>456</v>
      </c>
      <c r="E53" t="s">
        <v>455</v>
      </c>
    </row>
    <row r="54" spans="1:5">
      <c r="C54" t="s">
        <v>27</v>
      </c>
    </row>
    <row r="55" spans="1:5">
      <c r="A55" t="s">
        <v>16</v>
      </c>
      <c r="B55" t="s">
        <v>451</v>
      </c>
      <c r="C55" t="s">
        <v>454</v>
      </c>
      <c r="E55" t="s">
        <v>455</v>
      </c>
    </row>
    <row r="56" spans="1:5">
      <c r="C56" t="s">
        <v>27</v>
      </c>
    </row>
    <row r="58" spans="1:5">
      <c r="A58" t="s">
        <v>16</v>
      </c>
      <c r="B58" s="3" t="s">
        <v>95</v>
      </c>
      <c r="C58" t="s">
        <v>94</v>
      </c>
    </row>
    <row r="59" spans="1:5">
      <c r="C59" t="s">
        <v>1</v>
      </c>
    </row>
    <row r="60" spans="1:5">
      <c r="C60" t="s">
        <v>338</v>
      </c>
      <c r="E60" t="s">
        <v>104</v>
      </c>
    </row>
    <row r="61" spans="1:5">
      <c r="C61" t="s">
        <v>114</v>
      </c>
    </row>
    <row r="62" spans="1:5">
      <c r="A62" t="s">
        <v>16</v>
      </c>
      <c r="B62" t="s">
        <v>114</v>
      </c>
      <c r="C62" t="s">
        <v>448</v>
      </c>
      <c r="E62" t="s">
        <v>115</v>
      </c>
    </row>
    <row r="64" spans="1:5">
      <c r="A64" t="s">
        <v>16</v>
      </c>
      <c r="B64" s="3" t="s">
        <v>32</v>
      </c>
      <c r="C64" t="s">
        <v>399</v>
      </c>
    </row>
    <row r="65" spans="1:5">
      <c r="B65" s="3"/>
      <c r="C65" t="s">
        <v>118</v>
      </c>
    </row>
    <row r="66" spans="1:5">
      <c r="C66" t="s">
        <v>122</v>
      </c>
    </row>
    <row r="67" spans="1:5">
      <c r="C67" t="s">
        <v>57</v>
      </c>
    </row>
    <row r="68" spans="1:5">
      <c r="C68" t="s">
        <v>56</v>
      </c>
    </row>
    <row r="69" spans="1:5">
      <c r="C69" t="s">
        <v>376</v>
      </c>
    </row>
    <row r="70" spans="1:5">
      <c r="C70" t="s">
        <v>400</v>
      </c>
      <c r="D70" t="s">
        <v>400</v>
      </c>
      <c r="E70" t="s">
        <v>64</v>
      </c>
    </row>
    <row r="71" spans="1:5">
      <c r="C71" t="s">
        <v>58</v>
      </c>
    </row>
    <row r="72" spans="1:5">
      <c r="C72" t="s">
        <v>376</v>
      </c>
    </row>
    <row r="73" spans="1:5">
      <c r="C73" t="s">
        <v>401</v>
      </c>
      <c r="D73" t="s">
        <v>401</v>
      </c>
    </row>
    <row r="74" spans="1:5">
      <c r="A74" t="s">
        <v>16</v>
      </c>
      <c r="B74" t="s">
        <v>118</v>
      </c>
      <c r="C74" t="s">
        <v>398</v>
      </c>
      <c r="D74" t="s">
        <v>29</v>
      </c>
      <c r="E74" t="s">
        <v>117</v>
      </c>
    </row>
    <row r="75" spans="1:5">
      <c r="C75" t="s">
        <v>441</v>
      </c>
    </row>
    <row r="76" spans="1:5">
      <c r="A76" t="s">
        <v>16</v>
      </c>
      <c r="B76" t="s">
        <v>441</v>
      </c>
      <c r="C76" t="s">
        <v>442</v>
      </c>
    </row>
    <row r="77" spans="1:5">
      <c r="A77" t="s">
        <v>16</v>
      </c>
      <c r="B77" t="s">
        <v>122</v>
      </c>
      <c r="C77" t="s">
        <v>347</v>
      </c>
      <c r="E77" t="s">
        <v>126</v>
      </c>
    </row>
    <row r="78" spans="1:5">
      <c r="C78" t="s">
        <v>348</v>
      </c>
      <c r="E78" t="s">
        <v>127</v>
      </c>
    </row>
    <row r="79" spans="1:5">
      <c r="A79" t="s">
        <v>16</v>
      </c>
      <c r="B79" t="s">
        <v>124</v>
      </c>
      <c r="C79" t="s">
        <v>349</v>
      </c>
      <c r="E79" t="s">
        <v>128</v>
      </c>
    </row>
    <row r="80" spans="1:5">
      <c r="C80" t="s">
        <v>2</v>
      </c>
    </row>
    <row r="81" spans="1:5">
      <c r="C81" t="s">
        <v>129</v>
      </c>
    </row>
    <row r="82" spans="1:5">
      <c r="C82" t="s">
        <v>120</v>
      </c>
      <c r="E82" t="s">
        <v>131</v>
      </c>
    </row>
    <row r="83" spans="1:5">
      <c r="C83" t="s">
        <v>121</v>
      </c>
      <c r="E83" t="s">
        <v>132</v>
      </c>
    </row>
    <row r="84" spans="1:5">
      <c r="C84" t="s">
        <v>350</v>
      </c>
      <c r="E84" t="s">
        <v>133</v>
      </c>
    </row>
    <row r="85" spans="1:5">
      <c r="A85" t="s">
        <v>16</v>
      </c>
      <c r="B85" t="s">
        <v>134</v>
      </c>
      <c r="C85" t="s">
        <v>27</v>
      </c>
    </row>
    <row r="87" spans="1:5">
      <c r="A87" t="s">
        <v>16</v>
      </c>
      <c r="B87" t="s">
        <v>57</v>
      </c>
      <c r="C87" t="s">
        <v>61</v>
      </c>
      <c r="E87" t="s">
        <v>99</v>
      </c>
    </row>
    <row r="88" spans="1:5">
      <c r="A88" t="s">
        <v>16</v>
      </c>
      <c r="B88" t="s">
        <v>56</v>
      </c>
      <c r="C88" t="s">
        <v>60</v>
      </c>
      <c r="E88" t="s">
        <v>100</v>
      </c>
    </row>
    <row r="89" spans="1:5">
      <c r="A89" t="s">
        <v>16</v>
      </c>
      <c r="B89" t="s">
        <v>58</v>
      </c>
      <c r="C89" t="s">
        <v>59</v>
      </c>
      <c r="E89" t="s">
        <v>101</v>
      </c>
    </row>
    <row r="90" spans="1:5">
      <c r="A90" t="s">
        <v>16</v>
      </c>
      <c r="B90" t="s">
        <v>63</v>
      </c>
      <c r="C90" t="s">
        <v>341</v>
      </c>
      <c r="E90" t="s">
        <v>102</v>
      </c>
    </row>
    <row r="92" spans="1:5">
      <c r="A92" t="s">
        <v>16</v>
      </c>
      <c r="B92" t="s">
        <v>376</v>
      </c>
      <c r="C92" t="s">
        <v>339</v>
      </c>
      <c r="E92" t="s">
        <v>143</v>
      </c>
    </row>
    <row r="93" spans="1:5">
      <c r="C93" t="s">
        <v>447</v>
      </c>
    </row>
    <row r="94" spans="1:5">
      <c r="C94" t="s">
        <v>63</v>
      </c>
      <c r="E94" t="s">
        <v>144</v>
      </c>
    </row>
    <row r="95" spans="1:5">
      <c r="C95" t="s">
        <v>17</v>
      </c>
      <c r="E95" t="s">
        <v>439</v>
      </c>
    </row>
    <row r="96" spans="1:5">
      <c r="A96" t="s">
        <v>16</v>
      </c>
      <c r="B96" t="s">
        <v>17</v>
      </c>
      <c r="C96" t="s">
        <v>443</v>
      </c>
    </row>
    <row r="97" spans="1:7">
      <c r="C97" t="s">
        <v>3</v>
      </c>
      <c r="E97" t="s">
        <v>97</v>
      </c>
    </row>
    <row r="98" spans="1:7">
      <c r="C98" t="s">
        <v>444</v>
      </c>
      <c r="E98" t="s">
        <v>354</v>
      </c>
    </row>
    <row r="99" spans="1:7">
      <c r="C99" t="s">
        <v>4</v>
      </c>
      <c r="E99" t="s">
        <v>96</v>
      </c>
    </row>
    <row r="100" spans="1:7">
      <c r="C100" t="s">
        <v>445</v>
      </c>
    </row>
    <row r="101" spans="1:7">
      <c r="C101" t="s">
        <v>5</v>
      </c>
    </row>
    <row r="102" spans="1:7">
      <c r="C102" t="s">
        <v>446</v>
      </c>
    </row>
    <row r="103" spans="1:7">
      <c r="C103" t="s">
        <v>6</v>
      </c>
    </row>
    <row r="104" spans="1:7">
      <c r="C104" t="s">
        <v>24</v>
      </c>
      <c r="E104" t="s">
        <v>146</v>
      </c>
    </row>
    <row r="105" spans="1:7">
      <c r="C105" t="s">
        <v>340</v>
      </c>
      <c r="E105" t="s">
        <v>145</v>
      </c>
    </row>
    <row r="106" spans="1:7">
      <c r="C106" t="s">
        <v>65</v>
      </c>
      <c r="E106" t="s">
        <v>137</v>
      </c>
    </row>
    <row r="107" spans="1:7">
      <c r="A107" t="s">
        <v>16</v>
      </c>
      <c r="B107" t="s">
        <v>377</v>
      </c>
      <c r="C107" t="s">
        <v>381</v>
      </c>
    </row>
    <row r="108" spans="1:7">
      <c r="C108" t="s">
        <v>3</v>
      </c>
      <c r="E108" t="s">
        <v>97</v>
      </c>
    </row>
    <row r="109" spans="1:7">
      <c r="C109" t="s">
        <v>382</v>
      </c>
      <c r="E109" t="s">
        <v>354</v>
      </c>
    </row>
    <row r="110" spans="1:7">
      <c r="C110" t="s">
        <v>378</v>
      </c>
      <c r="E110" t="s">
        <v>379</v>
      </c>
      <c r="G110" t="s">
        <v>380</v>
      </c>
    </row>
    <row r="111" spans="1:7">
      <c r="C111" t="s">
        <v>383</v>
      </c>
    </row>
    <row r="112" spans="1:7">
      <c r="C112" t="s">
        <v>5</v>
      </c>
    </row>
    <row r="113" spans="3:5">
      <c r="C113" t="s">
        <v>384</v>
      </c>
    </row>
    <row r="114" spans="3:5">
      <c r="C114" t="s">
        <v>6</v>
      </c>
    </row>
    <row r="115" spans="3:5">
      <c r="C115" t="s">
        <v>24</v>
      </c>
      <c r="E115" t="s">
        <v>146</v>
      </c>
    </row>
    <row r="116" spans="3:5">
      <c r="C116" t="s">
        <v>340</v>
      </c>
      <c r="E116" t="s">
        <v>385</v>
      </c>
    </row>
    <row r="117" spans="3:5">
      <c r="C117" t="s">
        <v>65</v>
      </c>
      <c r="E117" t="s">
        <v>137</v>
      </c>
    </row>
  </sheetData>
  <hyperlinks>
    <hyperlink ref="C58" r:id="rId1" xr:uid="{874AFE4F-6747-4B67-BCC3-992B2D3D20C0}"/>
    <hyperlink ref="D74" r:id="rId2" display="url:URL_Dclick_Pages" xr:uid="{FB4D6A1F-1D6E-4452-936A-A95B3464D447}"/>
    <hyperlink ref="C74" r:id="rId3" display="url:URL_Dclick_Pages" xr:uid="{B5DA3CD0-AE50-4F53-94E1-70B98ABECC46}"/>
    <hyperlink ref="D4" r:id="rId4" xr:uid="{36E125DB-8510-4062-A53E-62A2467C2621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D9842D326C4343BDFD7E41E17810D1" ma:contentTypeVersion="12" ma:contentTypeDescription="Create a new document." ma:contentTypeScope="" ma:versionID="77b07ef5dbbc757ac8f2387eee55165a">
  <xsd:schema xmlns:xsd="http://www.w3.org/2001/XMLSchema" xmlns:xs="http://www.w3.org/2001/XMLSchema" xmlns:p="http://schemas.microsoft.com/office/2006/metadata/properties" xmlns:ns2="9acd4cc3-1974-45d5-bfd4-2e52d38b09ac" xmlns:ns3="f684fbb7-43f1-4b17-9ab1-c03d5e423760" targetNamespace="http://schemas.microsoft.com/office/2006/metadata/properties" ma:root="true" ma:fieldsID="cae70d2632fd2b15b0fb6559e2c7dd5c" ns2:_="" ns3:_="">
    <xsd:import namespace="9acd4cc3-1974-45d5-bfd4-2e52d38b09ac"/>
    <xsd:import namespace="f684fbb7-43f1-4b17-9ab1-c03d5e4237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cd4cc3-1974-45d5-bfd4-2e52d38b09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98c64c54-4708-41bf-9c97-86aed8a2f90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84fbb7-43f1-4b17-9ab1-c03d5e423760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8595a606-efcb-4332-ba64-4b8e1993c49f}" ma:internalName="TaxCatchAll" ma:showField="CatchAllData" ma:web="f684fbb7-43f1-4b17-9ab1-c03d5e4237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0253792-0C1F-494C-96BA-8447ABD3B02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D8F74EF-DCB5-4585-A71D-25E2817ECB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cd4cc3-1974-45d5-bfd4-2e52d38b09ac"/>
    <ds:schemaRef ds:uri="f684fbb7-43f1-4b17-9ab1-c03d5e4237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main (2)</vt:lpstr>
      <vt:lpstr>ReadMe</vt:lpstr>
      <vt:lpstr>main</vt:lpstr>
      <vt:lpstr>logon_OKTA</vt:lpstr>
      <vt:lpstr>iCristal3</vt:lpstr>
      <vt:lpstr>DiorOrder</vt:lpstr>
      <vt:lpstr>FoundationReport</vt:lpstr>
      <vt:lpstr>FoundationRCReport</vt:lpstr>
      <vt:lpstr>ServiceNow</vt:lpstr>
      <vt:lpstr>ServiceNow5</vt:lpstr>
      <vt:lpstr>ServiceNow (2)</vt:lpstr>
      <vt:lpstr>ServiceNow (3)</vt:lpstr>
      <vt:lpstr>ServiceNow (4)</vt:lpstr>
      <vt:lpstr>DCLICK2</vt:lpstr>
      <vt:lpstr>iCristal2</vt:lpstr>
      <vt:lpstr>DCLICK</vt:lpstr>
      <vt:lpstr>iCristal</vt:lpstr>
      <vt:lpstr>DCLICK2 (6.8)</vt:lpstr>
      <vt:lpstr>DCLICK (iCirstal PRD run)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Raymond OH</dc:creator>
  <cp:lastModifiedBy>APAC SupplyChain</cp:lastModifiedBy>
  <dcterms:created xsi:type="dcterms:W3CDTF">2022-07-22T14:45:30Z</dcterms:created>
  <dcterms:modified xsi:type="dcterms:W3CDTF">2022-11-03T02:48:20Z</dcterms:modified>
</cp:coreProperties>
</file>