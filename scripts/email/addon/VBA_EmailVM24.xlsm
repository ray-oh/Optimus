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Optimus\scripts\email\AddOn\"/>
    </mc:Choice>
  </mc:AlternateContent>
  <xr:revisionPtr revIDLastSave="0" documentId="13_ncr:1_{62579BA3-76C3-4C64-97E2-EF1F1BEFA819}" xr6:coauthVersionLast="47" xr6:coauthVersionMax="47" xr10:uidLastSave="{00000000-0000-0000-0000-000000000000}"/>
  <bookViews>
    <workbookView xWindow="1170" yWindow="1170" windowWidth="21600" windowHeight="11835" activeTab="1" xr2:uid="{00000000-000D-0000-FFFF-FFFF00000000}"/>
  </bookViews>
  <sheets>
    <sheet name="Parameters" sheetId="3" r:id="rId1"/>
    <sheet name="EmailJobs" sheetId="1" r:id="rId2"/>
    <sheet name="EmailTemplates" sheetId="4" r:id="rId3"/>
    <sheet name="log" sheetId="2" r:id="rId4"/>
    <sheet name="log_common" sheetId="6" r:id="rId5"/>
  </sheets>
  <functionGroups builtInGroupCount="19"/>
  <externalReferences>
    <externalReference r:id="rId6"/>
  </externalReferences>
  <definedNames>
    <definedName name="_xlnm._FilterDatabase" localSheetId="1" hidden="1">EmailJobs!$A$1:$V$36</definedName>
    <definedName name="boolDisplay">EmailJobs!$J$1</definedName>
    <definedName name="boolRun">EmailJobs!$K$1</definedName>
    <definedName name="common_log_csv">Parameters!$B$14</definedName>
    <definedName name="const_computername">Parameters!$B$12</definedName>
    <definedName name="const_DClickPath">Parameters!$B$9</definedName>
    <definedName name="const_iCristalPath">Parameters!$B$10</definedName>
    <definedName name="const_imagePath">Parameters!$B$11</definedName>
    <definedName name="const_lastrow">Parameters!$B$13</definedName>
    <definedName name="const_now_str">Parameters!$C$2</definedName>
    <definedName name="const_nowTime">Parameters!$B$4</definedName>
    <definedName name="const_today">Parameters!$B$3</definedName>
    <definedName name="const_yesterday">Parameters!$B$6</definedName>
    <definedName name="const_yesterdayYYYYMMDD">Parameters!$C$7</definedName>
    <definedName name="csv_string">Parameters!$B$17</definedName>
    <definedName name="ExternalData_1" localSheetId="4" hidden="1">log_common!$A$1:$D$1669</definedName>
    <definedName name="log_table">log[[#Headers],[Mail]]</definedName>
    <definedName name="logComputerName">log!$D$1</definedName>
    <definedName name="logDate">log!$C$1</definedName>
    <definedName name="logMailID">log!$A$1</definedName>
    <definedName name="logSubject">log!$B$1</definedName>
    <definedName name="mailID">EmailJobs!$A$1</definedName>
    <definedName name="strBody">EmailJobs!$E$1</definedName>
    <definedName name="strCC">EmailJobs!$C$1</definedName>
    <definedName name="strFile">EmailJobs!$F$1</definedName>
    <definedName name="strSubject">EmailJobs!$D$1</definedName>
    <definedName name="strTo">EmailJobs!$B$1</definedName>
    <definedName name="waitTime">EmailJobs!$R$1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6" i="1" l="1"/>
  <c r="L35" i="1"/>
  <c r="L34" i="1"/>
  <c r="L33" i="1"/>
  <c r="L32" i="1"/>
  <c r="L31" i="1"/>
  <c r="L30" i="1"/>
  <c r="L29" i="1"/>
  <c r="L28" i="1"/>
  <c r="L27" i="1"/>
  <c r="L26" i="1"/>
  <c r="L25" i="1"/>
  <c r="F28" i="1"/>
  <c r="F26" i="1"/>
  <c r="G36" i="1"/>
  <c r="G35" i="1"/>
  <c r="G34" i="1"/>
  <c r="G33" i="1"/>
  <c r="F33" i="1" s="1"/>
  <c r="G32" i="1"/>
  <c r="F32" i="1" s="1"/>
  <c r="G31" i="1"/>
  <c r="G30" i="1"/>
  <c r="G29" i="1"/>
  <c r="G28" i="1"/>
  <c r="G27" i="1"/>
  <c r="G26" i="1"/>
  <c r="U36" i="1"/>
  <c r="T36" i="1"/>
  <c r="F36" i="1"/>
  <c r="U35" i="1"/>
  <c r="T35" i="1"/>
  <c r="U34" i="1"/>
  <c r="T34" i="1"/>
  <c r="F34" i="1"/>
  <c r="U33" i="1"/>
  <c r="T33" i="1"/>
  <c r="U32" i="1"/>
  <c r="T32" i="1"/>
  <c r="U31" i="1"/>
  <c r="T31" i="1"/>
  <c r="U30" i="1"/>
  <c r="T30" i="1"/>
  <c r="F30" i="1"/>
  <c r="U29" i="1"/>
  <c r="T29" i="1"/>
  <c r="U28" i="1"/>
  <c r="T28" i="1"/>
  <c r="U27" i="1"/>
  <c r="T27" i="1"/>
  <c r="U26" i="1"/>
  <c r="T26" i="1"/>
  <c r="F25" i="1"/>
  <c r="G25" i="1"/>
  <c r="U25" i="1"/>
  <c r="T25" i="1"/>
  <c r="G18" i="1"/>
  <c r="F18" i="1" s="1"/>
  <c r="L18" i="1"/>
  <c r="T18" i="1"/>
  <c r="U18" i="1"/>
  <c r="G19" i="1"/>
  <c r="F19" i="1" s="1"/>
  <c r="L19" i="1"/>
  <c r="T19" i="1"/>
  <c r="U19" i="1"/>
  <c r="G20" i="1"/>
  <c r="F20" i="1" s="1"/>
  <c r="L20" i="1"/>
  <c r="T20" i="1"/>
  <c r="U20" i="1"/>
  <c r="G21" i="1"/>
  <c r="F21" i="1" s="1"/>
  <c r="L21" i="1"/>
  <c r="T21" i="1"/>
  <c r="U21" i="1"/>
  <c r="G22" i="1"/>
  <c r="F22" i="1" s="1"/>
  <c r="L22" i="1"/>
  <c r="T22" i="1"/>
  <c r="U22" i="1"/>
  <c r="G23" i="1"/>
  <c r="F23" i="1" s="1"/>
  <c r="L23" i="1"/>
  <c r="T23" i="1"/>
  <c r="U23" i="1"/>
  <c r="G24" i="1"/>
  <c r="F24" i="1" s="1"/>
  <c r="L24" i="1"/>
  <c r="T24" i="1"/>
  <c r="U24" i="1"/>
  <c r="B3" i="3"/>
  <c r="F6" i="1"/>
  <c r="F3" i="1"/>
  <c r="L9" i="1"/>
  <c r="L6" i="1"/>
  <c r="O6" i="1" s="1" a="1"/>
  <c r="L3" i="1"/>
  <c r="G17" i="1"/>
  <c r="F17" i="1" s="1"/>
  <c r="G16" i="1"/>
  <c r="L16" i="1" s="1"/>
  <c r="G15" i="1"/>
  <c r="F15" i="1" s="1"/>
  <c r="G14" i="1"/>
  <c r="L14" i="1" s="1"/>
  <c r="G13" i="1"/>
  <c r="L13" i="1" s="1"/>
  <c r="G12" i="1"/>
  <c r="L12" i="1" s="1"/>
  <c r="G11" i="1"/>
  <c r="F11" i="1" s="1"/>
  <c r="G10" i="1"/>
  <c r="F10" i="1" s="1"/>
  <c r="G9" i="1"/>
  <c r="F9" i="1" s="1"/>
  <c r="G8" i="1"/>
  <c r="L8" i="1" s="1"/>
  <c r="G7" i="1"/>
  <c r="L7" i="1" s="1"/>
  <c r="G5" i="1"/>
  <c r="L5" i="1" s="1"/>
  <c r="G4" i="1"/>
  <c r="G2" i="1"/>
  <c r="A19" i="3"/>
  <c r="B13" i="3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O18" i="1" a="1"/>
  <c r="O16" i="1" a="1"/>
  <c r="O31" i="1" a="1"/>
  <c r="O7" i="1" a="1"/>
  <c r="O24" i="1" a="1"/>
  <c r="O14" i="1" a="1"/>
  <c r="O30" i="1" a="1"/>
  <c r="O19" i="1" a="1"/>
  <c r="O13" i="1" a="1"/>
  <c r="O29" i="1" a="1"/>
  <c r="O27" i="1" a="1"/>
  <c r="O22" i="1" a="1"/>
  <c r="B8" i="3" a="1"/>
  <c r="O23" i="1" a="1"/>
  <c r="O20" i="1" a="1"/>
  <c r="O8" i="1" a="1"/>
  <c r="B12" i="3" a="1"/>
  <c r="O34" i="1" a="1"/>
  <c r="O5" i="1" a="1"/>
  <c r="O35" i="1" a="1"/>
  <c r="O33" i="1" a="1"/>
  <c r="O12" i="1" a="1"/>
  <c r="O21" i="1" a="1"/>
  <c r="O9" i="1" a="1"/>
  <c r="O26" i="1" a="1"/>
  <c r="O3" i="1" a="1"/>
  <c r="B18" i="3" a="1"/>
  <c r="A18" i="3" a="1"/>
  <c r="D18" i="3" a="1"/>
  <c r="C18" i="3" a="1"/>
  <c r="P24" i="1" l="1"/>
  <c r="P6" i="1"/>
  <c r="F29" i="1"/>
  <c r="P26" i="1"/>
  <c r="O30" i="1"/>
  <c r="O31" i="1"/>
  <c r="O35" i="1"/>
  <c r="O27" i="1"/>
  <c r="O26" i="1"/>
  <c r="O34" i="1"/>
  <c r="O29" i="1"/>
  <c r="O33" i="1"/>
  <c r="A28" i="1"/>
  <c r="P27" i="1"/>
  <c r="F27" i="1"/>
  <c r="F31" i="1"/>
  <c r="F35" i="1"/>
  <c r="P25" i="1"/>
  <c r="P18" i="1"/>
  <c r="P22" i="1"/>
  <c r="P19" i="1"/>
  <c r="P20" i="1"/>
  <c r="P21" i="1"/>
  <c r="P23" i="1"/>
  <c r="O20" i="1"/>
  <c r="O23" i="1"/>
  <c r="O22" i="1"/>
  <c r="O19" i="1"/>
  <c r="O24" i="1"/>
  <c r="O18" i="1"/>
  <c r="O21" i="1"/>
  <c r="F7" i="1"/>
  <c r="L10" i="1"/>
  <c r="F8" i="1"/>
  <c r="F12" i="1"/>
  <c r="L15" i="1"/>
  <c r="F13" i="1"/>
  <c r="F14" i="1"/>
  <c r="L11" i="1"/>
  <c r="L17" i="1"/>
  <c r="F16" i="1"/>
  <c r="F5" i="1"/>
  <c r="P17" i="1"/>
  <c r="O6" i="1"/>
  <c r="P10" i="1"/>
  <c r="P11" i="1"/>
  <c r="P5" i="1"/>
  <c r="P7" i="1"/>
  <c r="P8" i="1"/>
  <c r="P9" i="1"/>
  <c r="P16" i="1"/>
  <c r="P12" i="1"/>
  <c r="P14" i="1"/>
  <c r="P2" i="1"/>
  <c r="P15" i="1"/>
  <c r="P3" i="1"/>
  <c r="P4" i="1"/>
  <c r="P13" i="1"/>
  <c r="C18" i="3"/>
  <c r="A18" i="3"/>
  <c r="D18" i="3"/>
  <c r="B18" i="3"/>
  <c r="B8" i="3"/>
  <c r="O5" i="1"/>
  <c r="O3" i="1"/>
  <c r="O16" i="1"/>
  <c r="O12" i="1"/>
  <c r="O8" i="1"/>
  <c r="O13" i="1"/>
  <c r="O14" i="1"/>
  <c r="O9" i="1"/>
  <c r="O7" i="1"/>
  <c r="B12" i="3"/>
  <c r="A4" i="4" s="1"/>
  <c r="U17" i="1"/>
  <c r="T17" i="1"/>
  <c r="U16" i="1"/>
  <c r="T16" i="1"/>
  <c r="U15" i="1"/>
  <c r="T15" i="1"/>
  <c r="U14" i="1"/>
  <c r="T14" i="1"/>
  <c r="U13" i="1"/>
  <c r="T13" i="1"/>
  <c r="U12" i="1"/>
  <c r="T12" i="1"/>
  <c r="U11" i="1"/>
  <c r="T11" i="1"/>
  <c r="U10" i="1"/>
  <c r="T10" i="1"/>
  <c r="U9" i="1"/>
  <c r="T9" i="1"/>
  <c r="U8" i="1"/>
  <c r="T8" i="1"/>
  <c r="U7" i="1"/>
  <c r="T7" i="1"/>
  <c r="A17" i="4"/>
  <c r="A16" i="4"/>
  <c r="A10" i="4"/>
  <c r="B5" i="3"/>
  <c r="C4" i="3"/>
  <c r="B4" i="3" s="1"/>
  <c r="B2" i="3"/>
  <c r="U2" i="1"/>
  <c r="U4" i="1"/>
  <c r="U6" i="1"/>
  <c r="T6" i="1"/>
  <c r="U5" i="1"/>
  <c r="T5" i="1"/>
  <c r="T4" i="1"/>
  <c r="T2" i="1"/>
  <c r="U3" i="1"/>
  <c r="T3" i="1"/>
  <c r="A8" i="4" a="1"/>
  <c r="M29" i="1" a="1"/>
  <c r="M20" i="1" a="1"/>
  <c r="O36" i="1" a="1"/>
  <c r="M33" i="1" a="1"/>
  <c r="O32" i="1" a="1"/>
  <c r="M24" i="1" a="1"/>
  <c r="O10" i="1" a="1"/>
  <c r="M35" i="1" a="1"/>
  <c r="O25" i="1" a="1"/>
  <c r="M23" i="1" a="1"/>
  <c r="M22" i="1" a="1"/>
  <c r="M34" i="1" a="1"/>
  <c r="M18" i="1" a="1"/>
  <c r="O11" i="1" a="1"/>
  <c r="M31" i="1" a="1"/>
  <c r="M19" i="1" a="1"/>
  <c r="O17" i="1" a="1"/>
  <c r="M30" i="1" a="1"/>
  <c r="M27" i="1" a="1"/>
  <c r="M26" i="1" a="1"/>
  <c r="B17" i="3" a="1"/>
  <c r="O15" i="1" a="1"/>
  <c r="O28" i="1" a="1"/>
  <c r="M21" i="1" a="1"/>
  <c r="B17" i="3" l="1"/>
  <c r="O36" i="1"/>
  <c r="M33" i="1"/>
  <c r="N33" i="1" s="1"/>
  <c r="X33" i="1" s="1"/>
  <c r="M29" i="1"/>
  <c r="N29" i="1" s="1"/>
  <c r="X29" i="1" s="1"/>
  <c r="M34" i="1"/>
  <c r="N34" i="1" s="1"/>
  <c r="X34" i="1" s="1"/>
  <c r="M26" i="1"/>
  <c r="N26" i="1" s="1"/>
  <c r="X26" i="1" s="1"/>
  <c r="M27" i="1"/>
  <c r="N27" i="1" s="1"/>
  <c r="X27" i="1" s="1"/>
  <c r="M35" i="1"/>
  <c r="N35" i="1" s="1"/>
  <c r="X35" i="1" s="1"/>
  <c r="O28" i="1"/>
  <c r="M31" i="1"/>
  <c r="N31" i="1" s="1"/>
  <c r="X31" i="1" s="1"/>
  <c r="O32" i="1"/>
  <c r="M30" i="1"/>
  <c r="N30" i="1" s="1"/>
  <c r="X30" i="1" s="1"/>
  <c r="A29" i="1"/>
  <c r="P28" i="1"/>
  <c r="O25" i="1"/>
  <c r="M21" i="1"/>
  <c r="M18" i="1"/>
  <c r="M24" i="1"/>
  <c r="M19" i="1"/>
  <c r="M22" i="1"/>
  <c r="M23" i="1"/>
  <c r="M20" i="1"/>
  <c r="O10" i="1"/>
  <c r="C2" i="3"/>
  <c r="A6" i="4" s="1"/>
  <c r="O17" i="1"/>
  <c r="O11" i="1"/>
  <c r="O15" i="1"/>
  <c r="A8" i="4"/>
  <c r="B6" i="3"/>
  <c r="M6" i="1" a="1"/>
  <c r="M7" i="1" a="1"/>
  <c r="M3" i="1" a="1"/>
  <c r="M14" i="1" a="1"/>
  <c r="M12" i="1" a="1"/>
  <c r="M11" i="1" a="1"/>
  <c r="M16" i="1" a="1"/>
  <c r="M15" i="1" a="1"/>
  <c r="M9" i="1" a="1"/>
  <c r="M8" i="1" a="1"/>
  <c r="M17" i="1" a="1"/>
  <c r="M10" i="1" a="1"/>
  <c r="M32" i="1" a="1"/>
  <c r="M36" i="1" a="1"/>
  <c r="M25" i="1" a="1"/>
  <c r="M13" i="1" a="1"/>
  <c r="M28" i="1" a="1"/>
  <c r="K26" i="1" l="1"/>
  <c r="M25" i="1"/>
  <c r="N25" i="1" s="1"/>
  <c r="X25" i="1" s="1"/>
  <c r="M28" i="1"/>
  <c r="N28" i="1" s="1"/>
  <c r="X28" i="1" s="1"/>
  <c r="M32" i="1"/>
  <c r="N32" i="1" s="1"/>
  <c r="X32" i="1" s="1"/>
  <c r="M36" i="1"/>
  <c r="N36" i="1" s="1"/>
  <c r="X36" i="1" s="1"/>
  <c r="P29" i="1"/>
  <c r="K29" i="1" s="1"/>
  <c r="A30" i="1"/>
  <c r="K27" i="1"/>
  <c r="N20" i="1"/>
  <c r="X20" i="1" s="1"/>
  <c r="N23" i="1"/>
  <c r="X23" i="1" s="1"/>
  <c r="N22" i="1"/>
  <c r="X22" i="1" s="1"/>
  <c r="N19" i="1"/>
  <c r="X19" i="1" s="1"/>
  <c r="N24" i="1"/>
  <c r="X24" i="1" s="1"/>
  <c r="N18" i="1"/>
  <c r="X18" i="1" s="1"/>
  <c r="N21" i="1"/>
  <c r="X21" i="1" s="1"/>
  <c r="A1" i="4"/>
  <c r="A2" i="4"/>
  <c r="M15" i="1"/>
  <c r="M14" i="1"/>
  <c r="M13" i="1"/>
  <c r="M12" i="1"/>
  <c r="M16" i="1"/>
  <c r="M17" i="1"/>
  <c r="M10" i="1"/>
  <c r="M8" i="1"/>
  <c r="M9" i="1"/>
  <c r="M11" i="1"/>
  <c r="M7" i="1"/>
  <c r="C7" i="3"/>
  <c r="H2" i="1" s="1"/>
  <c r="F2" i="1" s="1"/>
  <c r="C6" i="3"/>
  <c r="M3" i="1"/>
  <c r="E3" i="1" s="1"/>
  <c r="M6" i="1"/>
  <c r="E26" i="1" l="1"/>
  <c r="E28" i="1"/>
  <c r="K28" i="1"/>
  <c r="A31" i="1"/>
  <c r="P30" i="1"/>
  <c r="K30" i="1" s="1"/>
  <c r="E25" i="1"/>
  <c r="E36" i="1"/>
  <c r="E32" i="1"/>
  <c r="E35" i="1"/>
  <c r="E31" i="1"/>
  <c r="E27" i="1"/>
  <c r="E34" i="1"/>
  <c r="E30" i="1"/>
  <c r="E33" i="1"/>
  <c r="E29" i="1"/>
  <c r="K25" i="1"/>
  <c r="K18" i="1"/>
  <c r="K19" i="1"/>
  <c r="K22" i="1"/>
  <c r="K23" i="1"/>
  <c r="K24" i="1"/>
  <c r="K21" i="1"/>
  <c r="K20" i="1"/>
  <c r="E7" i="1"/>
  <c r="E17" i="1"/>
  <c r="E16" i="1"/>
  <c r="E14" i="1"/>
  <c r="E13" i="1"/>
  <c r="E12" i="1"/>
  <c r="E11" i="1"/>
  <c r="E10" i="1"/>
  <c r="E15" i="1"/>
  <c r="E8" i="1"/>
  <c r="E9" i="1"/>
  <c r="L2" i="1"/>
  <c r="H4" i="1"/>
  <c r="F4" i="1" s="1"/>
  <c r="N11" i="1"/>
  <c r="X11" i="1" s="1"/>
  <c r="N9" i="1"/>
  <c r="X9" i="1" s="1"/>
  <c r="N8" i="1"/>
  <c r="X8" i="1" s="1"/>
  <c r="N10" i="1"/>
  <c r="X10" i="1" s="1"/>
  <c r="N17" i="1"/>
  <c r="X17" i="1" s="1"/>
  <c r="N16" i="1"/>
  <c r="X16" i="1" s="1"/>
  <c r="N12" i="1"/>
  <c r="X12" i="1" s="1"/>
  <c r="N13" i="1"/>
  <c r="X13" i="1" s="1"/>
  <c r="N14" i="1"/>
  <c r="X14" i="1" s="1"/>
  <c r="N15" i="1"/>
  <c r="X15" i="1" s="1"/>
  <c r="N7" i="1"/>
  <c r="X7" i="1" s="1"/>
  <c r="N3" i="1"/>
  <c r="X3" i="1" s="1"/>
  <c r="M5" i="1" a="1"/>
  <c r="O2" i="1" a="1"/>
  <c r="A32" i="1" l="1"/>
  <c r="P31" i="1"/>
  <c r="K31" i="1" s="1"/>
  <c r="K3" i="1"/>
  <c r="K15" i="1"/>
  <c r="K14" i="1"/>
  <c r="K13" i="1"/>
  <c r="K12" i="1"/>
  <c r="K17" i="1"/>
  <c r="K10" i="1"/>
  <c r="K8" i="1"/>
  <c r="K9" i="1"/>
  <c r="K11" i="1"/>
  <c r="K16" i="1"/>
  <c r="K7" i="1"/>
  <c r="L4" i="1"/>
  <c r="O2" i="1"/>
  <c r="M5" i="1"/>
  <c r="N5" i="1" s="1"/>
  <c r="X5" i="1" s="1"/>
  <c r="O4" i="1" a="1"/>
  <c r="P32" i="1" l="1"/>
  <c r="K32" i="1" s="1"/>
  <c r="A33" i="1"/>
  <c r="E5" i="1"/>
  <c r="O4" i="1"/>
  <c r="M2" i="1" a="1"/>
  <c r="M4" i="1" a="1"/>
  <c r="P33" i="1" l="1"/>
  <c r="K33" i="1" s="1"/>
  <c r="A34" i="1"/>
  <c r="K5" i="1"/>
  <c r="M4" i="1"/>
  <c r="S4" i="1"/>
  <c r="M2" i="1"/>
  <c r="P34" i="1" l="1"/>
  <c r="K34" i="1" s="1"/>
  <c r="A35" i="1"/>
  <c r="E2" i="1"/>
  <c r="N4" i="1"/>
  <c r="X4" i="1" s="1"/>
  <c r="E4" i="1"/>
  <c r="N2" i="1"/>
  <c r="X2" i="1" s="1"/>
  <c r="E5" i="4"/>
  <c r="N6" i="1" l="1"/>
  <c r="X6" i="1" s="1"/>
  <c r="A36" i="1"/>
  <c r="P36" i="1" s="1"/>
  <c r="K36" i="1" s="1"/>
  <c r="P35" i="1"/>
  <c r="K35" i="1" s="1"/>
  <c r="K4" i="1"/>
  <c r="K2" i="1"/>
  <c r="E6" i="1" l="1"/>
  <c r="D6" i="1"/>
  <c r="K6" i="1"/>
  <c r="E22" i="1" l="1"/>
  <c r="E19" i="1"/>
  <c r="E24" i="1"/>
  <c r="E18" i="1"/>
  <c r="E20" i="1"/>
  <c r="E21" i="1"/>
  <c r="E2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AA4D53-446F-4548-9CD2-904CAF2E4F21}" keepAlive="1" name="Query - VBA_Email_VM22" description="Connection to the 'VBA_Email_VM22' query in the workbook." type="5" refreshedVersion="7" background="1" saveData="1">
    <dbPr connection="Provider=Microsoft.Mashup.OleDb.1;Data Source=$Workbook$;Location=VBA_Email_VM22;Extended Properties=&quot;&quot;" command="SELECT * FROM [VBA_Email_VM2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<sst xmlns="http://schemas.openxmlformats.org/spreadsheetml/2006/main" count="6107" uniqueCount="172">
  <si>
    <t>CC List</t>
  </si>
  <si>
    <t>To List</t>
  </si>
  <si>
    <t>Message</t>
  </si>
  <si>
    <t>roh@christiandior.com</t>
  </si>
  <si>
    <t>Subject</t>
  </si>
  <si>
    <t>Display</t>
  </si>
  <si>
    <t>iCristal Report</t>
  </si>
  <si>
    <t>Run</t>
  </si>
  <si>
    <t>roh@christiandior.com; keng@christiandior.com</t>
  </si>
  <si>
    <t>Attachment File Exist</t>
  </si>
  <si>
    <t>Today</t>
  </si>
  <si>
    <t>Now</t>
  </si>
  <si>
    <t>Values</t>
  </si>
  <si>
    <t>Parameter</t>
  </si>
  <si>
    <t>No</t>
  </si>
  <si>
    <t>Mail</t>
  </si>
  <si>
    <t>Date</t>
  </si>
  <si>
    <t>Sent Today</t>
  </si>
  <si>
    <t>Last Row</t>
  </si>
  <si>
    <t>Force Run</t>
  </si>
  <si>
    <t>Wait</t>
  </si>
  <si>
    <t>Disable</t>
  </si>
  <si>
    <t>Time</t>
  </si>
  <si>
    <t>SetToRun after</t>
  </si>
  <si>
    <t>before</t>
  </si>
  <si>
    <t>Yesterday</t>
  </si>
  <si>
    <t>Comment</t>
  </si>
  <si>
    <t>if no file, don’t run</t>
  </si>
  <si>
    <t>Daily Sales - Pacific Asia</t>
  </si>
  <si>
    <t xml:space="preserve">  &lt;table width="100%" style="max-width:640px;"&gt;
    &lt;tr&gt;
      &lt;td&gt;
        &lt;img src="cid:CountryStore_NetSales.png" width="100%" /&gt;
      &lt;/td&gt;
    &lt;/tr&gt;
    &lt;tr&gt;
      &lt;td&gt;
        &lt;img src="cid:SubCategory_NetSales.png" width="100%" /&gt;
      &lt;/td&gt;
    &lt;/tr&gt;
  &lt;/table&gt;</t>
  </si>
  <si>
    <t>Modified Date</t>
  </si>
  <si>
    <t>Current directory</t>
  </si>
  <si>
    <t>&lt;BODY&gt;&lt;p&gt;Problem with reports today. IT is looking into it.&lt;/p&gt;
&lt;br&gt;Best Regards,&lt;br&gt;Raymond
&lt;br&gt;
&lt;br&gt;As at "&amp;$V$2&amp;"&lt;/BODY&gt;"</t>
  </si>
  <si>
    <t>D:\OneDrive-Sync\Christian Dior Couture\APAC Management - Reports - Reports\DClick</t>
  </si>
  <si>
    <t>D:\OneDrive-Sync\Christian Dior Couture\APAC Management - Reports - Reports\iCristal</t>
  </si>
  <si>
    <t>Log Report</t>
  </si>
  <si>
    <t>https://christiandior.sharepoint.com/:b:/r/sites/Grp_APACManagement-Reports/Shared%20Documents/Reports/DClick/APAC_Daily_Sales.pdf?csf=1&amp;web=1&amp;e=hQry6m</t>
  </si>
  <si>
    <t>https://christiandior.sharepoint.com/:b:/r/sites/Grp_APACManagement-Reports/Shared%20Documents/Reports/iCristal/iCristalReport.pdf?csf=1&amp;web=1&amp;e=53ZedW</t>
  </si>
  <si>
    <r>
      <t>&lt;</t>
    </r>
    <r>
      <rPr>
        <sz val="11"/>
        <color rgb="FFA52A2A"/>
        <rFont val="Consolas"/>
        <family val="3"/>
      </rPr>
      <t>a</t>
    </r>
    <r>
      <rPr>
        <sz val="11"/>
        <color rgb="FFFF0000"/>
        <rFont val="Consolas"/>
        <family val="3"/>
      </rPr>
      <t> href</t>
    </r>
    <r>
      <rPr>
        <sz val="11"/>
        <color rgb="FF0000CD"/>
        <rFont val="Consolas"/>
        <family val="3"/>
      </rPr>
      <t>="https://www.w3schools.com"&gt;</t>
    </r>
    <r>
      <rPr>
        <sz val="11"/>
        <color rgb="FF000000"/>
        <rFont val="Consolas"/>
        <family val="3"/>
      </rPr>
      <t>Visit W3Schools</t>
    </r>
    <r>
      <rPr>
        <sz val="11"/>
        <color rgb="FF0000CD"/>
        <rFont val="Consolas"/>
        <family val="3"/>
      </rPr>
      <t>&lt;</t>
    </r>
    <r>
      <rPr>
        <sz val="11"/>
        <color rgb="FFA52A2A"/>
        <rFont val="Consolas"/>
        <family val="3"/>
      </rPr>
      <t>/a</t>
    </r>
    <r>
      <rPr>
        <sz val="11"/>
        <color rgb="FF0000CD"/>
        <rFont val="Consolas"/>
        <family val="3"/>
      </rPr>
      <t>&gt;</t>
    </r>
  </si>
  <si>
    <t>APAC Daily Sales vs LY Report - Pacific Asia</t>
  </si>
  <si>
    <t>Email Templates</t>
  </si>
  <si>
    <t>Daily Sales - Hong Kong and Macau</t>
  </si>
  <si>
    <t>OneDrive path</t>
  </si>
  <si>
    <t>CountryStore_NetSales.png</t>
  </si>
  <si>
    <t>SubCategory_NetSales.png</t>
  </si>
  <si>
    <t>CountryStoreHKMO_NetSales.png</t>
  </si>
  <si>
    <t>CountryStoreKR_NetSales.png</t>
  </si>
  <si>
    <t>CountryStoreAUNZ_NetSales.png</t>
  </si>
  <si>
    <t>CountryStoreSG_NetSales.png</t>
  </si>
  <si>
    <t>CountryStoreMY_NetSales.png</t>
  </si>
  <si>
    <t>CountryStoreID_NetSales.png</t>
  </si>
  <si>
    <t>CountryStoreIN_NetSales.png</t>
  </si>
  <si>
    <t>CountryStoreVN_NetSales.png</t>
  </si>
  <si>
    <t>CountryStoreTH_NetSales.png</t>
  </si>
  <si>
    <t>CountryStoreTW_NetSales.png</t>
  </si>
  <si>
    <t>CountryStorePH_NetSales.png</t>
  </si>
  <si>
    <t>SubCategoryHKMO_NetSales.png</t>
  </si>
  <si>
    <t>SubCategoryKR_NetSales.png</t>
  </si>
  <si>
    <t>SubCategoryAUNZ_NetSales.png</t>
  </si>
  <si>
    <t>Daily Sales - Korea</t>
  </si>
  <si>
    <t>Daily Sales - Australia and New Zealand</t>
  </si>
  <si>
    <t>Daily Sales - Singapore</t>
  </si>
  <si>
    <t>Daily Sales - Malaysia</t>
  </si>
  <si>
    <t>Daily Sales - Indonesia</t>
  </si>
  <si>
    <t>Daily Sales - India</t>
  </si>
  <si>
    <t>Daily Sales - Vietnam</t>
  </si>
  <si>
    <t>Daily Sales - Thailand</t>
  </si>
  <si>
    <t>Daily Sales - Taiwan</t>
  </si>
  <si>
    <t>Daily Sales - Philippines</t>
  </si>
  <si>
    <t>SubCategoryPH_NetSales.png</t>
  </si>
  <si>
    <t>SubCategoryTW_NetSales.png</t>
  </si>
  <si>
    <t>SubCategoryTH_NetSales.png</t>
  </si>
  <si>
    <t>SubCategoryVN_NetSales.png</t>
  </si>
  <si>
    <t>SubCategoryIN_NetSales.png</t>
  </si>
  <si>
    <t>SubCategoryID_NetSales.png</t>
  </si>
  <si>
    <t>SubCategoryMY_NetSales.png</t>
  </si>
  <si>
    <t>SubCategorySG_NetSales.png</t>
  </si>
  <si>
    <t>File up to date</t>
  </si>
  <si>
    <t>Computer</t>
  </si>
  <si>
    <t>Computer Name</t>
  </si>
  <si>
    <t>CDAPHKGRPA01</t>
  </si>
  <si>
    <t>CDAPHKGRPA03</t>
  </si>
  <si>
    <t>VM22</t>
  </si>
  <si>
    <t>VM24</t>
  </si>
  <si>
    <t>csv_string</t>
  </si>
  <si>
    <t>D:\OneDrive-Sync\Christian Dior Couture\RPA Project - Report Automation\Email\VBA_Email_common_log.csv</t>
  </si>
  <si>
    <t>common log path</t>
  </si>
  <si>
    <t>image path</t>
  </si>
  <si>
    <t>Attachement files to attach - 1</t>
  </si>
  <si>
    <t>Attachement files to attach - 2</t>
  </si>
  <si>
    <t>Attachments (used by program)</t>
  </si>
  <si>
    <t>Attachment Path</t>
  </si>
  <si>
    <t>D:\DClick\log</t>
  </si>
  <si>
    <t>generalAutomation.log</t>
  </si>
  <si>
    <t>Attachment File path - default check attachment1 only</t>
  </si>
  <si>
    <t>D:\OneDrive-Sync\Christian Dior Couture\APAC Management - Reports - Reports\DClick\Images\VM24</t>
  </si>
  <si>
    <t>Report Notifications - FAILURE</t>
  </si>
  <si>
    <t>ViPirot@christiandior.com</t>
  </si>
  <si>
    <t>wochan@christiandior.com; ViPirot@christiandior.com</t>
  </si>
  <si>
    <t>maang@christiandior.com; ViPirot@christiandior.com</t>
  </si>
  <si>
    <t>rothongthai@christiandior.com; ViPirot@christiandior.com</t>
  </si>
  <si>
    <t>ViPirot@christiandior.com; vmaheshwari@christiandior.com</t>
  </si>
  <si>
    <t>Raymond OH &lt;roh@christiandior.com&gt;</t>
  </si>
  <si>
    <t>ViPirot@christiandior.com; trbui@christiandior.com; loascano@christiandior.com</t>
  </si>
  <si>
    <t>D:\OneDrive-Sync\Christian Dior Couture\APAC Management - Reports - Reports\DClick\Images</t>
  </si>
  <si>
    <t>Report: HB Daily Sale (vs LY)</t>
  </si>
  <si>
    <t>Report: Women Ready to Wear Daily Sale (vs LY)</t>
  </si>
  <si>
    <t>Report: SHOES Daily Sale (vs LY)</t>
  </si>
  <si>
    <t>Report: ACCESSORIES Daily Sale (vs LY)</t>
  </si>
  <si>
    <t>Report: MENS Daily Sale (vs LY)</t>
  </si>
  <si>
    <t>Report: SLG Daily Sale (vs LY)</t>
  </si>
  <si>
    <t>Report: Jewellery and Watches Daily Sale (vs LY)</t>
  </si>
  <si>
    <t>wBags_NetSales.png</t>
  </si>
  <si>
    <t>wBags_Units.png</t>
  </si>
  <si>
    <t>wRTW_NetSales.png</t>
  </si>
  <si>
    <t>wRTW_Units.png</t>
  </si>
  <si>
    <t>wShoes_NetSales.png</t>
  </si>
  <si>
    <t>wShoes_Units.png</t>
  </si>
  <si>
    <t>wAccessories_NetSales.png</t>
  </si>
  <si>
    <t>wAccessories_Units.png</t>
  </si>
  <si>
    <t>Mens_NetSales.png</t>
  </si>
  <si>
    <t>Mens_Units.png</t>
  </si>
  <si>
    <t>wSLG_NetSales.png</t>
  </si>
  <si>
    <t>wSLG_Units.png</t>
  </si>
  <si>
    <t>JewelleryAndWatches_NetSales.png</t>
  </si>
  <si>
    <t>JewelleryAndWatches_Units.png</t>
  </si>
  <si>
    <t>ViPirot@christiandior.com; trbui@christiandior.com</t>
  </si>
  <si>
    <t>CountryStoreALL_NetSales1.png</t>
  </si>
  <si>
    <t>SubCategoryALL_NetSales2.png</t>
  </si>
  <si>
    <t>DailySalesKR_NetSales2.png</t>
  </si>
  <si>
    <t>DailySalesKR_NetSales1.png</t>
  </si>
  <si>
    <t>DailySalesAU_NetSales1.png</t>
  </si>
  <si>
    <t>DailySalesSG_NetSales1.png</t>
  </si>
  <si>
    <t>DailySalesSG_NetSales2.png</t>
  </si>
  <si>
    <t>DailySalesMY_NetSales1.png</t>
  </si>
  <si>
    <t>DailySalesMY_NetSales2.png</t>
  </si>
  <si>
    <t>DailySalesID_NetSales1.png</t>
  </si>
  <si>
    <t>DailySalesID_NetSales2.png</t>
  </si>
  <si>
    <t>DailySalesIN_NetSales1.png</t>
  </si>
  <si>
    <t>DailySalesIN_NetSales2.png</t>
  </si>
  <si>
    <t>DailySalesVN_NetSales1.png</t>
  </si>
  <si>
    <t>DailySalesVN_NetSales2.png</t>
  </si>
  <si>
    <t>DailySalesTH_NetSales1.png</t>
  </si>
  <si>
    <t>DailySalesTH_NetSales2.png</t>
  </si>
  <si>
    <t>DailySalesTW_NetSales1.png</t>
  </si>
  <si>
    <t>DailySalesTW_NetSales2.png</t>
  </si>
  <si>
    <t>DailySalesPH_NetSales1.png</t>
  </si>
  <si>
    <t>DailySalesPH_NetSales2.png</t>
  </si>
  <si>
    <t>DailySalesNZ_NetSales2.png</t>
  </si>
  <si>
    <t>DailySalesHK_NetSales1.png</t>
  </si>
  <si>
    <t>DailySalesMO_NetSales2.png</t>
  </si>
  <si>
    <t>Kelvin NG &lt;keng@christiandior.com&gt;; Jean Baptiste DEBAINS &lt;jbdebains@christiandior.com&gt;</t>
  </si>
  <si>
    <t>Songjun HAN &lt;sohan@christiandior.com&gt;</t>
  </si>
  <si>
    <t>Eric TANG &lt;ertang@christiandior.com&gt;; Debbie LU &lt;delu@christiandior.com&gt;</t>
  </si>
  <si>
    <t>kahuang@christiandior.com; Tina HUANG &lt;thuang@christiandior.com&gt;; Debbie LU &lt;delu@christiandior.com&gt;</t>
  </si>
  <si>
    <t>ARCHIVE - Daily Sales - Pacific Asia</t>
  </si>
  <si>
    <t>ARCHIVE - Daily Sales - Hong Kong and Macau</t>
  </si>
  <si>
    <t>ARCHIVE - Daily Sales - Taiwan</t>
  </si>
  <si>
    <t>ARCHIVE - Daily Sales - Australia and New Zealand</t>
  </si>
  <si>
    <t>ARCHIVE - Daily Sales - Korea</t>
  </si>
  <si>
    <t>ARCHIVE - Daily Sales - Singapore</t>
  </si>
  <si>
    <t>ARCHIVE - Daily Sales - Malaysia</t>
  </si>
  <si>
    <t>ARCHIVE - Daily Sales - Indonesia</t>
  </si>
  <si>
    <t>ARCHIVE - Daily Sales - India</t>
  </si>
  <si>
    <t>ARCHIVE - Daily Sales - Vietnam</t>
  </si>
  <si>
    <t>ARCHIVE - Daily Sales - Thailand</t>
  </si>
  <si>
    <t>ARCHIVE - Daily Sales - Philippines</t>
  </si>
  <si>
    <t>Report Notifications - SUCCESSFUL</t>
  </si>
  <si>
    <t>X2,X4,X5,X7,X8,X9,X10,X11,X12,X13,X14,X15,X16,X17,X18,X19,X20,X21,X22,X23,X24,X25,X26,X27,X28,X29,X30,X31,X32,X33,X34,X35,X36</t>
  </si>
  <si>
    <t>&lt;style type="text/css"&gt;
#T_429be_row0_col0, #T_429be_row0_col1, #T_429be_row0_col2, #T_429be_row0_col3, #T_429be_row0_col4, #T_429be_row0_col5, #T_429be_row0_col6, #T_429be_row0_col7, #T_429be_row0_col8, #T_429be_row1_col0, #T_429be_row1_col1, #T_429be_row1_col2, #T_429be_row1_col3, #T_429be_row1_col4, #T_429be_row1_col5, #T_429be_row1_col6, #T_429be_row1_col7, #T_429be_row1_col8, #T_429be_row2_col0, #T_429be_row2_col1, #T_429be_row2_col2, #T_429be_row2_col3, #T_429be_row2_col4, #T_429be_row2_col5, #T_429be_row2_col6, #T_429be_row2_col7, #T_429be_row2_col8, #T_429be_row3_col0, #T_429be_row3_col1, #T_429be_row3_col2, #T_429be_row3_col3, #T_429be_row3_col4, #T_429be_row3_col5, #T_429be_row3_col6, #T_429be_row3_col7, #T_429be_row3_col8, #T_429be_row4_col0, #T_429be_row4_col1, #T_429be_row4_col2, #T_429be_row4_col3, #T_429be_row4_col4, #T_429be_row4_col5, #T_429be_row4_col6, #T_429be_row4_col7, #T_429be_row4_col8, #T_429be_row5_col0, #T_429be_row5_col1, #T_429be_row5_col2, #T_429be_row5_col3, #T_429be_row5_col4, #T_429be_row5_col5, #T_429be_row5_col6, #T_429be_row5_col7, #T_429be_row5_col8, #T_429be_row6_col0, #T_429be_row6_col1, #T_429be_row6_col2, #T_429be_row6_col3, #T_429be_row6_col4, #T_429be_row6_col5, #T_429be_row6_col6, #T_429be_row6_col7, #T_429be_row6_col8, #T_429be_row7_col0, #T_429be_row7_col1, #T_429be_row7_col2, #T_429be_row7_col3, #T_429be_row7_col4, #T_429be_row7_col5, #T_429be_row7_col6, #T_429be_row7_col7, #T_429be_row7_col8, #T_429be_row8_col0, #T_429be_row8_col1, #T_429be_row8_col2, #T_429be_row8_col3, #T_429be_row8_col4, #T_429be_row8_col5, #T_429be_row8_col6, #T_429be_row8_col7, #T_429be_row8_col8, #T_429be_row9_col0, #T_429be_row9_col1, #T_429be_row9_col2, #T_429be_row9_col3, #T_429be_row9_col4, #T_429be_row9_col5, #T_429be_row9_col6, #T_429be_row9_col7, #T_429be_row9_col8, #T_429be_row10_col0, #T_429be_row10_col1, #T_429be_row10_col2, #T_429be_row10_col3, #T_429be_row10_col4, #T_429be_row10_col5, #T_429be_row10_col6, #T_429be_row10_col7, #T_429be_row10_col8, #T_429be_row11_col0, #T_429be_row11_col1, #T_429be_row11_col2, #T_429be_row11_col3, #T_429be_row11_col4, #T_429be_row11_col5, #T_429be_row11_col6, #T_429be_row11_col7, #T_429be_row11_col8, #T_429be_row12_col0, #T_429be_row12_col1, #T_429be_row12_col2, #T_429be_row12_col3, #T_429be_row12_col4, #T_429be_row12_col5, #T_429be_row12_col6, #T_429be_row12_col7, #T_429be_row12_col8 {
  text-align: right;
}
&lt;/style&gt;
&lt;table id="T_429be"&gt;
  &lt;thead&gt;
    &lt;tr&gt;
      &lt;th class="blank" &gt;&amp;nbsp;&lt;/th&gt;
      &lt;th class="blank level0" &gt;&amp;nbsp;&lt;/th&gt;
      &lt;th id="T_429be_level0_col0" class="col_heading level0 col0" &gt;Day Net Sales (kEUR) LY&lt;/th&gt;
      &lt;th id="T_429be_level0_col1" class="col_heading level0 col1" &gt;Day Net Sales (kEUR) TY&lt;/th&gt;
      &lt;th id="T_429be_level0_col2" class="col_heading level0 col2" &gt;MTD Net Sales (kEUR) LY&lt;/th&gt;
      &lt;th id="T_429be_level0_col3" class="col_heading level0 col3" &gt;MTD Net Sales (kEUR) TY&lt;/th&gt;
      &lt;th id="T_429be_level0_col4" class="col_heading level0 col4" &gt;WTD Net Sales (kEUR) LY&lt;/th&gt;
      &lt;th id="T_429be_level0_col5" class="col_heading level0 col5" &gt;WTD Net Sales (kEUR) TY&lt;/th&gt;
      &lt;th id="T_429be_level0_col6" class="col_heading level0 col6" &gt;YTD Net Sales (kEUR) LY&lt;/th&gt;
      &lt;th id="T_429be_level0_col7" class="col_heading level0 col7" &gt;YTD Net Sales (kEUR) TY&lt;/th&gt;
      &lt;th id="T_429be_level0_col8" class="col_heading level0 col8" &gt;new calculation&lt;/th&gt;
    &lt;/tr&gt;
    &lt;tr&gt;
      &lt;th class="index_name level0" &gt;Country&lt;/th&gt;
      &lt;th class="index_name level1" &gt;Store&lt;/th&gt;
      &lt;th class="blank col0" &gt;&amp;nbsp;&lt;/th&gt;
      &lt;th class="blank col1" &gt;&amp;nbsp;&lt;/th&gt;
      &lt;th class="blank col2" &gt;&amp;nbsp;&lt;/th&gt;
      &lt;th class="blank col3" &gt;&amp;nbsp;&lt;/th&gt;
      &lt;th class="blank col4" &gt;&amp;nbsp;&lt;/th&gt;
      &lt;th class="blank col5" &gt;&amp;nbsp;&lt;/th&gt;
      &lt;th class="blank col6" &gt;&amp;nbsp;&lt;/th&gt;
      &lt;th class="blank col7" &gt;&amp;nbsp;&lt;/th&gt;
      &lt;th class="blank col8" &gt;&amp;nbsp;&lt;/th&gt;
    &lt;/tr&gt;
  &lt;/thead&gt;
  &lt;tbody&gt;
    &lt;tr&gt;
      &lt;th id="T_429be_level0_row0" class="row_heading level0 row0" rowspan="8"&gt;Thailand&lt;/th&gt;
      &lt;th id="T_429be_level1_row0" class="row_heading level1 row0" &gt;&lt;/th&gt;
      &lt;td id="T_429be_row0_col0" class="data row0 col0" &gt;371.40&lt;/td&gt;
      &lt;td id="T_429be_row0_col1" class="data row0 col1" &gt;459.47&lt;/td&gt;
      &lt;td id="T_429be_row0_col2" class="data row0 col2" &gt;7279.82&lt;/td&gt;
      &lt;td id="T_429be_row0_col3" class="data row0 col3" &gt;9085.34&lt;/td&gt;
      &lt;td id="T_429be_row0_col4" class="data row0 col4" &gt;1839.30&lt;/td&gt;
      &lt;td id="T_429be_row0_col5" class="data row0 col5" &gt;2208.84&lt;/td&gt;
      &lt;td id="T_429be_row0_col6" class="data row0 col6" &gt;69155.23&lt;/td&gt;
      &lt;td id="T_429be_row0_col7" class="data row0 col7" &gt;179173.80&lt;/td&gt;
      &lt;td id="T_429be_row0_col8" class="data row0 col8" &gt;0.24&lt;/td&gt;
    &lt;/tr&gt;
    &lt;tr&gt;
      &lt;th id="T_429be_level1_row1" class="row_heading level1 row1" &gt;Bangkok Airport&lt;/th&gt;
      &lt;td id="T_429be_row1_col0" class="data row1 col0" &gt;0.00&lt;/td&gt;
      &lt;td id="T_429be_row1_col1" class="data row1 col1" &gt;61.82&lt;/td&gt;
      &lt;td id="T_429be_row1_col2" class="data row1 col2" &gt;0.00&lt;/td&gt;
      &lt;td id="T_429be_row1_col3" class="data row1 col3" &gt;1087.38&lt;/td&gt;
      &lt;td id="T_429be_row1_col4" class="data row1 col4" &gt;0.00&lt;/td&gt;
      &lt;td id="T_429be_row1_col5" class="data row1 col5" &gt;340.75&lt;/td&gt;
      &lt;td id="T_429be_row1_col6" class="data row1 col6" &gt;3.93&lt;/td&gt;
      &lt;td id="T_429be_row1_col7" class="data row1 col7" &gt;7026.31&lt;/td&gt;
      &lt;td id="T_429be_row1_col8" class="data row1 col8" &gt;nan&lt;/td&gt;
    &lt;/tr&gt;
    &lt;tr&gt;
      &lt;th id="T_429be_level1_row2" class="row_heading level1 row2" &gt;Bangkok Emporium Men&lt;/th&gt;
      &lt;td id="T_429be_row2_col0" class="data row2 col0" &gt;16.13&lt;/td&gt;
      &lt;td id="T_429be_row2_col1" class="data row2 col1" &gt;14.86&lt;/td&gt;
      &lt;td id="T_429be_row2_col2" class="data row2 col2" &gt;268.04&lt;/td&gt;
      &lt;td id="T_429be_row2_col3" class="data row2 col3" &gt;303.92&lt;/td&gt;
      &lt;td id="T_429be_row2_col4" class="data row2 col4" &gt;73.01&lt;/td&gt;
      &lt;td id="T_429be_row2_col5" class="data row2 col5" &gt;87.78&lt;/td&gt;
      &lt;td id="T_429be_row2_col6" class="data row2 col6" &gt;2615.96&lt;/td&gt;
      &lt;td id="T_429be_row2_col7" class="data row2 col7" &gt;6542.62&lt;/td&gt;
      &lt;td id="T_429be_row2_col8" class="data row2 col8" &gt;-0.08&lt;/td&gt;
    &lt;/tr&gt;
    &lt;tr&gt;
      &lt;th id="T_429be_level1_row3" class="row_heading level1 row3" &gt;Bangkok Emporium Women&lt;/th&gt;
      &lt;td id="T_429be_row3_col0" class="data row3 col0" &gt;48.51&lt;/td&gt;
      &lt;td id="T_429be_row3_col1" class="data row3 col1" &gt;86.01&lt;/td&gt;
      &lt;td id="T_429be_row3_col2" class="data row3 col2" &gt;1425.79&lt;/td&gt;
      &lt;td id="T_429be_row3_col3" class="data row3 col3" &gt;1157.88&lt;/td&gt;
      &lt;td id="T_429be_row3_col4" class="data row3 col4" &gt;333.24&lt;/td&gt;
      &lt;td id="T_429be_row3_col5" class="data row3 col5" &gt;327.41&lt;/td&gt;
      &lt;td id="T_429be_row3_col6" class="data row3 col6" &gt;12434.77&lt;/td&gt;
      &lt;td id="T_429be_row3_col7" class="data row3 col7" &gt;28263.19&lt;/td&gt;
      &lt;td id="T_429be_row3_col8" class="data row3 col8" &gt;0.77&lt;/td&gt;
    &lt;/tr&gt;
    &lt;tr&gt;
      &lt;th id="T_429be_level1_row4" class="row_heading level1 row4" &gt;Bangkok Icon Siam&lt;/th&gt;
      &lt;td id="T_429be_row4_col0" class="data row4 col0" &gt;117.18&lt;/td&gt;
      &lt;td id="T_429be_row4_col1" class="data row4 col1" &gt;72.09&lt;/td&gt;
      &lt;td id="T_429be_row4_col2" class="data row4 col2" &gt;1424.72&lt;/td&gt;
      &lt;td id="T_429be_row4_col3" class="data row4 col3" &gt;1607.79&lt;/td&gt;
      &lt;td id="T_429be_row4_col4" class="data row4 col4" &gt;386.40&lt;/td&gt;
      &lt;td id="T_429be_row4_col5" class="data row4 col5" &gt;387.04&lt;/td&gt;
      &lt;td id="T_429be_row4_col6" class="data row4 col6" &gt;14458.58&lt;/td&gt;
      &lt;td id="T_429be_row4_col7" class="data row4 col7" &gt;37308.01&lt;/td&gt;
      &lt;td id="T_429be_row4_col8" class="data row4 col8" &gt;-0.38&lt;/td&gt;
    &lt;/tr&gt;
    &lt;tr&gt;
      &lt;th id="T_429be_level1_row5" class="row_heading level1 row5" &gt;Bangkok Siam Paragon&lt;/th&gt;
      &lt;td id="T_429be_row5_col0" class="data row5 col0" &gt;189.58&lt;/td&gt;
      &lt;td id="T_429be_row5_col1" class="data row5 col1" &gt;224.69&lt;/td&gt;
      &lt;td id="T_429be_row5_col2" class="data row5 col2" &gt;4161.27&lt;/td&gt;
      &lt;td id="T_429be_row5_col3" class="data row5 col3" &gt;4574.32&lt;/td&gt;
      &lt;td id="T_429be_row5_col4" class="data row5 col4" &gt;1046.65&lt;/td&gt;
      &lt;td id="T_429be_row5_col5" class="data row5 col5" &gt;1065.85&lt;/td&gt;
      &lt;td id="T_429be_row5_col6" class="data row5 col6" &gt;38306.29&lt;/td&gt;
      &lt;td id="T_429be_row5_col7" class="data row5 col7" &gt;92705.28&lt;/td&gt;
      &lt;td id="T_429be_row5_col8" class="data row5 col8" &gt;0.19&lt;/td&gt;
    &lt;/tr&gt;
    &lt;tr&gt;
      &lt;th id="T_429be_level1_row6" class="row_heading level1 row6" &gt;Thailand Family Sales&lt;/th&gt;
      &lt;td id="T_429be_row6_col0" class="data row6 col0" &gt;0.00&lt;/td&gt;
      &lt;td id="T_429be_row6_col1" class="data row6 col1" &gt;0.00&lt;/td&gt;
      &lt;td id="T_429be_row6_col2" class="data row6 col2" &gt;0.00&lt;/td&gt;
      &lt;td id="T_429be_row6_col3" class="data row6 col3" &gt;333.91&lt;/td&gt;
      &lt;td id="T_429be_row6_col4" class="data row6 col4" &gt;0.00&lt;/td&gt;
      &lt;td id="T_429be_row6_col5" class="data row6 col5" &gt;0.00&lt;/td&gt;
      &lt;td id="T_429be_row6_col6" class="data row6 col6" &gt;136.78&lt;/td&gt;
      &lt;td id="T_429be_row6_col7" class="data row6 col7" &gt;562.38&lt;/td&gt;
      &lt;td id="T_429be_row6_col8" class="data row6 col8" &gt;nan&lt;/td&gt;
    &lt;/tr&gt;
    &lt;tr&gt;
      &lt;th id="T_429be_level1_row7" class="row_heading level1 row7" &gt;Thailand Pop-Up&lt;/th&gt;
      &lt;td id="T_429be_row7_col0" class="data row7 col0" &gt;0.00&lt;/td&gt;
      &lt;td id="T_429be_row7_col1" class="data row7 col1" &gt;0.00&lt;/td&gt;
      &lt;td id="T_429be_row7_col2" class="data row7 col2" &gt;0.00&lt;/td&gt;
      &lt;td id="T_429be_row7_col3" class="data row7 col3" &gt;20.15&lt;/td&gt;
      &lt;td id="T_429be_row7_col4" class="data row7 col4" &gt;0.00&lt;/td&gt;
      &lt;td id="T_429be_row7_col5" class="data row7 col5" &gt;0.00&lt;/td&gt;
      &lt;td id="T_429be_row7_col6" class="data row7 col6" &gt;1198.92&lt;/td&gt;
      &lt;td id="T_429be_row7_col7" class="data row7 col7" &gt;6766.02&lt;/td&gt;
      &lt;td id="T_429be_row7_col8" class="data row7 col8" &gt;nan&lt;/td&gt;
    &lt;/tr&gt;
    &lt;tr&gt;
      &lt;th id="T_429be_level0_row8" class="row_heading level0 row8" rowspan="5"&gt;Vietnam&lt;/th&gt;
      &lt;th id="T_429be_level1_row8" class="row_heading level1 row8" &gt;&lt;/th&gt;
      &lt;td id="T_429be_row8_col0" class="data row8 col0" &gt;133.57&lt;/td&gt;
      &lt;td id="T_429be_row8_col1" class="data row8 col1" &gt;335.60&lt;/td&gt;
      &lt;td id="T_429be_row8_col2" class="data row8 col2" &gt;1936.27&lt;/td&gt;
      &lt;td id="T_429be_row8_col3" class="data row8 col3" &gt;4018.64&lt;/td&gt;
      &lt;td id="T_429be_row8_col4" class="data row8 col4" &gt;598.57&lt;/td&gt;
      &lt;td id="T_429be_row8_col5" class="data row8 col5" &gt;864.33&lt;/td&gt;
      &lt;td id="T_429be_row8_col6" class="data row8 col6" &gt;24505.84&lt;/td&gt;
      &lt;td id="T_429be_row8_col7" class="data row8 col7" &gt;58839.06&lt;/td&gt;
      &lt;td id="T_429be_row8_col8" class="data row8 col8" &gt;1.51&lt;/td&gt;
    &lt;/tr&gt;
    &lt;tr&gt;
      &lt;th id="T_429be_level1_row9" class="row_heading level1 row9" &gt;Hanoi International Centre&lt;/th&gt;
      &lt;td id="T_429be_row9_col0" class="data row9 col0" &gt;91.68&lt;/td&gt;
      &lt;td id="T_429be_row9_col1" class="data row9 col1" &gt;266.97&lt;/td&gt;
      &lt;td id="T_429be_row9_col2" class="data row9 col2" &gt;1268.00&lt;/td&gt;
      &lt;td id="T_429be_row9_col3" class="data row9 col3" &gt;1385.29&lt;/td&gt;
      &lt;td id="T_429be_row9_col4" class="data row9 col4" &gt;444.01&lt;/td&gt;
      &lt;td id="T_429be_row9_col5" class="data row9 col5" &gt;469.17&lt;/td&gt;
      &lt;td id="T_429be_row9_col6" class="data row9 col6" &gt;16239.57&lt;/td&gt;
      &lt;td id="T_429be_row9_col7" class="data row9 col7" &gt;26937.73&lt;/td&gt;
      &lt;td id="T_429be_row9_col8" class="data row9 col8" &gt;1.91&lt;/td&gt;
    &lt;/tr&gt;
    &lt;tr&gt;
      &lt;th id="T_429be_level1_row10" class="row_heading level1 row10" &gt;Ho Chi Minh Union Square&lt;/th&gt;
      &lt;td id="T_429be_row10_col0" class="data row10 col0" &gt;41.89&lt;/td&gt;
      &lt;td id="T_429be_row10_col1" class="data row10 col1" &gt;68.63&lt;/td&gt;
      &lt;td id="T_429be_row10_col2" class="data row10 col2" &gt;668.28&lt;/td&gt;
      &lt;td id="T_429be_row10_col3" class="data row10 col3" &gt;2633.34&lt;/td&gt;
      &lt;td id="T_429be_row10_col4" class="data row10 col4" &gt;154.56&lt;/td&gt;
      &lt;td id="T_429be_row10_col5" class="data row10 col5" &gt;395.17&lt;/td&gt;
      &lt;td id="T_429be_row10_col6" class="data row10 col6" &gt;8266.27&lt;/td&gt;
      &lt;td id="T_429be_row10_col7" class="data row10 col7" &gt;29108.66&lt;/td&gt;
      &lt;td id="T_429be_row10_col8" class="data row10 col8" &gt;0.64&lt;/td&gt;
    &lt;/tr&gt;
    &lt;tr&gt;
      &lt;th id="T_429be_level1_row11" class="row_heading level1 row11" &gt;Vietnam Pop-Up&lt;/th&gt;
      &lt;td id="T_429be_row11_col0" class="data row11 col0" &gt;0.00&lt;/td&gt;
      &lt;td id="T_429be_row11_col1" class="data row11 col1" &gt;0.00&lt;/td&gt;
      &lt;td id="T_429be_row11_col2" class="data row11 col2" &gt;0.00&lt;/td&gt;
      &lt;td id="T_429be_row11_col3" class="data row11 col3" &gt;0.00&lt;/td&gt;
      &lt;td id="T_429be_row11_col4" class="data row11 col4" &gt;0.00&lt;/td&gt;
      &lt;td id="T_429be_row11_col5" class="data row11 col5" &gt;0.00&lt;/td&gt;
      &lt;td id="T_429be_row11_col6" class="data row11 col6" &gt;0.00&lt;/td&gt;
      &lt;td id="T_429be_row11_col7" class="data row11 col7" &gt;1044.01&lt;/td&gt;
      &lt;td id="T_429be_row11_col8" class="data row11 col8" &gt;nan&lt;/td&gt;
    &lt;/tr&gt;
    &lt;tr&gt;
      &lt;th id="T_429be_level1_row12" class="row_heading level1 row12" &gt;Vietnam Pop-Up 2&lt;/th&gt;
      &lt;td id="T_429be_row12_col0" class="data row12 col0" &gt;0.00&lt;/td&gt;
      &lt;td id="T_429be_row12_col1" class="data row12 col1" &gt;0.00&lt;/td&gt;
      &lt;td id="T_429be_row12_col2" class="data row12 col2" &gt;0.00&lt;/td&gt;
      &lt;td id="T_429be_row12_col3" class="data row12 col3" &gt;0.00&lt;/td&gt;
      &lt;td id="T_429be_row12_col4" class="data row12 col4" &gt;0.00&lt;/td&gt;
      &lt;td id="T_429be_row12_col5" class="data row12 col5" &gt;0.00&lt;/td&gt;
      &lt;td id="T_429be_row12_col6" class="data row12 col6" &gt;0.00&lt;/td&gt;
      &lt;td id="T_429be_row12_col7" class="data row12 col7" &gt;1748.66&lt;/td&gt;
      &lt;td id="T_429be_row12_col8" class="data row12 col8" &gt;nan&lt;/td&gt;
    &lt;/tr&gt;
  &lt;/tbody&gt;
&lt;/table&gt;</t>
  </si>
  <si>
    <t>sojkim@christiandior.com; Milly SONG &lt;milsong@christiandior.com&gt;; Alvin KIM &lt;alvkim@christiandior.com&gt;; Ginny CHUNG &lt;gchung@christiandior.com&gt;</t>
  </si>
  <si>
    <t>Report Notifications - SUCCESSFUL 30/11/2022 14:56:40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</si>
</sst>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\ h:mm\ AM/PM;@"/>
    <numFmt numFmtId="165" formatCode="[$-F400]h:mm:ss\ AM/PM"/>
    <numFmt numFmtId="166" formatCode="m/d/yy\ h:mm;@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A52A2A"/>
      <name val="Consolas"/>
      <family val="3"/>
    </font>
    <font>
      <sz val="11"/>
      <color rgb="FF0000CD"/>
      <name val="Consolas"/>
      <family val="3"/>
    </font>
    <font>
      <sz val="11"/>
      <color rgb="FFFF0000"/>
      <name val="Consolas"/>
      <family val="3"/>
    </font>
    <font>
      <sz val="11"/>
      <color rgb="FF000000"/>
      <name val="Consolas"/>
      <family val="3"/>
    </font>
    <font>
      <b/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vertical="top"/>
    </xf>
    <xf numFmtId="0" fontId="2" fillId="0" borderId="0" xfId="0" applyFont="1"/>
    <xf numFmtId="18" fontId="0" fillId="0" borderId="0" xfId="0" applyNumberFormat="1"/>
    <xf numFmtId="165" fontId="0" fillId="0" borderId="0" xfId="0" applyNumberFormat="1"/>
    <xf numFmtId="1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2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1" fillId="0" borderId="0" xfId="1" applyAlignment="1">
      <alignment vertical="top"/>
    </xf>
    <xf numFmtId="164" fontId="0" fillId="0" borderId="0" xfId="0" applyNumberFormat="1" applyAlignment="1">
      <alignment vertical="top"/>
    </xf>
    <xf numFmtId="166" fontId="0" fillId="0" borderId="0" xfId="0" applyNumberFormat="1" applyAlignment="1">
      <alignment vertical="top"/>
    </xf>
    <xf numFmtId="0" fontId="0" fillId="3" borderId="0" xfId="0" applyFill="1" applyAlignment="1">
      <alignment vertical="top"/>
    </xf>
    <xf numFmtId="18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1" fillId="0" borderId="0" xfId="1" applyAlignment="1">
      <alignment vertical="top" wrapText="1"/>
    </xf>
    <xf numFmtId="0" fontId="0" fillId="0" borderId="0" xfId="0" applyNumberFormat="1"/>
    <xf numFmtId="0" fontId="0" fillId="4" borderId="0" xfId="0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0" fillId="4" borderId="0" xfId="0" applyFill="1" applyAlignment="1">
      <alignment vertical="top"/>
    </xf>
    <xf numFmtId="0" fontId="2" fillId="3" borderId="0" xfId="0" applyFont="1" applyFill="1" applyAlignment="1">
      <alignment vertical="top"/>
    </xf>
    <xf numFmtId="0" fontId="0" fillId="3" borderId="0" xfId="0" applyFont="1" applyFill="1" applyAlignment="1">
      <alignment vertical="top"/>
    </xf>
    <xf numFmtId="0" fontId="0" fillId="2" borderId="0" xfId="0" applyFill="1" applyAlignment="1">
      <alignment vertical="top" wrapText="1"/>
    </xf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27" formatCode="m/d/yyyy\ 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1371600</xdr:colOff>
          <xdr:row>0</xdr:row>
          <xdr:rowOff>28575</xdr:rowOff>
        </xdr:from>
        <xdr:to>
          <xdr:col>4</xdr:col>
          <xdr:colOff>3152775</xdr:colOff>
          <xdr:row>0</xdr:row>
          <xdr:rowOff>485775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hristiandior.sharepoint.com/sites/Grp_RPAProject-KBQuest/Shared%20Documents/Report%20Automation/Email/VBA_EmailVM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EmailJobs"/>
      <sheetName val="EmailTemplates"/>
      <sheetName val="log"/>
      <sheetName val="log_common"/>
    </sheetNames>
    <sheetDataSet>
      <sheetData sheetId="0">
        <row r="6">
          <cell r="C6" t="str">
            <v>03 Dec 2022 Sat</v>
          </cell>
        </row>
      </sheetData>
      <sheetData sheetId="1"/>
      <sheetData sheetId="2"/>
      <sheetData sheetId="3"/>
      <sheetData sheetId="4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41FC322-4414-425E-B59C-93F5B4907C2D}" autoFormatId="16" applyNumberFormats="0" applyBorderFormats="0" applyFontFormats="0" applyPatternFormats="0" applyAlignmentFormats="0" applyWidthHeightFormats="0">
  <queryTableRefresh nextId="5">
    <queryTableFields count="4">
      <queryTableField id="1" name="Mail" tableColumnId="1"/>
      <queryTableField id="2" name="Subject" tableColumnId="2"/>
      <queryTableField id="3" name="Date" tableColumnId="3"/>
      <queryTableField id="4" name="Computer Name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00E215-4BE8-4FA8-A000-F714A0709F95}" name="log" displayName="log" ref="A1:D1669" tableType="queryTable" totalsRowShown="0">
  <autoFilter ref="A1:D1669" xr:uid="{8800E215-4BE8-4FA8-A000-F714A0709F95}"/>
  <tableColumns count="4">
    <tableColumn id="1" xr3:uid="{32822E47-107F-4B27-869E-A1B425438CF5}" uniqueName="1" name="Mail" queryTableFieldId="1"/>
    <tableColumn id="2" xr3:uid="{D00E7D95-11F6-4ABC-908D-57120CF7ACC6}" uniqueName="2" name="Subject" queryTableFieldId="2" dataDxfId="2"/>
    <tableColumn id="3" xr3:uid="{81FADFE0-6CB9-4E8C-9AA1-4ECFE1D50026}" uniqueName="3" name="Date" queryTableFieldId="3" dataDxfId="1"/>
    <tableColumn id="4" xr3:uid="{5F230089-F362-41C1-BB79-A95635F525CB}" uniqueName="4" name="Computer Name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mailto:roh@christiandior.com" TargetMode="External"/><Relationship Id="rId18" Type="http://schemas.openxmlformats.org/officeDocument/2006/relationships/hyperlink" Target="mailto:roh@christiandior.com" TargetMode="External"/><Relationship Id="rId26" Type="http://schemas.openxmlformats.org/officeDocument/2006/relationships/hyperlink" Target="mailto:roh@christiandior.com" TargetMode="External"/><Relationship Id="rId3" Type="http://schemas.openxmlformats.org/officeDocument/2006/relationships/hyperlink" Target="mailto:roh@christiandior.com" TargetMode="External"/><Relationship Id="rId21" Type="http://schemas.openxmlformats.org/officeDocument/2006/relationships/hyperlink" Target="mailto:roh@christiandior.com" TargetMode="External"/><Relationship Id="rId34" Type="http://schemas.openxmlformats.org/officeDocument/2006/relationships/ctrlProp" Target="../ctrlProps/ctrlProp1.xml"/><Relationship Id="rId7" Type="http://schemas.openxmlformats.org/officeDocument/2006/relationships/hyperlink" Target="mailto:wochan@christiandior.com" TargetMode="External"/><Relationship Id="rId12" Type="http://schemas.openxmlformats.org/officeDocument/2006/relationships/hyperlink" Target="mailto:roh@christiandior.com" TargetMode="External"/><Relationship Id="rId17" Type="http://schemas.openxmlformats.org/officeDocument/2006/relationships/hyperlink" Target="mailto:roh@christiandior.com" TargetMode="External"/><Relationship Id="rId25" Type="http://schemas.openxmlformats.org/officeDocument/2006/relationships/hyperlink" Target="mailto:roh@christiandior.com" TargetMode="External"/><Relationship Id="rId33" Type="http://schemas.openxmlformats.org/officeDocument/2006/relationships/vmlDrawing" Target="../drawings/vmlDrawing1.vml"/><Relationship Id="rId2" Type="http://schemas.openxmlformats.org/officeDocument/2006/relationships/hyperlink" Target="mailto:roh@christiandior.com" TargetMode="External"/><Relationship Id="rId16" Type="http://schemas.openxmlformats.org/officeDocument/2006/relationships/hyperlink" Target="mailto:roh@christiandior.com" TargetMode="External"/><Relationship Id="rId20" Type="http://schemas.openxmlformats.org/officeDocument/2006/relationships/hyperlink" Target="mailto:roh@christiandior.com" TargetMode="External"/><Relationship Id="rId29" Type="http://schemas.openxmlformats.org/officeDocument/2006/relationships/hyperlink" Target="mailto:roh@christiandior.com" TargetMode="External"/><Relationship Id="rId1" Type="http://schemas.openxmlformats.org/officeDocument/2006/relationships/hyperlink" Target="mailto:roh@christiandior.com" TargetMode="External"/><Relationship Id="rId6" Type="http://schemas.openxmlformats.org/officeDocument/2006/relationships/hyperlink" Target="mailto:ViPirot@christiandior.com" TargetMode="External"/><Relationship Id="rId11" Type="http://schemas.openxmlformats.org/officeDocument/2006/relationships/hyperlink" Target="mailto:sojkim@christiandior.com" TargetMode="External"/><Relationship Id="rId24" Type="http://schemas.openxmlformats.org/officeDocument/2006/relationships/hyperlink" Target="mailto:roh@christiandior.com" TargetMode="External"/><Relationship Id="rId32" Type="http://schemas.openxmlformats.org/officeDocument/2006/relationships/drawing" Target="../drawings/drawing1.xml"/><Relationship Id="rId5" Type="http://schemas.openxmlformats.org/officeDocument/2006/relationships/hyperlink" Target="mailto:roh@christiandior.com" TargetMode="External"/><Relationship Id="rId15" Type="http://schemas.openxmlformats.org/officeDocument/2006/relationships/hyperlink" Target="mailto:roh@christiandior.com" TargetMode="External"/><Relationship Id="rId23" Type="http://schemas.openxmlformats.org/officeDocument/2006/relationships/hyperlink" Target="mailto:roh@christiandior.com" TargetMode="External"/><Relationship Id="rId28" Type="http://schemas.openxmlformats.org/officeDocument/2006/relationships/hyperlink" Target="mailto:roh@christiandior.com" TargetMode="External"/><Relationship Id="rId10" Type="http://schemas.openxmlformats.org/officeDocument/2006/relationships/hyperlink" Target="mailto:ViPirot@christiandior.com" TargetMode="External"/><Relationship Id="rId19" Type="http://schemas.openxmlformats.org/officeDocument/2006/relationships/hyperlink" Target="mailto:roh@christiandior.com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mailto:roh@christiandior.com" TargetMode="External"/><Relationship Id="rId9" Type="http://schemas.openxmlformats.org/officeDocument/2006/relationships/hyperlink" Target="mailto:rothongthai@christiandior.com" TargetMode="External"/><Relationship Id="rId14" Type="http://schemas.openxmlformats.org/officeDocument/2006/relationships/hyperlink" Target="mailto:roh@christiandior.com" TargetMode="External"/><Relationship Id="rId22" Type="http://schemas.openxmlformats.org/officeDocument/2006/relationships/hyperlink" Target="mailto:kahuang@christiandior.com" TargetMode="External"/><Relationship Id="rId27" Type="http://schemas.openxmlformats.org/officeDocument/2006/relationships/hyperlink" Target="mailto:roh@christiandior.com" TargetMode="External"/><Relationship Id="rId30" Type="http://schemas.openxmlformats.org/officeDocument/2006/relationships/hyperlink" Target="mailto:roh@christiandior.com" TargetMode="External"/><Relationship Id="rId8" Type="http://schemas.openxmlformats.org/officeDocument/2006/relationships/hyperlink" Target="mailto:maang@christiandior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B36F4-9971-4A65-99F6-B805C41E0F47}">
  <sheetPr codeName="Sheet3"/>
  <dimension ref="A1:E19"/>
  <sheetViews>
    <sheetView workbookViewId="0">
      <selection activeCell="B16" sqref="B16"/>
    </sheetView>
  </sheetViews>
  <sheetFormatPr defaultRowHeight="15" x14ac:dyDescent="0.25"/>
  <cols>
    <col min="1" max="1" width="16.28515625" bestFit="1" customWidth="1"/>
    <col min="2" max="2" width="110.42578125" customWidth="1"/>
    <col min="3" max="3" width="23" bestFit="1" customWidth="1"/>
  </cols>
  <sheetData>
    <row r="1" spans="1:5" x14ac:dyDescent="0.25">
      <c r="A1" s="4" t="s">
        <v>13</v>
      </c>
      <c r="B1" s="4" t="s">
        <v>12</v>
      </c>
    </row>
    <row r="2" spans="1:5" x14ac:dyDescent="0.25">
      <c r="A2" t="s">
        <v>11</v>
      </c>
      <c r="B2" s="2">
        <f ca="1">NOW()</f>
        <v>44899.399637268521</v>
      </c>
      <c r="C2" t="str">
        <f ca="1">TEXT(B2,"DD MMM YYYY DDD hh:mm:ss")</f>
        <v>04 Dec 2022 Sun 09:35:29</v>
      </c>
    </row>
    <row r="3" spans="1:5" x14ac:dyDescent="0.25">
      <c r="A3" t="s">
        <v>10</v>
      </c>
      <c r="B3" s="1">
        <f ca="1">TODAY()+TIME(3,0,0)</f>
        <v>44899.125</v>
      </c>
    </row>
    <row r="4" spans="1:5" x14ac:dyDescent="0.25">
      <c r="A4" t="s">
        <v>22</v>
      </c>
      <c r="B4" s="5">
        <f ca="1">TIMEVALUE(C4)</f>
        <v>0.39964120370370365</v>
      </c>
      <c r="C4" s="6" t="str">
        <f ca="1">TEXT(NOW(),"h:mm:ss AM/PM")</f>
        <v>9:35:29 AM</v>
      </c>
    </row>
    <row r="5" spans="1:5" x14ac:dyDescent="0.25">
      <c r="A5" t="s">
        <v>10</v>
      </c>
      <c r="B5" s="1">
        <f ca="1">TODAY()</f>
        <v>44899</v>
      </c>
    </row>
    <row r="6" spans="1:5" x14ac:dyDescent="0.25">
      <c r="A6" t="s">
        <v>25</v>
      </c>
      <c r="B6" s="1">
        <f ca="1">B3-1</f>
        <v>44898.125</v>
      </c>
      <c r="C6" t="str">
        <f ca="1">TEXT(B6,"DD MMM YYYY DDD")</f>
        <v>03 Dec 2022 Sat</v>
      </c>
    </row>
    <row r="7" spans="1:5" x14ac:dyDescent="0.25">
      <c r="A7" t="s">
        <v>25</v>
      </c>
      <c r="B7" s="5"/>
      <c r="C7" t="str">
        <f ca="1">TEXT(B6,"YYYYMMDD")</f>
        <v>20221203</v>
      </c>
    </row>
    <row r="8" spans="1:5" x14ac:dyDescent="0.25">
      <c r="A8" t="s">
        <v>31</v>
      </c>
      <c r="B8" t="str" cm="1">
        <f t="array" aca="1" ref="B8" ca="1">CurrentDir(NOW())</f>
        <v>D:\Optimus\scripts\email\AddOn</v>
      </c>
    </row>
    <row r="9" spans="1:5" x14ac:dyDescent="0.25">
      <c r="A9" t="s">
        <v>42</v>
      </c>
      <c r="B9" t="s">
        <v>33</v>
      </c>
    </row>
    <row r="10" spans="1:5" x14ac:dyDescent="0.25">
      <c r="B10" s="7" t="s">
        <v>34</v>
      </c>
    </row>
    <row r="11" spans="1:5" x14ac:dyDescent="0.25">
      <c r="A11" t="s">
        <v>87</v>
      </c>
      <c r="B11" s="4" t="s">
        <v>104</v>
      </c>
      <c r="D11" s="4" t="s">
        <v>95</v>
      </c>
    </row>
    <row r="12" spans="1:5" x14ac:dyDescent="0.25">
      <c r="A12" t="s">
        <v>78</v>
      </c>
      <c r="B12" t="str" cm="1">
        <f t="array" aca="1" ref="B12" ca="1">GetEnviron("computername",NOW())</f>
        <v>CDAPHKGRPA03</v>
      </c>
      <c r="D12" t="s">
        <v>82</v>
      </c>
      <c r="E12" t="s">
        <v>80</v>
      </c>
    </row>
    <row r="13" spans="1:5" x14ac:dyDescent="0.25">
      <c r="A13" t="s">
        <v>18</v>
      </c>
      <c r="B13">
        <f>COUNTA(log!A:A)+1</f>
        <v>1259</v>
      </c>
      <c r="D13" t="s">
        <v>83</v>
      </c>
      <c r="E13" t="s">
        <v>81</v>
      </c>
    </row>
    <row r="14" spans="1:5" x14ac:dyDescent="0.25">
      <c r="A14" t="s">
        <v>86</v>
      </c>
      <c r="B14" t="s">
        <v>85</v>
      </c>
    </row>
    <row r="17" spans="1:4" x14ac:dyDescent="0.25">
      <c r="A17" t="s">
        <v>84</v>
      </c>
      <c r="B17" t="str" cm="1">
        <f t="array" aca="1" ref="B17" ca="1">Merge(A18:D18)</f>
        <v>5,Report Notifications - FAILURE,12/4/2022 9:35,CDAPHKGRPA03</v>
      </c>
    </row>
    <row r="18" spans="1:4" x14ac:dyDescent="0.25">
      <c r="A18" cm="1">
        <f t="array" aca="1" ref="A18" ca="1">INDIRECT("log!A"&amp;const_lastrow-1,TRUE)</f>
        <v>5</v>
      </c>
      <c r="B18" t="str" cm="1">
        <f t="array" aca="1" ref="B18" ca="1">INDIRECT("log!B"&amp;const_lastrow-1,TRUE)</f>
        <v>Report Notifications - FAILURE</v>
      </c>
      <c r="C18" t="str" cm="1">
        <f t="array" aca="1" ref="C18" ca="1">TEXT(INDIRECT("log!C"&amp;const_lastrow-1,TRUE),"M/D/YYYY h:mm")</f>
        <v>12/4/2022 9:35</v>
      </c>
      <c r="D18" t="str" cm="1">
        <f t="array" aca="1" ref="D18" ca="1">INDIRECT("log!D"&amp;const_lastrow-1,TRUE)</f>
        <v>CDAPHKGRPA03</v>
      </c>
    </row>
    <row r="19" spans="1:4" x14ac:dyDescent="0.25">
      <c r="A19" t="e">
        <f>_xlfn.TEXTJOIN(",",FALSE,log!#REF!,log!#REF!,TEXT(log!#REF!,"M/DD/YYYY h:mm"),log!#REF!)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36"/>
  <sheetViews>
    <sheetView tabSelected="1" zoomScale="70" zoomScaleNormal="70" workbookViewId="0">
      <pane xSplit="4" ySplit="1" topLeftCell="W2" activePane="bottomRight" state="frozen"/>
      <selection pane="topRight" activeCell="E1" sqref="E1"/>
      <selection pane="bottomLeft" activeCell="A2" sqref="A2"/>
      <selection pane="bottomRight" activeCell="X2" sqref="X2"/>
    </sheetView>
  </sheetViews>
  <sheetFormatPr defaultRowHeight="15" outlineLevelCol="1" x14ac:dyDescent="0.25"/>
  <cols>
    <col min="1" max="1" width="5" style="3" customWidth="1"/>
    <col min="2" max="2" width="23" style="9" customWidth="1"/>
    <col min="3" max="3" width="18" style="3" customWidth="1"/>
    <col min="4" max="4" width="26.28515625" style="9" customWidth="1"/>
    <col min="5" max="5" width="61.7109375" style="9" customWidth="1"/>
    <col min="6" max="6" width="49" style="9" customWidth="1" outlineLevel="1"/>
    <col min="7" max="7" width="41.42578125" style="9" customWidth="1" outlineLevel="1"/>
    <col min="8" max="8" width="32.85546875" style="9" customWidth="1" outlineLevel="1"/>
    <col min="9" max="9" width="31.28515625" style="9" customWidth="1" outlineLevel="1"/>
    <col min="10" max="10" width="7.85546875" style="3" customWidth="1" outlineLevel="1"/>
    <col min="11" max="11" width="9.7109375" style="3" customWidth="1"/>
    <col min="12" max="12" width="37.7109375" style="9" customWidth="1"/>
    <col min="13" max="14" width="13.5703125" style="3" customWidth="1" outlineLevel="1"/>
    <col min="15" max="21" width="9.140625" style="3" customWidth="1" outlineLevel="1"/>
    <col min="22" max="22" width="17.85546875" style="3" bestFit="1" customWidth="1"/>
    <col min="23" max="23" width="4" style="3" customWidth="1"/>
    <col min="24" max="24" width="71.28515625" style="3" customWidth="1"/>
    <col min="25" max="25" width="36.28515625" style="3" customWidth="1"/>
    <col min="26" max="26" width="38.42578125" style="3" customWidth="1"/>
    <col min="27" max="16384" width="9.140625" style="3"/>
  </cols>
  <sheetData>
    <row r="1" spans="1:35" s="9" customFormat="1" ht="45" x14ac:dyDescent="0.25">
      <c r="A1" s="11" t="s">
        <v>14</v>
      </c>
      <c r="B1" s="11" t="s">
        <v>1</v>
      </c>
      <c r="C1" s="11" t="s">
        <v>0</v>
      </c>
      <c r="D1" s="11" t="s">
        <v>4</v>
      </c>
      <c r="E1" s="11" t="s">
        <v>2</v>
      </c>
      <c r="F1" s="22" t="s">
        <v>90</v>
      </c>
      <c r="G1" s="11" t="s">
        <v>91</v>
      </c>
      <c r="H1" s="11" t="s">
        <v>88</v>
      </c>
      <c r="I1" s="11" t="s">
        <v>89</v>
      </c>
      <c r="J1" s="11" t="s">
        <v>5</v>
      </c>
      <c r="K1" s="12" t="s">
        <v>7</v>
      </c>
      <c r="L1" s="22" t="s">
        <v>94</v>
      </c>
      <c r="M1" s="11" t="s">
        <v>30</v>
      </c>
      <c r="N1" s="11" t="s">
        <v>77</v>
      </c>
      <c r="O1" s="11" t="s">
        <v>9</v>
      </c>
      <c r="P1" s="11" t="s">
        <v>17</v>
      </c>
      <c r="Q1" s="11" t="s">
        <v>19</v>
      </c>
      <c r="R1" s="11" t="s">
        <v>20</v>
      </c>
      <c r="S1" s="11" t="s">
        <v>21</v>
      </c>
      <c r="T1" s="11" t="s">
        <v>23</v>
      </c>
      <c r="U1" s="11" t="s">
        <v>24</v>
      </c>
      <c r="V1" s="11" t="s">
        <v>26</v>
      </c>
      <c r="W1" s="11"/>
      <c r="X1" s="11" t="s">
        <v>40</v>
      </c>
    </row>
    <row r="2" spans="1:35" ht="90" x14ac:dyDescent="0.25">
      <c r="A2" s="3">
        <v>1</v>
      </c>
      <c r="B2" s="19" t="s">
        <v>8</v>
      </c>
      <c r="C2" s="13"/>
      <c r="D2" s="11" t="s">
        <v>6</v>
      </c>
      <c r="E2" s="9" t="str">
        <f ca="1">"&lt;BODY&gt;&lt;p&gt;Please find report attached.&lt;/p&gt;&lt;br&gt;Best Regards,&lt;br&gt;Raymond&lt;br&gt;&lt;br&gt;As at "&amp;TEXT(M2,"D/M/Y hh:mm:ss")&amp;"&lt;br&gt;&lt;br&gt;"&amp;const_computername&amp;"&lt;/BODY&gt;"</f>
        <v>&lt;BODY&gt;&lt;p&gt;Please find report attached.&lt;/p&gt;&lt;br&gt;Best Regards,&lt;br&gt;Raymond&lt;br&gt;&lt;br&gt;As at 0/1/00 00:00:00&lt;br&gt;&lt;br&gt;CDAPHKGRPA03&lt;/BODY&gt;</v>
      </c>
      <c r="F2" s="21" t="str">
        <f t="shared" ref="F2:F7" ca="1" si="0">IF(H2="","",G2&amp;"\"&amp;H2)&amp;IF(I2="","",", "&amp;G2&amp;"\"&amp;I2)</f>
        <v>D:\OneDrive-Sync\Christian Dior Couture\APAC Management - Reports - Reports\iCristal\iCristalReport_20221203.pdf</v>
      </c>
      <c r="G2" s="9" t="str">
        <f>const_iCristalPath</f>
        <v>D:\OneDrive-Sync\Christian Dior Couture\APAC Management - Reports - Reports\iCristal</v>
      </c>
      <c r="H2" s="9" t="str">
        <f ca="1">"iCristalReport_"&amp;const_yesterdayYYYYMMDD&amp;".pdf"</f>
        <v>iCristalReport_20221203.pdf</v>
      </c>
      <c r="J2" s="3" t="b">
        <v>0</v>
      </c>
      <c r="K2" s="14" t="b">
        <f t="shared" ref="K2:K17" ca="1" si="1">OR(Q2,AND(OR(P2=0),N2,NOT(S2),AND(const_nowTime&gt;=T2,const_nowTime&lt;=U2)))</f>
        <v>0</v>
      </c>
      <c r="L2" s="21" t="str">
        <f ca="1">IF(H2="","",G2&amp;"\"&amp;H2)</f>
        <v>D:\OneDrive-Sync\Christian Dior Couture\APAC Management - Reports - Reports\iCristal\iCristalReport_20221203.pdf</v>
      </c>
      <c r="M2" s="15" cm="1">
        <f t="array" aca="1" ref="M2" ca="1">IF(O2,fileModifiedDate(L2, NOW()),0)</f>
        <v>0</v>
      </c>
      <c r="N2" s="15" t="b">
        <f ca="1">M2&gt;const_today</f>
        <v>0</v>
      </c>
      <c r="O2" s="3" t="b" cm="1">
        <f t="array" aca="1" ref="O2" ca="1">IF(L2="",FALSE,FileExists(L2,NOW()))</f>
        <v>0</v>
      </c>
      <c r="P2" s="3">
        <f ca="1">COUNTIFS(log_common!A:A,EmailJobs!A2, log_common!C:C, "&gt;" &amp; const_today)</f>
        <v>0</v>
      </c>
      <c r="Q2" s="16" t="b">
        <v>0</v>
      </c>
      <c r="R2" s="3">
        <v>60</v>
      </c>
      <c r="S2" s="3" t="b">
        <v>0</v>
      </c>
      <c r="T2" s="17">
        <f>TIME(5,30,0)</f>
        <v>0.22916666666666666</v>
      </c>
      <c r="U2" s="17">
        <f>TIME(11,0,0)</f>
        <v>0.45833333333333331</v>
      </c>
      <c r="V2" s="3" t="s">
        <v>83</v>
      </c>
      <c r="X2" s="3" t="str">
        <f ca="1">IF(N2,"OK  ", "FAIL")&amp;" |  " &amp;TEXT(EmailJobs!M2,"D/M/Y hh:mm:ss")&amp;" |  "&amp;EmailJobs!D2 &amp; " " &amp; V2 &amp; "&lt;br&gt;
"</f>
        <v xml:space="preserve">FAIL |  0/1/00 00:00:00 |  iCristal Report VM24&lt;br&gt;
</v>
      </c>
      <c r="AA2" s="19"/>
      <c r="AG2" s="19" t="s">
        <v>8</v>
      </c>
    </row>
    <row r="3" spans="1:35" ht="45" x14ac:dyDescent="0.25">
      <c r="A3" s="3">
        <f>A2+1</f>
        <v>2</v>
      </c>
      <c r="B3" s="19"/>
      <c r="C3" s="19" t="s">
        <v>3</v>
      </c>
      <c r="D3" s="9" t="s">
        <v>35</v>
      </c>
      <c r="E3" s="9" t="str">
        <f ca="1">"&lt;BODY&gt;&lt;p&gt;Please find report attached.&lt;/p&gt;&lt;br&gt;Best Regards,&lt;br&gt;Raymond&lt;br&gt;&lt;br&gt;As at "&amp;TEXT(Parameters!B2,"D/M/Y hh:mm:ss")&amp;" | Modified "&amp;TEXT(M3,"D/M/Y hh:mm:ss")&amp;" | VM "&amp;const_computername&amp;"&lt;/BODY&gt;"</f>
        <v>&lt;BODY&gt;&lt;p&gt;Please find report attached.&lt;/p&gt;&lt;br&gt;Best Regards,&lt;br&gt;Raymond&lt;br&gt;&lt;br&gt;As at 4/12/22 09:35:29 | Modified 16/8/22 09:30:22 | VM CDAPHKGRPA03&lt;/BODY&gt;</v>
      </c>
      <c r="F3" s="21" t="str">
        <f t="shared" si="0"/>
        <v>D:\DClick\log\generalAutomation.log</v>
      </c>
      <c r="G3" s="9" t="s">
        <v>92</v>
      </c>
      <c r="H3" s="9" t="s">
        <v>93</v>
      </c>
      <c r="J3" s="3" t="b">
        <v>0</v>
      </c>
      <c r="K3" s="14" t="b">
        <f t="shared" ca="1" si="1"/>
        <v>0</v>
      </c>
      <c r="L3" s="21" t="str">
        <f t="shared" ref="L3:L17" si="2">IF(H3="","",G3&amp;"\"&amp;H3)</f>
        <v>D:\DClick\log\generalAutomation.log</v>
      </c>
      <c r="M3" s="15" cm="1">
        <f t="array" aca="1" ref="M3" ca="1">IF(O3,fileModifiedDate(L3, NOW()),0)</f>
        <v>44789.396087962959</v>
      </c>
      <c r="N3" s="15" t="b">
        <f ca="1">M3&gt;const_today</f>
        <v>0</v>
      </c>
      <c r="O3" s="3" t="b" cm="1">
        <f t="array" aca="1" ref="O3" ca="1">IF(L3="",FALSE,FileExists(L3,NOW()))</f>
        <v>1</v>
      </c>
      <c r="P3" s="3">
        <f ca="1">COUNTIFS(log_common!A:A,EmailJobs!A3, log_common!C:C, "&gt;" &amp; const_today)</f>
        <v>0</v>
      </c>
      <c r="Q3" s="16" t="b">
        <v>0</v>
      </c>
      <c r="R3" s="3">
        <v>15</v>
      </c>
      <c r="S3" s="23" t="b">
        <v>1</v>
      </c>
      <c r="T3" s="17">
        <f>TIME(0,1,)</f>
        <v>6.9444444444444447E-4</v>
      </c>
      <c r="U3" s="17">
        <f>TIME(23,59,0)</f>
        <v>0.99930555555555556</v>
      </c>
      <c r="X3" s="3" t="str">
        <f ca="1">IF(N3,"OK  ", "FAIL")&amp;" |  " &amp;TEXT(EmailJobs!M3,"D/M/Y hh:mm:ss")&amp;" |  "&amp;EmailJobs!D3 &amp; " " &amp; V3 &amp; "&lt;br&gt;
"</f>
        <v xml:space="preserve">FAIL |  16/8/22 09:30:22 |  Log Report &lt;br&gt;
</v>
      </c>
      <c r="AG3" s="19" t="s">
        <v>3</v>
      </c>
    </row>
    <row r="4" spans="1:35" ht="90" x14ac:dyDescent="0.25">
      <c r="A4" s="3">
        <f t="shared" ref="A4:A17" si="3">A3+1</f>
        <v>3</v>
      </c>
      <c r="B4" s="19" t="s">
        <v>8</v>
      </c>
      <c r="C4" s="13"/>
      <c r="D4" s="11" t="s">
        <v>39</v>
      </c>
      <c r="E4" s="9" t="str">
        <f ca="1">"&lt;BODY&gt;&lt;p&gt;Please find report attached.&lt;/p&gt;&lt;br&gt;Best Regards,&lt;br&gt;Raymond&lt;br&gt;&lt;br&gt;As at "&amp;TEXT(M4,"D/M/Y hh:mm:ss")&amp;"&lt;br&gt;&lt;br&gt;"&amp;const_computername&amp;"&lt;/BODY&gt;"</f>
        <v>&lt;BODY&gt;&lt;p&gt;Please find report attached.&lt;/p&gt;&lt;br&gt;Best Regards,&lt;br&gt;Raymond&lt;br&gt;&lt;br&gt;As at 4/12/22 07:20:25&lt;br&gt;&lt;br&gt;CDAPHKGRPA03&lt;/BODY&gt;</v>
      </c>
      <c r="F4" s="21" t="str">
        <f t="shared" ca="1" si="0"/>
        <v>D:\OneDrive-Sync\Christian Dior Couture\APAC Management - Reports - Reports\DClick\APAC_Daily_Sales_20221203.pdf</v>
      </c>
      <c r="G4" s="9" t="str">
        <f>const_DClickPath</f>
        <v>D:\OneDrive-Sync\Christian Dior Couture\APAC Management - Reports - Reports\DClick</v>
      </c>
      <c r="H4" s="9" t="str">
        <f ca="1">"APAC_Daily_Sales_"&amp;const_yesterdayYYYYMMDD&amp;".pdf"</f>
        <v>APAC_Daily_Sales_20221203.pdf</v>
      </c>
      <c r="J4" s="3" t="b">
        <v>0</v>
      </c>
      <c r="K4" s="14" t="b">
        <f t="shared" ca="1" si="1"/>
        <v>0</v>
      </c>
      <c r="L4" s="21" t="str">
        <f t="shared" ca="1" si="2"/>
        <v>D:\OneDrive-Sync\Christian Dior Couture\APAC Management - Reports - Reports\DClick\APAC_Daily_Sales_20221203.pdf</v>
      </c>
      <c r="M4" s="15" cm="1">
        <f t="array" aca="1" ref="M4" ca="1">IF(O4,fileModifiedDate(L4, NOW()),0)</f>
        <v>44899.305844907409</v>
      </c>
      <c r="N4" s="15" t="b">
        <f ca="1">M4&gt;const_today</f>
        <v>1</v>
      </c>
      <c r="O4" s="3" t="b" cm="1">
        <f t="array" aca="1" ref="O4" ca="1">IF(L4="",FALSE,FileExists(L4,NOW()))</f>
        <v>1</v>
      </c>
      <c r="P4" s="3">
        <f ca="1">COUNTIFS(log_common!A:A,EmailJobs!A4, log_common!C:C, "&gt;" &amp; const_today)</f>
        <v>1</v>
      </c>
      <c r="Q4" s="16" t="b">
        <v>0</v>
      </c>
      <c r="R4" s="3">
        <v>60</v>
      </c>
      <c r="S4" s="18" t="b">
        <f ca="1">NOT(O4)</f>
        <v>0</v>
      </c>
      <c r="T4" s="17">
        <f>TIME(6,30,0)</f>
        <v>0.27083333333333331</v>
      </c>
      <c r="U4" s="17">
        <f>TIME(18,0,0)</f>
        <v>0.75</v>
      </c>
      <c r="V4" s="3" t="s">
        <v>27</v>
      </c>
      <c r="X4" s="3" t="str">
        <f ca="1">IF(N4,"OK  ", "FAIL")&amp;" |  " &amp;TEXT(EmailJobs!M4,"D/M/Y hh:mm:ss")&amp;" |  "&amp;EmailJobs!D4 &amp; " " &amp; V4 &amp; "&lt;br&gt;
"</f>
        <v xml:space="preserve">OK   |  4/12/22 07:20:25 |  APAC Daily Sales vs LY Report - Pacific Asia if no file, don’t run&lt;br&gt;
</v>
      </c>
      <c r="AG4" s="19" t="s">
        <v>8</v>
      </c>
    </row>
    <row r="5" spans="1:35" ht="90" x14ac:dyDescent="0.25">
      <c r="A5" s="3">
        <f t="shared" si="3"/>
        <v>4</v>
      </c>
      <c r="B5" s="19"/>
      <c r="C5" s="19" t="s">
        <v>102</v>
      </c>
      <c r="D5" s="22" t="s">
        <v>155</v>
      </c>
      <c r="E5" s="9" t="str">
        <f ca="1">"&lt;BODY&gt;&lt;p&gt;Up to "&amp;Parameters!$C$6&amp;"&lt;br&gt;&lt;img src=""cid:"&amp;H5&amp;"""  width=1500&gt;&lt;br&gt;&lt;img src=""cid:"&amp;I5&amp;"""   width=1200&gt;&lt;br&gt;Generated at "&amp;TEXT(M5,"D/M/Y hh:mm:ss")&amp;"&lt;br&gt;&lt;br&gt;"&amp;const_computername&amp;"&lt;/BODY&gt;"</f>
        <v>&lt;BODY&gt;&lt;p&gt;Up to 03 Dec 2022 Sat&lt;br&gt;&lt;img src="cid:CountryStore_NetSales.png"  width=1500&gt;&lt;br&gt;&lt;img src="cid:SubCategory_NetSales.png"   width=1200&gt;&lt;br&gt;Generated at 4/12/22 06:40:52&lt;br&gt;&lt;br&gt;CDAPHKGRPA03&lt;/BODY&gt;</v>
      </c>
      <c r="F5" s="21" t="str">
        <f t="shared" si="0"/>
        <v>D:\OneDrive-Sync\Christian Dior Couture\APAC Management - Reports - Reports\DClick\Images\CountryStore_NetSales.png, D:\OneDrive-Sync\Christian Dior Couture\APAC Management - Reports - Reports\DClick\Images\SubCategory_NetSales.png</v>
      </c>
      <c r="G5" s="9" t="str">
        <f>const_imagePath</f>
        <v>D:\OneDrive-Sync\Christian Dior Couture\APAC Management - Reports - Reports\DClick\Images</v>
      </c>
      <c r="H5" s="9" t="s">
        <v>43</v>
      </c>
      <c r="I5" s="9" t="s">
        <v>44</v>
      </c>
      <c r="J5" s="3" t="b">
        <v>0</v>
      </c>
      <c r="K5" s="14" t="b">
        <f t="shared" ca="1" si="1"/>
        <v>0</v>
      </c>
      <c r="L5" s="21" t="str">
        <f t="shared" si="2"/>
        <v>D:\OneDrive-Sync\Christian Dior Couture\APAC Management - Reports - Reports\DClick\Images\CountryStore_NetSales.png</v>
      </c>
      <c r="M5" s="15" cm="1">
        <f t="array" aca="1" ref="M5" ca="1">IF(O5,fileModifiedDate(L5, NOW()),0)</f>
        <v>44899.278379629628</v>
      </c>
      <c r="N5" s="15" t="b">
        <f ca="1">M5&gt;const_today</f>
        <v>1</v>
      </c>
      <c r="O5" s="3" t="b" cm="1">
        <f t="array" aca="1" ref="O5" ca="1">IF(L5="",FALSE,FileExists(L5,NOW()))</f>
        <v>1</v>
      </c>
      <c r="P5" s="3">
        <f ca="1">COUNTIFS(log_common!A:A,EmailJobs!A5, log_common!C:C, "&gt;" &amp; const_today)</f>
        <v>0</v>
      </c>
      <c r="Q5" s="25" t="b">
        <v>0</v>
      </c>
      <c r="R5" s="3">
        <v>5</v>
      </c>
      <c r="S5" s="23" t="b">
        <v>1</v>
      </c>
      <c r="T5" s="17">
        <f>TIME(0,1,)</f>
        <v>6.9444444444444447E-4</v>
      </c>
      <c r="U5" s="17">
        <f>TIME(23,59,0)</f>
        <v>0.99930555555555556</v>
      </c>
      <c r="V5" s="3" t="s">
        <v>82</v>
      </c>
      <c r="X5" s="3" t="str">
        <f ca="1">IF(N5,"OK  ", "FAIL")&amp;" |  " &amp;TEXT(EmailJobs!M5,"D/M/Y hh:mm:ss")&amp;" |  "&amp;EmailJobs!D5 &amp; " " &amp; V5 &amp; "&lt;br&gt;
"</f>
        <v xml:space="preserve">OK   |  4/12/22 06:40:52 |  ARCHIVE - Daily Sales - Pacific Asia VM22&lt;br&gt;
</v>
      </c>
      <c r="AG5" s="19" t="s">
        <v>8</v>
      </c>
    </row>
    <row r="6" spans="1:35" ht="359.25" customHeight="1" x14ac:dyDescent="0.25">
      <c r="A6" s="3">
        <f t="shared" si="3"/>
        <v>5</v>
      </c>
      <c r="B6" s="19"/>
      <c r="C6" s="19" t="s">
        <v>102</v>
      </c>
      <c r="D6" s="11" t="str">
        <f ca="1">"Report Notifications - " &amp; IF(N6,"SUCCESSFUL","FAILURE")</f>
        <v>Report Notifications - FAILURE</v>
      </c>
      <c r="E6" s="9" t="str">
        <f ca="1">"&lt;BODY&gt;&lt;p&gt;"&amp;EmailJobs!X6&amp;"&lt;br&gt;&lt;br&gt;&lt;a href="""&amp;EmailJobs!Y6&amp;"""&gt;APAC Daily Sales Report&lt;/a&gt;&lt;br&gt;&lt;br&gt;"&amp;"&lt;a href="""&amp;EmailJobs!Z6&amp;"""&gt;iCristal Report&lt;/a&gt;"&amp;"&lt;br&gt;&lt;br&gt;"&amp;const_computername&amp;"&lt;/BODY&gt;"</f>
        <v>&lt;BODY&gt;&lt;p&gt;&lt;b&gt;FAIL: Files NOT up to date&lt;/b&gt; Report time stamp and links:&lt;br&gt;&lt;br&gt;
FAIL |  0/1/00 00:00:00 |  iCristal Report VM24&lt;br&gt;
OK   |  4/12/22 07:22:29 |  Daily Sales - Pacific Asia VM24&lt;br&gt;
OK   |  4/12/22 07:24:14 |  ARCHIVE - Daily Sales - Korea VM24&lt;br&gt;
OK   |  4/12/22 07:27:43 |  Daily Sales - Hong Kong and Macau VM24&lt;br&gt;
OK   |  4/12/22 06:45:05 |  Daily Sales - Australia and New Zealand VM24&lt;br&gt;
OK   |  4/12/22 06:48:29 |  ARCHIVE - Daily Sales - Malaysia VM24&lt;br&gt;
OK   |  4/12/22 07:29:24 |  Daily Sales - Taiwan VM24&lt;br&gt;
OK   |  4/12/22 07:32:51 |  ARCHIVE - Daily Sales - Vietnam VM24&lt;br&gt;
OK   |  4/12/22 06:46:47 |  ARCHIVE - Daily Sales - Singapore VM24&lt;br&gt;
OK   |  4/12/22 06:50:09 |  ARCHIVE - Daily Sales - India VM24&lt;br&gt;
OK   |  4/12/22 06:51:56 |  ARCHIVE - Daily Sales - Indonesia VM24&lt;br&gt;
OK   |  4/12/22 06:53:38 |  ARCHIVE - Daily Sales - Philippines VM24&lt;br&gt;
OK   |  4/12/22 07:31:08 |  ARCHIVE - Daily Sales - Thailand VM24&lt;br&gt;
OK   |  4/12/22 06:33:53 |  Daily Sales - Korea VM22&lt;br&gt;
OK   |  4/12/22 06:36:09 |  ARCHIVE - Daily Sales - Hong Kong and Macau VM22&lt;br&gt;
OK   |  4/12/22 06:38:12 |  ARCHIVE - Daily Sales - Australia and New Zealand VM22&lt;br&gt;
OK   |  4/12/22 06:40:52 |  ARCHIVE - Daily Sales - Pacific Asia VM22&lt;br&gt;
OK   |  4/12/22 06:43:37 |  Daily Sales - Singapore VM22&lt;br&gt;
OK   |  4/12/22 06:45:41 |  Daily Sales - Malaysia VM22&lt;br&gt;
OK   |  4/12/22 06:47:46 |  Daily Sales - India VM22&lt;br&gt;
OK   |  4/12/22 06:49:52 |  Daily Sales - Indonesia VM22&lt;br&gt;
OK   |  4/12/22 06:51:57 |  Daily Sales - Philippines VM22&lt;br&gt;
OK   |  4/12/22 06:54:00 |  ARCHIVE - Daily Sales - Taiwan VM22&lt;br&gt;
OK   |  4/12/22 06:56:03 |  Daily Sales - Thailand VM22&lt;br&gt;
OK   |  4/12/22 06:58:08 |  Daily Sales - Vietnam VM22&lt;br&gt;
OK   |  4/12/22 06:59:27 |  Report: HB Daily Sale (vs LY) VM22&lt;br&gt;
OK   |  4/12/22 07:01:13 |  Report: Women Ready to Wear Daily Sale (vs LY) VM22&lt;br&gt;
OK   |  4/12/22 07:03:01 |  Report: SHOES Daily Sale (vs LY) VM22&lt;br&gt;
OK   |  4/12/22 07:04:50 |  Report: ACCESSORIES Daily Sale (vs LY) VM22&lt;br&gt;
OK   |  4/12/22 07:06:37 |  Report: Jewellery and Watches Daily Sale (vs LY) VM22&lt;br&gt;
OK   |  4/12/22 07:08:25 |  Report: MENS Daily Sale (vs LY) VM22&lt;br&gt;
OK   |  4/12/22 07:12:00 |  Report: SLG Daily Sale (vs LY) VM22&lt;br&gt;
OK   |  4/12/22 07:20:25 |  APAC Daily Sales vs LY Report - Pacific Asia if no file, don’t run&lt;br&gt;
&lt;br&gt;&lt;br&gt;&lt;a href="https://christiandior.sharepoint.com/:b:/r/sites/Grp_APACManagement-Reports/Shared%20Documents/Reports/DClick/APAC_Daily_Sales.pdf?csf=1&amp;web=1&amp;e=hQry6m"&gt;APAC Daily Sales Report&lt;/a&gt;&lt;br&gt;&lt;br&gt;&lt;a href="https://christiandior.sharepoint.com/:b:/r/sites/Grp_APACManagement-Reports/Shared%20Documents/Reports/iCristal/iCristalReport.pdf?csf=1&amp;web=1&amp;e=53ZedW"&gt;iCristal Report&lt;/a&gt;&lt;br&gt;&lt;br&gt;CDAPHKGRPA03&lt;/BODY&gt;</v>
      </c>
      <c r="F6" s="21" t="str">
        <f t="shared" si="0"/>
        <v/>
      </c>
      <c r="J6" s="3" t="b">
        <v>0</v>
      </c>
      <c r="K6" s="14" t="b">
        <f t="shared" ca="1" si="1"/>
        <v>1</v>
      </c>
      <c r="L6" s="21" t="str">
        <f t="shared" si="2"/>
        <v/>
      </c>
      <c r="M6" s="15" cm="1">
        <f t="array" aca="1" ref="M6" ca="1">IF(O6,fileModifiedDate(L6, NOW()),0)</f>
        <v>0</v>
      </c>
      <c r="N6" s="15" t="b">
        <f ca="1">AND(N2,N4,N5,N7,N8,N9,N10,N11,N12,N13,N14,N15,N16,N17,N18,N19,N20,N21,N22,N23,N24,N25,N26,N27,N28,N29,N30,N31,N32,N33,N34,N35,N36)</f>
        <v>0</v>
      </c>
      <c r="O6" s="3" t="b" cm="1">
        <f t="array" aca="1" ref="O6" ca="1">IF(L6="",FALSE,FileExists(L6,NOW()))</f>
        <v>0</v>
      </c>
      <c r="P6" s="3">
        <f ca="1">COUNTIFS(log_common!A:A,EmailJobs!A6, log_common!C:C, "&gt;" &amp; const_today,log_common!B:B, "Report Notifications - SUCCESSFUL")</f>
        <v>0</v>
      </c>
      <c r="Q6" s="24" t="b">
        <v>1</v>
      </c>
      <c r="R6" s="3">
        <v>5</v>
      </c>
      <c r="S6" s="3" t="b">
        <v>0</v>
      </c>
      <c r="T6" s="17">
        <f>TIME(0,1,)</f>
        <v>6.9444444444444447E-4</v>
      </c>
      <c r="U6" s="17">
        <f>TIME(23,59,0)</f>
        <v>0.99930555555555556</v>
      </c>
      <c r="V6" s="3" t="s">
        <v>82</v>
      </c>
      <c r="W6" s="3" t="s">
        <v>168</v>
      </c>
      <c r="X6" s="9" t="str">
        <f ca="1">"&lt;b&gt;"&amp;IF(NOT(N6),"FAIL: Files NOT up to date","SUCCESSFUL")&amp;"&lt;/b&gt; Report time stamp and links:&lt;br&gt;&lt;br&gt;
"&amp;AA6&amp;_xlfn.CONCAT(X2,X25,X27,X26,X28,X30,X35,X33,X29,X32,X31,X36,X34,X8,X7,X9,X5,X10,X11,X13,X12,X17,X16,X15,X14,X18,X19,X20,X21,X24,X22,X23,X4)</f>
        <v xml:space="preserve">&lt;b&gt;FAIL: Files NOT up to date&lt;/b&gt; Report time stamp and links:&lt;br&gt;&lt;br&gt;
FAIL |  0/1/00 00:00:00 |  iCristal Report VM24&lt;br&gt;
OK   |  4/12/22 07:22:29 |  Daily Sales - Pacific Asia VM24&lt;br&gt;
OK   |  4/12/22 07:24:14 |  ARCHIVE - Daily Sales - Korea VM24&lt;br&gt;
OK   |  4/12/22 07:27:43 |  Daily Sales - Hong Kong and Macau VM24&lt;br&gt;
OK   |  4/12/22 06:45:05 |  Daily Sales - Australia and New Zealand VM24&lt;br&gt;
OK   |  4/12/22 06:48:29 |  ARCHIVE - Daily Sales - Malaysia VM24&lt;br&gt;
OK   |  4/12/22 07:29:24 |  Daily Sales - Taiwan VM24&lt;br&gt;
OK   |  4/12/22 07:32:51 |  ARCHIVE - Daily Sales - Vietnam VM24&lt;br&gt;
OK   |  4/12/22 06:46:47 |  ARCHIVE - Daily Sales - Singapore VM24&lt;br&gt;
OK   |  4/12/22 06:50:09 |  ARCHIVE - Daily Sales - India VM24&lt;br&gt;
OK   |  4/12/22 06:51:56 |  ARCHIVE - Daily Sales - Indonesia VM24&lt;br&gt;
OK   |  4/12/22 06:53:38 |  ARCHIVE - Daily Sales - Philippines VM24&lt;br&gt;
OK   |  4/12/22 07:31:08 |  ARCHIVE - Daily Sales - Thailand VM24&lt;br&gt;
OK   |  4/12/22 06:33:53 |  Daily Sales - Korea VM22&lt;br&gt;
OK   |  4/12/22 06:36:09 |  ARCHIVE - Daily Sales - Hong Kong and Macau VM22&lt;br&gt;
OK   |  4/12/22 06:38:12 |  ARCHIVE - Daily Sales - Australia and New Zealand VM22&lt;br&gt;
OK   |  4/12/22 06:40:52 |  ARCHIVE - Daily Sales - Pacific Asia VM22&lt;br&gt;
OK   |  4/12/22 06:43:37 |  Daily Sales - Singapore VM22&lt;br&gt;
OK   |  4/12/22 06:45:41 |  Daily Sales - Malaysia VM22&lt;br&gt;
OK   |  4/12/22 06:47:46 |  Daily Sales - India VM22&lt;br&gt;
OK   |  4/12/22 06:49:52 |  Daily Sales - Indonesia VM22&lt;br&gt;
OK   |  4/12/22 06:51:57 |  Daily Sales - Philippines VM22&lt;br&gt;
OK   |  4/12/22 06:54:00 |  ARCHIVE - Daily Sales - Taiwan VM22&lt;br&gt;
OK   |  4/12/22 06:56:03 |  Daily Sales - Thailand VM22&lt;br&gt;
OK   |  4/12/22 06:58:08 |  Daily Sales - Vietnam VM22&lt;br&gt;
OK   |  4/12/22 06:59:27 |  Report: HB Daily Sale (vs LY) VM22&lt;br&gt;
OK   |  4/12/22 07:01:13 |  Report: Women Ready to Wear Daily Sale (vs LY) VM22&lt;br&gt;
OK   |  4/12/22 07:03:01 |  Report: SHOES Daily Sale (vs LY) VM22&lt;br&gt;
OK   |  4/12/22 07:04:50 |  Report: ACCESSORIES Daily Sale (vs LY) VM22&lt;br&gt;
OK   |  4/12/22 07:06:37 |  Report: Jewellery and Watches Daily Sale (vs LY) VM22&lt;br&gt;
OK   |  4/12/22 07:08:25 |  Report: MENS Daily Sale (vs LY) VM22&lt;br&gt;
OK   |  4/12/22 07:12:00 |  Report: SLG Daily Sale (vs LY) VM22&lt;br&gt;
OK   |  4/12/22 07:20:25 |  APAC Daily Sales vs LY Report - Pacific Asia if no file, don’t run&lt;br&gt;
</v>
      </c>
      <c r="Y6" s="9" t="s">
        <v>36</v>
      </c>
      <c r="Z6" s="9" t="s">
        <v>37</v>
      </c>
      <c r="AA6" s="26"/>
      <c r="AG6" s="19" t="s">
        <v>3</v>
      </c>
      <c r="AI6" s="9" t="s">
        <v>169</v>
      </c>
    </row>
    <row r="7" spans="1:35" ht="105" x14ac:dyDescent="0.25">
      <c r="A7" s="3">
        <f t="shared" si="3"/>
        <v>6</v>
      </c>
      <c r="B7" s="19"/>
      <c r="C7" s="19" t="s">
        <v>102</v>
      </c>
      <c r="D7" s="21" t="s">
        <v>156</v>
      </c>
      <c r="E7" s="9" t="str">
        <f ca="1">"&lt;BODY&gt;&lt;p&gt;Up to "&amp;Parameters!$C$6&amp;"&lt;br&gt;&lt;img src=""cid:"&amp;H7&amp;"""  width=1500&gt;&lt;br&gt;&lt;img src=""cid:"&amp;I7&amp;"""   width=1500&gt;&lt;br&gt;Generated at "&amp;TEXT(M7,"D/M/Y hh:mm:ss")&amp;"&lt;br&gt;&lt;br&gt;"&amp;const_computername&amp;"&lt;/BODY&gt;"</f>
        <v>&lt;BODY&gt;&lt;p&gt;Up to 03 Dec 2022 Sat&lt;br&gt;&lt;img src="cid:CountryStoreHKMO_NetSales.png"  width=1500&gt;&lt;br&gt;&lt;img src="cid:SubCategoryHKMO_NetSales.png"   width=1500&gt;&lt;br&gt;Generated at 4/12/22 06:36:09&lt;br&gt;&lt;br&gt;CDAPHKGRPA03&lt;/BODY&gt;</v>
      </c>
      <c r="F7" s="21" t="str">
        <f t="shared" si="0"/>
        <v>D:\OneDrive-Sync\Christian Dior Couture\APAC Management - Reports - Reports\DClick\Images\CountryStoreHKMO_NetSales.png, D:\OneDrive-Sync\Christian Dior Couture\APAC Management - Reports - Reports\DClick\Images\SubCategoryHKMO_NetSales.png</v>
      </c>
      <c r="G7" s="9" t="str">
        <f t="shared" ref="G7:G17" si="4">const_imagePath</f>
        <v>D:\OneDrive-Sync\Christian Dior Couture\APAC Management - Reports - Reports\DClick\Images</v>
      </c>
      <c r="H7" s="9" t="s">
        <v>45</v>
      </c>
      <c r="I7" s="9" t="s">
        <v>56</v>
      </c>
      <c r="J7" s="3" t="b">
        <v>0</v>
      </c>
      <c r="K7" s="14" t="b">
        <f t="shared" ca="1" si="1"/>
        <v>0</v>
      </c>
      <c r="L7" s="21" t="str">
        <f t="shared" si="2"/>
        <v>D:\OneDrive-Sync\Christian Dior Couture\APAC Management - Reports - Reports\DClick\Images\CountryStoreHKMO_NetSales.png</v>
      </c>
      <c r="M7" s="15" cm="1">
        <f t="array" aca="1" ref="M7" ca="1">IF(O7,fileModifiedDate(L7, NOW()),0)</f>
        <v>44899.275104166663</v>
      </c>
      <c r="N7" s="15" t="b">
        <f t="shared" ref="N7:N17" ca="1" si="5">M7&gt;const_today</f>
        <v>1</v>
      </c>
      <c r="O7" s="3" t="b" cm="1">
        <f t="array" aca="1" ref="O7" ca="1">IF(L7="",FALSE,FileExists(L7,NOW()))</f>
        <v>1</v>
      </c>
      <c r="P7" s="3">
        <f ca="1">COUNTIFS(log_common!A:A,EmailJobs!A7, log_common!C:C, "&gt;" &amp; const_today)</f>
        <v>0</v>
      </c>
      <c r="Q7" s="24" t="b">
        <v>0</v>
      </c>
      <c r="R7" s="3">
        <v>5</v>
      </c>
      <c r="S7" s="23" t="b">
        <v>1</v>
      </c>
      <c r="T7" s="17">
        <f>TIME(0,1,)</f>
        <v>6.9444444444444447E-4</v>
      </c>
      <c r="U7" s="17">
        <f>TIME(23,59,0)</f>
        <v>0.99930555555555556</v>
      </c>
      <c r="V7" s="3" t="s">
        <v>82</v>
      </c>
      <c r="X7" s="3" t="str">
        <f ca="1">IF(N7,"OK  ", "FAIL")&amp;" |  " &amp;TEXT(EmailJobs!M7,"D/M/Y hh:mm:ss")&amp;" |  "&amp;EmailJobs!D7 &amp; " " &amp; V7 &amp; "&lt;br&gt;
"</f>
        <v xml:space="preserve">OK   |  4/12/22 06:36:09 |  ARCHIVE - Daily Sales - Hong Kong and Macau VM22&lt;br&gt;
</v>
      </c>
      <c r="AG7" s="19" t="s">
        <v>3</v>
      </c>
    </row>
    <row r="8" spans="1:35" ht="120" x14ac:dyDescent="0.25">
      <c r="A8" s="3">
        <f t="shared" si="3"/>
        <v>7</v>
      </c>
      <c r="B8" s="19" t="s">
        <v>170</v>
      </c>
      <c r="C8" s="19" t="s">
        <v>102</v>
      </c>
      <c r="D8" s="9" t="s">
        <v>59</v>
      </c>
      <c r="E8" s="9" t="str">
        <f ca="1">"&lt;BODY&gt;&lt;p&gt;Up to "&amp;Parameters!$C$6&amp;"&lt;br&gt;&lt;img src=""cid:"&amp;H8&amp;"""  width=1500&gt;&lt;br&gt;&lt;img src=""cid:"&amp;I8&amp;"""   width=1500&gt;&lt;br&gt;Generated at "&amp;TEXT(M8,"D/M/Y hh:mm:ss")&amp;"&lt;br&gt;&lt;br&gt;"&amp;const_computername&amp;"&lt;/BODY&gt;"</f>
        <v>&lt;BODY&gt;&lt;p&gt;Up to 03 Dec 2022 Sat&lt;br&gt;&lt;img src="cid:CountryStoreKR_NetSales.png"  width=1500&gt;&lt;br&gt;&lt;img src="cid:SubCategoryKR_NetSales.png"   width=1500&gt;&lt;br&gt;Generated at 4/12/22 06:33:53&lt;br&gt;&lt;br&gt;CDAPHKGRPA03&lt;/BODY&gt;</v>
      </c>
      <c r="F8" s="21" t="str">
        <f t="shared" ref="F8:F17" si="6">IF(H8="","",G8&amp;"\"&amp;H8)&amp;IF(I8="","",", "&amp;G8&amp;"\"&amp;I8)</f>
        <v>D:\OneDrive-Sync\Christian Dior Couture\APAC Management - Reports - Reports\DClick\Images\CountryStoreKR_NetSales.png, D:\OneDrive-Sync\Christian Dior Couture\APAC Management - Reports - Reports\DClick\Images\SubCategoryKR_NetSales.png</v>
      </c>
      <c r="G8" s="9" t="str">
        <f t="shared" si="4"/>
        <v>D:\OneDrive-Sync\Christian Dior Couture\APAC Management - Reports - Reports\DClick\Images</v>
      </c>
      <c r="H8" s="9" t="s">
        <v>46</v>
      </c>
      <c r="I8" s="9" t="s">
        <v>57</v>
      </c>
      <c r="J8" s="3" t="b">
        <v>0</v>
      </c>
      <c r="K8" s="14" t="b">
        <f t="shared" ca="1" si="1"/>
        <v>0</v>
      </c>
      <c r="L8" s="21" t="str">
        <f t="shared" si="2"/>
        <v>D:\OneDrive-Sync\Christian Dior Couture\APAC Management - Reports - Reports\DClick\Images\CountryStoreKR_NetSales.png</v>
      </c>
      <c r="M8" s="15" cm="1">
        <f t="array" aca="1" ref="M8" ca="1">IF(O8,fileModifiedDate(L8, NOW()),0)</f>
        <v>44899.273530092592</v>
      </c>
      <c r="N8" s="15" t="b">
        <f t="shared" ca="1" si="5"/>
        <v>1</v>
      </c>
      <c r="O8" s="3" t="b" cm="1">
        <f t="array" aca="1" ref="O8" ca="1">IF(L8="",FALSE,FileExists(L8,NOW()))</f>
        <v>1</v>
      </c>
      <c r="P8" s="3">
        <f ca="1">COUNTIFS(log_common!A:A,EmailJobs!A8, log_common!C:C, "&gt;" &amp; const_today)</f>
        <v>1</v>
      </c>
      <c r="Q8" s="16" t="b">
        <v>0</v>
      </c>
      <c r="R8" s="3">
        <v>5</v>
      </c>
      <c r="S8" s="3" t="b">
        <v>0</v>
      </c>
      <c r="T8" s="17">
        <f t="shared" ref="T8:T17" si="7">TIME(0,1,)</f>
        <v>6.9444444444444447E-4</v>
      </c>
      <c r="U8" s="17">
        <f t="shared" ref="U8:U17" si="8">TIME(23,59,0)</f>
        <v>0.99930555555555556</v>
      </c>
      <c r="V8" s="3" t="s">
        <v>82</v>
      </c>
      <c r="X8" s="3" t="str">
        <f ca="1">IF(N8,"OK  ", "FAIL")&amp;" |  " &amp;TEXT(EmailJobs!M8,"D/M/Y hh:mm:ss")&amp;" |  "&amp;EmailJobs!D8 &amp; " " &amp; V8 &amp; "&lt;br&gt;
"</f>
        <v xml:space="preserve">OK   |  4/12/22 06:33:53 |  Daily Sales - Korea VM22&lt;br&gt;
</v>
      </c>
      <c r="AG8" s="19" t="s">
        <v>3</v>
      </c>
    </row>
    <row r="9" spans="1:35" ht="105" x14ac:dyDescent="0.25">
      <c r="A9" s="3">
        <f t="shared" si="3"/>
        <v>8</v>
      </c>
      <c r="B9" s="19"/>
      <c r="C9" s="19" t="s">
        <v>102</v>
      </c>
      <c r="D9" s="21" t="s">
        <v>158</v>
      </c>
      <c r="E9" s="9" t="str">
        <f ca="1">"&lt;BODY&gt;&lt;p&gt;Up to "&amp;Parameters!$C$6&amp;"&lt;br&gt;&lt;img src=""cid:"&amp;H9&amp;"""  width=1500&gt;&lt;br&gt;&lt;img src=""cid:"&amp;I9&amp;"""   width=1500&gt;&lt;br&gt;Generated at "&amp;TEXT(M9,"D/M/Y hh:mm:ss")&amp;"&lt;br&gt;&lt;br&gt;"&amp;const_computername&amp;"&lt;/BODY&gt;"</f>
        <v>&lt;BODY&gt;&lt;p&gt;Up to 03 Dec 2022 Sat&lt;br&gt;&lt;img src="cid:CountryStoreAUNZ_NetSales.png"  width=1500&gt;&lt;br&gt;&lt;img src="cid:SubCategoryAUNZ_NetSales.png"   width=1500&gt;&lt;br&gt;Generated at 4/12/22 06:38:12&lt;br&gt;&lt;br&gt;CDAPHKGRPA03&lt;/BODY&gt;</v>
      </c>
      <c r="F9" s="21" t="str">
        <f t="shared" si="6"/>
        <v>D:\OneDrive-Sync\Christian Dior Couture\APAC Management - Reports - Reports\DClick\Images\CountryStoreAUNZ_NetSales.png, D:\OneDrive-Sync\Christian Dior Couture\APAC Management - Reports - Reports\DClick\Images\SubCategoryAUNZ_NetSales.png</v>
      </c>
      <c r="G9" s="9" t="str">
        <f t="shared" si="4"/>
        <v>D:\OneDrive-Sync\Christian Dior Couture\APAC Management - Reports - Reports\DClick\Images</v>
      </c>
      <c r="H9" s="9" t="s">
        <v>47</v>
      </c>
      <c r="I9" s="9" t="s">
        <v>58</v>
      </c>
      <c r="J9" s="3" t="b">
        <v>0</v>
      </c>
      <c r="K9" s="14" t="b">
        <f t="shared" ca="1" si="1"/>
        <v>0</v>
      </c>
      <c r="L9" s="21" t="str">
        <f t="shared" si="2"/>
        <v>D:\OneDrive-Sync\Christian Dior Couture\APAC Management - Reports - Reports\DClick\Images\CountryStoreAUNZ_NetSales.png</v>
      </c>
      <c r="M9" s="15" cm="1">
        <f t="array" aca="1" ref="M9" ca="1">IF(O9,fileModifiedDate(L9, NOW()),0)</f>
        <v>44899.27652777778</v>
      </c>
      <c r="N9" s="15" t="b">
        <f t="shared" ca="1" si="5"/>
        <v>1</v>
      </c>
      <c r="O9" s="3" t="b" cm="1">
        <f t="array" aca="1" ref="O9" ca="1">IF(L9="",FALSE,FileExists(L9,NOW()))</f>
        <v>1</v>
      </c>
      <c r="P9" s="3">
        <f ca="1">COUNTIFS(log_common!A:A,EmailJobs!A9, log_common!C:C, "&gt;" &amp; const_today)</f>
        <v>0</v>
      </c>
      <c r="Q9" s="24" t="b">
        <v>0</v>
      </c>
      <c r="R9" s="3">
        <v>5</v>
      </c>
      <c r="S9" s="23" t="b">
        <v>1</v>
      </c>
      <c r="T9" s="17">
        <f t="shared" si="7"/>
        <v>6.9444444444444447E-4</v>
      </c>
      <c r="U9" s="17">
        <f t="shared" si="8"/>
        <v>0.99930555555555556</v>
      </c>
      <c r="V9" s="3" t="s">
        <v>82</v>
      </c>
      <c r="X9" s="3" t="str">
        <f ca="1">IF(N9,"OK  ", "FAIL")&amp;" |  " &amp;TEXT(EmailJobs!M9,"D/M/Y hh:mm:ss")&amp;" |  "&amp;EmailJobs!D9 &amp; " " &amp; V9 &amp; "&lt;br&gt;
"</f>
        <v xml:space="preserve">OK   |  4/12/22 06:38:12 |  ARCHIVE - Daily Sales - Australia and New Zealand VM22&lt;br&gt;
</v>
      </c>
      <c r="AG9" s="19" t="s">
        <v>3</v>
      </c>
    </row>
    <row r="10" spans="1:35" ht="105" x14ac:dyDescent="0.25">
      <c r="A10" s="3">
        <f t="shared" si="3"/>
        <v>9</v>
      </c>
      <c r="B10" s="19" t="s">
        <v>99</v>
      </c>
      <c r="C10" s="19" t="s">
        <v>102</v>
      </c>
      <c r="D10" s="9" t="s">
        <v>61</v>
      </c>
      <c r="E10" s="9" t="str">
        <f ca="1">"&lt;BODY&gt;&lt;p&gt;Up to "&amp;Parameters!$C$6&amp;"&lt;br&gt;&lt;img src=""cid:"&amp;H10&amp;"""  width=1500&gt;&lt;br&gt;&lt;img src=""cid:"&amp;I10&amp;"""   width=1500&gt;&lt;br&gt;Generated at "&amp;TEXT(M10,"D/M/Y hh:mm:ss")&amp;"&lt;br&gt;&lt;br&gt;"&amp;const_computername&amp;"&lt;/BODY&gt;"</f>
        <v>&lt;BODY&gt;&lt;p&gt;Up to 03 Dec 2022 Sat&lt;br&gt;&lt;img src="cid:CountryStoreSG_NetSales.png"  width=1500&gt;&lt;br&gt;&lt;img src="cid:SubCategorySG_NetSales.png"   width=1500&gt;&lt;br&gt;Generated at 4/12/22 06:43:37&lt;br&gt;&lt;br&gt;CDAPHKGRPA03&lt;/BODY&gt;</v>
      </c>
      <c r="F10" s="21" t="str">
        <f t="shared" si="6"/>
        <v>D:\OneDrive-Sync\Christian Dior Couture\APAC Management - Reports - Reports\DClick\Images\CountryStoreSG_NetSales.png, D:\OneDrive-Sync\Christian Dior Couture\APAC Management - Reports - Reports\DClick\Images\SubCategorySG_NetSales.png</v>
      </c>
      <c r="G10" s="9" t="str">
        <f t="shared" si="4"/>
        <v>D:\OneDrive-Sync\Christian Dior Couture\APAC Management - Reports - Reports\DClick\Images</v>
      </c>
      <c r="H10" s="9" t="s">
        <v>48</v>
      </c>
      <c r="I10" s="9" t="s">
        <v>76</v>
      </c>
      <c r="J10" s="3" t="b">
        <v>0</v>
      </c>
      <c r="K10" s="14" t="b">
        <f t="shared" ca="1" si="1"/>
        <v>0</v>
      </c>
      <c r="L10" s="21" t="str">
        <f t="shared" si="2"/>
        <v>D:\OneDrive-Sync\Christian Dior Couture\APAC Management - Reports - Reports\DClick\Images\CountryStoreSG_NetSales.png</v>
      </c>
      <c r="M10" s="15" cm="1">
        <f t="array" aca="1" ref="M10" ca="1">IF(O10,fileModifiedDate(L10, NOW()),0)</f>
        <v>44899.280289351853</v>
      </c>
      <c r="N10" s="15" t="b">
        <f t="shared" ca="1" si="5"/>
        <v>1</v>
      </c>
      <c r="O10" s="3" t="b" cm="1">
        <f t="array" aca="1" ref="O10" ca="1">IF(L10="",FALSE,FileExists(L10,NOW()))</f>
        <v>1</v>
      </c>
      <c r="P10" s="3">
        <f ca="1">COUNTIFS(log_common!A:A,EmailJobs!A10, log_common!C:C, "&gt;" &amp; const_today)</f>
        <v>1</v>
      </c>
      <c r="Q10" s="16" t="b">
        <v>0</v>
      </c>
      <c r="R10" s="3">
        <v>5</v>
      </c>
      <c r="S10" s="3" t="b">
        <v>0</v>
      </c>
      <c r="T10" s="17">
        <f t="shared" si="7"/>
        <v>6.9444444444444447E-4</v>
      </c>
      <c r="U10" s="17">
        <f t="shared" si="8"/>
        <v>0.99930555555555556</v>
      </c>
      <c r="V10" s="3" t="s">
        <v>82</v>
      </c>
      <c r="X10" s="3" t="str">
        <f ca="1">IF(N10,"OK  ", "FAIL")&amp;" |  " &amp;TEXT(EmailJobs!M10,"D/M/Y hh:mm:ss")&amp;" |  "&amp;EmailJobs!D10 &amp; " " &amp; V10 &amp; "&lt;br&gt;
"</f>
        <v xml:space="preserve">OK   |  4/12/22 06:43:37 |  Daily Sales - Singapore VM22&lt;br&gt;
</v>
      </c>
      <c r="AG10" s="19" t="s">
        <v>3</v>
      </c>
    </row>
    <row r="11" spans="1:35" ht="105" x14ac:dyDescent="0.25">
      <c r="A11" s="3">
        <f t="shared" si="3"/>
        <v>10</v>
      </c>
      <c r="B11" s="19" t="s">
        <v>98</v>
      </c>
      <c r="C11" s="19" t="s">
        <v>102</v>
      </c>
      <c r="D11" s="9" t="s">
        <v>62</v>
      </c>
      <c r="E11" s="9" t="str">
        <f ca="1">"&lt;BODY&gt;&lt;p&gt;Up to "&amp;Parameters!$C$6&amp;"&lt;br&gt;&lt;img src=""cid:"&amp;H11&amp;"""  width=1500&gt;&lt;br&gt;&lt;img src=""cid:"&amp;I11&amp;"""   width=1500&gt;&lt;br&gt;Generated at "&amp;TEXT(M11,"D/M/Y hh:mm:ss")&amp;"&lt;br&gt;&lt;br&gt;"&amp;const_computername&amp;"&lt;/BODY&gt;"</f>
        <v>&lt;BODY&gt;&lt;p&gt;Up to 03 Dec 2022 Sat&lt;br&gt;&lt;img src="cid:CountryStoreMY_NetSales.png"  width=1500&gt;&lt;br&gt;&lt;img src="cid:SubCategoryMY_NetSales.png"   width=1500&gt;&lt;br&gt;Generated at 4/12/22 06:45:41&lt;br&gt;&lt;br&gt;CDAPHKGRPA03&lt;/BODY&gt;</v>
      </c>
      <c r="F11" s="21" t="str">
        <f t="shared" si="6"/>
        <v>D:\OneDrive-Sync\Christian Dior Couture\APAC Management - Reports - Reports\DClick\Images\CountryStoreMY_NetSales.png, D:\OneDrive-Sync\Christian Dior Couture\APAC Management - Reports - Reports\DClick\Images\SubCategoryMY_NetSales.png</v>
      </c>
      <c r="G11" s="9" t="str">
        <f t="shared" si="4"/>
        <v>D:\OneDrive-Sync\Christian Dior Couture\APAC Management - Reports - Reports\DClick\Images</v>
      </c>
      <c r="H11" s="9" t="s">
        <v>49</v>
      </c>
      <c r="I11" s="9" t="s">
        <v>75</v>
      </c>
      <c r="J11" s="3" t="b">
        <v>0</v>
      </c>
      <c r="K11" s="14" t="b">
        <f t="shared" ca="1" si="1"/>
        <v>0</v>
      </c>
      <c r="L11" s="21" t="str">
        <f t="shared" si="2"/>
        <v>D:\OneDrive-Sync\Christian Dior Couture\APAC Management - Reports - Reports\DClick\Images\CountryStoreMY_NetSales.png</v>
      </c>
      <c r="M11" s="15" cm="1">
        <f t="array" aca="1" ref="M11" ca="1">IF(O11,fileModifiedDate(L11, NOW()),0)</f>
        <v>44899.281724537039</v>
      </c>
      <c r="N11" s="15" t="b">
        <f t="shared" ca="1" si="5"/>
        <v>1</v>
      </c>
      <c r="O11" s="3" t="b" cm="1">
        <f t="array" aca="1" ref="O11" ca="1">IF(L11="",FALSE,FileExists(L11,NOW()))</f>
        <v>1</v>
      </c>
      <c r="P11" s="3">
        <f ca="1">COUNTIFS(log_common!A:A,EmailJobs!A11, log_common!C:C, "&gt;" &amp; const_today)</f>
        <v>1</v>
      </c>
      <c r="Q11" s="16" t="b">
        <v>0</v>
      </c>
      <c r="R11" s="3">
        <v>5</v>
      </c>
      <c r="S11" s="3" t="b">
        <v>0</v>
      </c>
      <c r="T11" s="17">
        <f t="shared" si="7"/>
        <v>6.9444444444444447E-4</v>
      </c>
      <c r="U11" s="17">
        <f t="shared" si="8"/>
        <v>0.99930555555555556</v>
      </c>
      <c r="V11" s="3" t="s">
        <v>82</v>
      </c>
      <c r="X11" s="3" t="str">
        <f ca="1">IF(N11,"OK  ", "FAIL")&amp;" |  " &amp;TEXT(EmailJobs!M11,"D/M/Y hh:mm:ss")&amp;" |  "&amp;EmailJobs!D11 &amp; " " &amp; V11 &amp; "&lt;br&gt;
"</f>
        <v xml:space="preserve">OK   |  4/12/22 06:45:41 |  Daily Sales - Malaysia VM22&lt;br&gt;
</v>
      </c>
      <c r="AG11" s="19" t="s">
        <v>3</v>
      </c>
    </row>
    <row r="12" spans="1:35" ht="105" x14ac:dyDescent="0.25">
      <c r="A12" s="3">
        <f t="shared" si="3"/>
        <v>11</v>
      </c>
      <c r="B12" s="19" t="s">
        <v>97</v>
      </c>
      <c r="C12" s="19" t="s">
        <v>102</v>
      </c>
      <c r="D12" s="9" t="s">
        <v>63</v>
      </c>
      <c r="E12" s="9" t="str">
        <f ca="1">"&lt;BODY&gt;&lt;p&gt;Up to "&amp;Parameters!$C$6&amp;"&lt;br&gt;&lt;img src=""cid:"&amp;H12&amp;"""  width=1500&gt;&lt;br&gt;&lt;img src=""cid:"&amp;I12&amp;"""   width=1500&gt;&lt;br&gt;Generated at "&amp;TEXT(M12,"D/M/Y hh:mm:ss")&amp;"&lt;br&gt;&lt;br&gt;"&amp;const_computername&amp;"&lt;/BODY&gt;"</f>
        <v>&lt;BODY&gt;&lt;p&gt;Up to 03 Dec 2022 Sat&lt;br&gt;&lt;img src="cid:CountryStoreID_NetSales.png"  width=1500&gt;&lt;br&gt;&lt;img src="cid:SubCategoryID_NetSales.png"   width=1500&gt;&lt;br&gt;Generated at 4/12/22 06:49:52&lt;br&gt;&lt;br&gt;CDAPHKGRPA03&lt;/BODY&gt;</v>
      </c>
      <c r="F12" s="21" t="str">
        <f t="shared" si="6"/>
        <v>D:\OneDrive-Sync\Christian Dior Couture\APAC Management - Reports - Reports\DClick\Images\CountryStoreID_NetSales.png, D:\OneDrive-Sync\Christian Dior Couture\APAC Management - Reports - Reports\DClick\Images\SubCategoryID_NetSales.png</v>
      </c>
      <c r="G12" s="9" t="str">
        <f t="shared" si="4"/>
        <v>D:\OneDrive-Sync\Christian Dior Couture\APAC Management - Reports - Reports\DClick\Images</v>
      </c>
      <c r="H12" s="9" t="s">
        <v>50</v>
      </c>
      <c r="I12" s="9" t="s">
        <v>74</v>
      </c>
      <c r="J12" s="3" t="b">
        <v>0</v>
      </c>
      <c r="K12" s="14" t="b">
        <f t="shared" ca="1" si="1"/>
        <v>0</v>
      </c>
      <c r="L12" s="21" t="str">
        <f t="shared" si="2"/>
        <v>D:\OneDrive-Sync\Christian Dior Couture\APAC Management - Reports - Reports\DClick\Images\CountryStoreID_NetSales.png</v>
      </c>
      <c r="M12" s="15" cm="1">
        <f t="array" aca="1" ref="M12" ca="1">IF(O12,fileModifiedDate(L12, NOW()),0)</f>
        <v>44899.284629629627</v>
      </c>
      <c r="N12" s="15" t="b">
        <f t="shared" ca="1" si="5"/>
        <v>1</v>
      </c>
      <c r="O12" s="3" t="b" cm="1">
        <f t="array" aca="1" ref="O12" ca="1">IF(L12="",FALSE,FileExists(L12,NOW()))</f>
        <v>1</v>
      </c>
      <c r="P12" s="3">
        <f ca="1">COUNTIFS(log_common!A:A,EmailJobs!A12, log_common!C:C, "&gt;" &amp; const_today)</f>
        <v>1</v>
      </c>
      <c r="Q12" s="16" t="b">
        <v>0</v>
      </c>
      <c r="R12" s="3">
        <v>5</v>
      </c>
      <c r="S12" s="3" t="b">
        <v>0</v>
      </c>
      <c r="T12" s="17">
        <f t="shared" si="7"/>
        <v>6.9444444444444447E-4</v>
      </c>
      <c r="U12" s="17">
        <f t="shared" si="8"/>
        <v>0.99930555555555556</v>
      </c>
      <c r="V12" s="3" t="s">
        <v>82</v>
      </c>
      <c r="X12" s="3" t="str">
        <f ca="1">IF(N12,"OK  ", "FAIL")&amp;" |  " &amp;TEXT(EmailJobs!M12,"D/M/Y hh:mm:ss")&amp;" |  "&amp;EmailJobs!D12 &amp; " " &amp; V12 &amp; "&lt;br&gt;
"</f>
        <v xml:space="preserve">OK   |  4/12/22 06:49:52 |  Daily Sales - Indonesia VM22&lt;br&gt;
</v>
      </c>
      <c r="AG12" s="19" t="s">
        <v>3</v>
      </c>
    </row>
    <row r="13" spans="1:35" ht="105" x14ac:dyDescent="0.25">
      <c r="A13" s="3">
        <f t="shared" si="3"/>
        <v>12</v>
      </c>
      <c r="B13" s="19" t="s">
        <v>101</v>
      </c>
      <c r="C13" s="19" t="s">
        <v>102</v>
      </c>
      <c r="D13" s="9" t="s">
        <v>64</v>
      </c>
      <c r="E13" s="9" t="str">
        <f ca="1">"&lt;BODY&gt;&lt;p&gt;Up to "&amp;Parameters!$C$6&amp;"&lt;br&gt;&lt;img src=""cid:"&amp;H13&amp;"""  width=1500&gt;&lt;br&gt;&lt;img src=""cid:"&amp;I13&amp;"""   width=1500&gt;&lt;br&gt;Generated at "&amp;TEXT(M13,"D/M/Y hh:mm:ss")&amp;"&lt;br&gt;&lt;br&gt;"&amp;const_computername&amp;"&lt;/BODY&gt;"</f>
        <v>&lt;BODY&gt;&lt;p&gt;Up to 03 Dec 2022 Sat&lt;br&gt;&lt;img src="cid:CountryStoreIN_NetSales.png"  width=1500&gt;&lt;br&gt;&lt;img src="cid:SubCategoryIN_NetSales.png"   width=1500&gt;&lt;br&gt;Generated at 4/12/22 06:47:46&lt;br&gt;&lt;br&gt;CDAPHKGRPA03&lt;/BODY&gt;</v>
      </c>
      <c r="F13" s="21" t="str">
        <f t="shared" si="6"/>
        <v>D:\OneDrive-Sync\Christian Dior Couture\APAC Management - Reports - Reports\DClick\Images\CountryStoreIN_NetSales.png, D:\OneDrive-Sync\Christian Dior Couture\APAC Management - Reports - Reports\DClick\Images\SubCategoryIN_NetSales.png</v>
      </c>
      <c r="G13" s="9" t="str">
        <f t="shared" si="4"/>
        <v>D:\OneDrive-Sync\Christian Dior Couture\APAC Management - Reports - Reports\DClick\Images</v>
      </c>
      <c r="H13" s="9" t="s">
        <v>51</v>
      </c>
      <c r="I13" s="9" t="s">
        <v>73</v>
      </c>
      <c r="J13" s="3" t="b">
        <v>0</v>
      </c>
      <c r="K13" s="14" t="b">
        <f t="shared" ca="1" si="1"/>
        <v>0</v>
      </c>
      <c r="L13" s="21" t="str">
        <f t="shared" si="2"/>
        <v>D:\OneDrive-Sync\Christian Dior Couture\APAC Management - Reports - Reports\DClick\Images\CountryStoreIN_NetSales.png</v>
      </c>
      <c r="M13" s="15" cm="1">
        <f t="array" aca="1" ref="M13" ca="1">IF(O13,fileModifiedDate(L13, NOW()),0)</f>
        <v>44899.283171296294</v>
      </c>
      <c r="N13" s="15" t="b">
        <f t="shared" ca="1" si="5"/>
        <v>1</v>
      </c>
      <c r="O13" s="3" t="b" cm="1">
        <f t="array" aca="1" ref="O13" ca="1">IF(L13="",FALSE,FileExists(L13,NOW()))</f>
        <v>1</v>
      </c>
      <c r="P13" s="3">
        <f ca="1">COUNTIFS(log_common!A:A,EmailJobs!A13, log_common!C:C, "&gt;" &amp; const_today)</f>
        <v>1</v>
      </c>
      <c r="Q13" s="16" t="b">
        <v>0</v>
      </c>
      <c r="R13" s="3">
        <v>5</v>
      </c>
      <c r="S13" s="3" t="b">
        <v>0</v>
      </c>
      <c r="T13" s="17">
        <f t="shared" si="7"/>
        <v>6.9444444444444447E-4</v>
      </c>
      <c r="U13" s="17">
        <f t="shared" si="8"/>
        <v>0.99930555555555556</v>
      </c>
      <c r="V13" s="3" t="s">
        <v>82</v>
      </c>
      <c r="X13" s="3" t="str">
        <f ca="1">IF(N13,"OK  ", "FAIL")&amp;" |  " &amp;TEXT(EmailJobs!M13,"D/M/Y hh:mm:ss")&amp;" |  "&amp;EmailJobs!D13 &amp; " " &amp; V13 &amp; "&lt;br&gt;
"</f>
        <v xml:space="preserve">OK   |  4/12/22 06:47:46 |  Daily Sales - India VM22&lt;br&gt;
</v>
      </c>
      <c r="AG13" s="19" t="s">
        <v>3</v>
      </c>
    </row>
    <row r="14" spans="1:35" ht="105" x14ac:dyDescent="0.25">
      <c r="A14" s="3">
        <f t="shared" si="3"/>
        <v>13</v>
      </c>
      <c r="B14" s="19" t="s">
        <v>126</v>
      </c>
      <c r="C14" s="19" t="s">
        <v>102</v>
      </c>
      <c r="D14" s="9" t="s">
        <v>65</v>
      </c>
      <c r="E14" s="9" t="str">
        <f ca="1">"&lt;BODY&gt;&lt;p&gt;Up to "&amp;Parameters!$C$6&amp;"&lt;br&gt;&lt;img src=""cid:"&amp;H14&amp;"""  width=1500&gt;&lt;br&gt;&lt;img src=""cid:"&amp;I14&amp;"""   width=1500&gt;&lt;br&gt;Generated at "&amp;TEXT(M14,"D/M/Y hh:mm:ss")&amp;"&lt;br&gt;&lt;br&gt;"&amp;const_computername&amp;"&lt;/BODY&gt;"</f>
        <v>&lt;BODY&gt;&lt;p&gt;Up to 03 Dec 2022 Sat&lt;br&gt;&lt;img src="cid:CountryStoreVN_NetSales.png"  width=1500&gt;&lt;br&gt;&lt;img src="cid:SubCategoryVN_NetSales.png"   width=1500&gt;&lt;br&gt;Generated at 4/12/22 06:58:08&lt;br&gt;&lt;br&gt;CDAPHKGRPA03&lt;/BODY&gt;</v>
      </c>
      <c r="F14" s="21" t="str">
        <f t="shared" si="6"/>
        <v>D:\OneDrive-Sync\Christian Dior Couture\APAC Management - Reports - Reports\DClick\Images\CountryStoreVN_NetSales.png, D:\OneDrive-Sync\Christian Dior Couture\APAC Management - Reports - Reports\DClick\Images\SubCategoryVN_NetSales.png</v>
      </c>
      <c r="G14" s="9" t="str">
        <f t="shared" si="4"/>
        <v>D:\OneDrive-Sync\Christian Dior Couture\APAC Management - Reports - Reports\DClick\Images</v>
      </c>
      <c r="H14" s="9" t="s">
        <v>52</v>
      </c>
      <c r="I14" s="9" t="s">
        <v>72</v>
      </c>
      <c r="J14" s="3" t="b">
        <v>0</v>
      </c>
      <c r="K14" s="14" t="b">
        <f t="shared" ca="1" si="1"/>
        <v>0</v>
      </c>
      <c r="L14" s="21" t="str">
        <f t="shared" si="2"/>
        <v>D:\OneDrive-Sync\Christian Dior Couture\APAC Management - Reports - Reports\DClick\Images\CountryStoreVN_NetSales.png</v>
      </c>
      <c r="M14" s="15" cm="1">
        <f t="array" aca="1" ref="M14" ca="1">IF(O14,fileModifiedDate(L14, NOW()),0)</f>
        <v>44899.290370370371</v>
      </c>
      <c r="N14" s="15" t="b">
        <f t="shared" ca="1" si="5"/>
        <v>1</v>
      </c>
      <c r="O14" s="3" t="b" cm="1">
        <f t="array" aca="1" ref="O14" ca="1">IF(L14="",FALSE,FileExists(L14,NOW()))</f>
        <v>1</v>
      </c>
      <c r="P14" s="3">
        <f ca="1">COUNTIFS(log_common!A:A,EmailJobs!A14, log_common!C:C, "&gt;" &amp; const_today)</f>
        <v>1</v>
      </c>
      <c r="Q14" s="16" t="b">
        <v>0</v>
      </c>
      <c r="R14" s="3">
        <v>5</v>
      </c>
      <c r="S14" s="3" t="b">
        <v>0</v>
      </c>
      <c r="T14" s="17">
        <f t="shared" si="7"/>
        <v>6.9444444444444447E-4</v>
      </c>
      <c r="U14" s="17">
        <f t="shared" si="8"/>
        <v>0.99930555555555556</v>
      </c>
      <c r="V14" s="3" t="s">
        <v>82</v>
      </c>
      <c r="X14" s="3" t="str">
        <f ca="1">IF(N14,"OK  ", "FAIL")&amp;" |  " &amp;TEXT(EmailJobs!M14,"D/M/Y hh:mm:ss")&amp;" |  "&amp;EmailJobs!D14 &amp; " " &amp; V14 &amp; "&lt;br&gt;
"</f>
        <v xml:space="preserve">OK   |  4/12/22 06:58:08 |  Daily Sales - Vietnam VM22&lt;br&gt;
</v>
      </c>
      <c r="AG14" s="19" t="s">
        <v>3</v>
      </c>
    </row>
    <row r="15" spans="1:35" ht="105" x14ac:dyDescent="0.25">
      <c r="A15" s="3">
        <f t="shared" si="3"/>
        <v>14</v>
      </c>
      <c r="B15" s="19" t="s">
        <v>100</v>
      </c>
      <c r="C15" s="19" t="s">
        <v>102</v>
      </c>
      <c r="D15" s="9" t="s">
        <v>66</v>
      </c>
      <c r="E15" s="9" t="str">
        <f ca="1">"&lt;BODY&gt;&lt;p&gt;Up to "&amp;Parameters!$C$6&amp;"&lt;br&gt;&lt;img src=""cid:"&amp;H15&amp;"""  width=1500&gt;&lt;br&gt;&lt;img src=""cid:"&amp;I15&amp;"""   width=1500&gt;&lt;br&gt;Generated at "&amp;TEXT(M15,"D/M/Y hh:mm:ss")&amp;"&lt;br&gt;&lt;br&gt;"&amp;const_computername&amp;"&lt;/BODY&gt;"</f>
        <v>&lt;BODY&gt;&lt;p&gt;Up to 03 Dec 2022 Sat&lt;br&gt;&lt;img src="cid:CountryStoreTH_NetSales.png"  width=1500&gt;&lt;br&gt;&lt;img src="cid:SubCategoryTH_NetSales.png"   width=1500&gt;&lt;br&gt;Generated at 4/12/22 06:56:03&lt;br&gt;&lt;br&gt;CDAPHKGRPA03&lt;/BODY&gt;</v>
      </c>
      <c r="F15" s="21" t="str">
        <f t="shared" si="6"/>
        <v>D:\OneDrive-Sync\Christian Dior Couture\APAC Management - Reports - Reports\DClick\Images\CountryStoreTH_NetSales.png, D:\OneDrive-Sync\Christian Dior Couture\APAC Management - Reports - Reports\DClick\Images\SubCategoryTH_NetSales.png</v>
      </c>
      <c r="G15" s="9" t="str">
        <f t="shared" si="4"/>
        <v>D:\OneDrive-Sync\Christian Dior Couture\APAC Management - Reports - Reports\DClick\Images</v>
      </c>
      <c r="H15" s="9" t="s">
        <v>53</v>
      </c>
      <c r="I15" s="9" t="s">
        <v>71</v>
      </c>
      <c r="J15" s="3" t="b">
        <v>0</v>
      </c>
      <c r="K15" s="14" t="b">
        <f t="shared" ca="1" si="1"/>
        <v>0</v>
      </c>
      <c r="L15" s="21" t="str">
        <f t="shared" si="2"/>
        <v>D:\OneDrive-Sync\Christian Dior Couture\APAC Management - Reports - Reports\DClick\Images\CountryStoreTH_NetSales.png</v>
      </c>
      <c r="M15" s="15" cm="1">
        <f t="array" aca="1" ref="M15" ca="1">IF(O15,fileModifiedDate(L15, NOW()),0)</f>
        <v>44899.288923611108</v>
      </c>
      <c r="N15" s="15" t="b">
        <f t="shared" ca="1" si="5"/>
        <v>1</v>
      </c>
      <c r="O15" s="3" t="b" cm="1">
        <f t="array" aca="1" ref="O15" ca="1">IF(L15="",FALSE,FileExists(L15,NOW()))</f>
        <v>1</v>
      </c>
      <c r="P15" s="3">
        <f ca="1">COUNTIFS(log_common!A:A,EmailJobs!A15, log_common!C:C, "&gt;" &amp; const_today)</f>
        <v>1</v>
      </c>
      <c r="Q15" s="16" t="b">
        <v>0</v>
      </c>
      <c r="R15" s="3">
        <v>5</v>
      </c>
      <c r="S15" s="3" t="b">
        <v>0</v>
      </c>
      <c r="T15" s="17">
        <f t="shared" si="7"/>
        <v>6.9444444444444447E-4</v>
      </c>
      <c r="U15" s="17">
        <f t="shared" si="8"/>
        <v>0.99930555555555556</v>
      </c>
      <c r="V15" s="3" t="s">
        <v>82</v>
      </c>
      <c r="X15" s="3" t="str">
        <f ca="1">IF(N15,"OK  ", "FAIL")&amp;" |  " &amp;TEXT(EmailJobs!M15,"D/M/Y hh:mm:ss")&amp;" |  "&amp;EmailJobs!D15 &amp; " " &amp; V15 &amp; "&lt;br&gt;
"</f>
        <v xml:space="preserve">OK   |  4/12/22 06:56:03 |  Daily Sales - Thailand VM22&lt;br&gt;
</v>
      </c>
      <c r="AG15" s="19" t="s">
        <v>3</v>
      </c>
    </row>
    <row r="16" spans="1:35" ht="105" x14ac:dyDescent="0.25">
      <c r="A16" s="3">
        <f t="shared" si="3"/>
        <v>15</v>
      </c>
      <c r="B16" s="19"/>
      <c r="C16" s="19" t="s">
        <v>102</v>
      </c>
      <c r="D16" s="21" t="s">
        <v>157</v>
      </c>
      <c r="E16" s="9" t="str">
        <f ca="1">"&lt;BODY&gt;&lt;p&gt;Up to "&amp;Parameters!$C$6&amp;"&lt;br&gt;&lt;img src=""cid:"&amp;H16&amp;"""  width=1500&gt;&lt;br&gt;&lt;img src=""cid:"&amp;I16&amp;"""   width=1500&gt;&lt;br&gt;Generated at "&amp;TEXT(M16,"D/M/Y hh:mm:ss")&amp;"&lt;br&gt;&lt;br&gt;"&amp;const_computername&amp;"&lt;/BODY&gt;"</f>
        <v>&lt;BODY&gt;&lt;p&gt;Up to 03 Dec 2022 Sat&lt;br&gt;&lt;img src="cid:CountryStoreTW_NetSales.png"  width=1500&gt;&lt;br&gt;&lt;img src="cid:SubCategoryTW_NetSales.png"   width=1500&gt;&lt;br&gt;Generated at 4/12/22 06:54:00&lt;br&gt;&lt;br&gt;CDAPHKGRPA03&lt;/BODY&gt;</v>
      </c>
      <c r="F16" s="21" t="str">
        <f t="shared" si="6"/>
        <v>D:\OneDrive-Sync\Christian Dior Couture\APAC Management - Reports - Reports\DClick\Images\CountryStoreTW_NetSales.png, D:\OneDrive-Sync\Christian Dior Couture\APAC Management - Reports - Reports\DClick\Images\SubCategoryTW_NetSales.png</v>
      </c>
      <c r="G16" s="9" t="str">
        <f t="shared" si="4"/>
        <v>D:\OneDrive-Sync\Christian Dior Couture\APAC Management - Reports - Reports\DClick\Images</v>
      </c>
      <c r="H16" s="9" t="s">
        <v>54</v>
      </c>
      <c r="I16" s="9" t="s">
        <v>70</v>
      </c>
      <c r="J16" s="3" t="b">
        <v>0</v>
      </c>
      <c r="K16" s="14" t="b">
        <f t="shared" ca="1" si="1"/>
        <v>0</v>
      </c>
      <c r="L16" s="21" t="str">
        <f t="shared" si="2"/>
        <v>D:\OneDrive-Sync\Christian Dior Couture\APAC Management - Reports - Reports\DClick\Images\CountryStoreTW_NetSales.png</v>
      </c>
      <c r="M16" s="15" cm="1">
        <f t="array" aca="1" ref="M16" ca="1">IF(O16,fileModifiedDate(L16, NOW()),0)</f>
        <v>44899.287499999999</v>
      </c>
      <c r="N16" s="15" t="b">
        <f t="shared" ca="1" si="5"/>
        <v>1</v>
      </c>
      <c r="O16" s="3" t="b" cm="1">
        <f t="array" aca="1" ref="O16" ca="1">IF(L16="",FALSE,FileExists(L16,NOW()))</f>
        <v>1</v>
      </c>
      <c r="P16" s="3">
        <f ca="1">COUNTIFS(log_common!A:A,EmailJobs!A16, log_common!C:C, "&gt;" &amp; const_today)</f>
        <v>1</v>
      </c>
      <c r="Q16" s="24" t="b">
        <v>0</v>
      </c>
      <c r="R16" s="3">
        <v>5</v>
      </c>
      <c r="S16" s="23" t="b">
        <v>0</v>
      </c>
      <c r="T16" s="17">
        <f t="shared" si="7"/>
        <v>6.9444444444444447E-4</v>
      </c>
      <c r="U16" s="17">
        <f t="shared" si="8"/>
        <v>0.99930555555555556</v>
      </c>
      <c r="V16" s="3" t="s">
        <v>82</v>
      </c>
      <c r="X16" s="3" t="str">
        <f ca="1">IF(N16,"OK  ", "FAIL")&amp;" |  " &amp;TEXT(EmailJobs!M16,"D/M/Y hh:mm:ss")&amp;" |  "&amp;EmailJobs!D16 &amp; " " &amp; V16 &amp; "&lt;br&gt;
"</f>
        <v xml:space="preserve">OK   |  4/12/22 06:54:00 |  ARCHIVE - Daily Sales - Taiwan VM22&lt;br&gt;
</v>
      </c>
      <c r="AG16" s="19" t="s">
        <v>3</v>
      </c>
    </row>
    <row r="17" spans="1:33" ht="105" x14ac:dyDescent="0.25">
      <c r="A17" s="3">
        <f t="shared" si="3"/>
        <v>16</v>
      </c>
      <c r="B17" s="19" t="s">
        <v>103</v>
      </c>
      <c r="C17" s="19" t="s">
        <v>102</v>
      </c>
      <c r="D17" s="9" t="s">
        <v>68</v>
      </c>
      <c r="E17" s="9" t="str">
        <f ca="1">"&lt;BODY&gt;&lt;p&gt;Up to "&amp;Parameters!$C$6&amp;"&lt;br&gt;&lt;img src=""cid:"&amp;H17&amp;"""  width=1500&gt;&lt;br&gt;&lt;img src=""cid:"&amp;I17&amp;"""   width=1500&gt;&lt;br&gt;Generated at "&amp;TEXT(M17,"D/M/Y hh:mm:ss")&amp;"&lt;br&gt;&lt;br&gt;"&amp;const_computername&amp;"&lt;/BODY&gt;"</f>
        <v>&lt;BODY&gt;&lt;p&gt;Up to 03 Dec 2022 Sat&lt;br&gt;&lt;img src="cid:CountryStorePH_NetSales.png"  width=1500&gt;&lt;br&gt;&lt;img src="cid:SubCategoryPH_NetSales.png"   width=1500&gt;&lt;br&gt;Generated at 4/12/22 06:51:57&lt;br&gt;&lt;br&gt;CDAPHKGRPA03&lt;/BODY&gt;</v>
      </c>
      <c r="F17" s="21" t="str">
        <f t="shared" si="6"/>
        <v>D:\OneDrive-Sync\Christian Dior Couture\APAC Management - Reports - Reports\DClick\Images\CountryStorePH_NetSales.png, D:\OneDrive-Sync\Christian Dior Couture\APAC Management - Reports - Reports\DClick\Images\SubCategoryPH_NetSales.png</v>
      </c>
      <c r="G17" s="9" t="str">
        <f t="shared" si="4"/>
        <v>D:\OneDrive-Sync\Christian Dior Couture\APAC Management - Reports - Reports\DClick\Images</v>
      </c>
      <c r="H17" s="9" t="s">
        <v>55</v>
      </c>
      <c r="I17" s="9" t="s">
        <v>69</v>
      </c>
      <c r="J17" s="3" t="b">
        <v>0</v>
      </c>
      <c r="K17" s="14" t="b">
        <f t="shared" ca="1" si="1"/>
        <v>0</v>
      </c>
      <c r="L17" s="21" t="str">
        <f t="shared" si="2"/>
        <v>D:\OneDrive-Sync\Christian Dior Couture\APAC Management - Reports - Reports\DClick\Images\CountryStorePH_NetSales.png</v>
      </c>
      <c r="M17" s="15" cm="1">
        <f t="array" aca="1" ref="M17" ca="1">IF(O17,fileModifiedDate(L17, NOW()),0)</f>
        <v>44899.286076388889</v>
      </c>
      <c r="N17" s="15" t="b">
        <f t="shared" ca="1" si="5"/>
        <v>1</v>
      </c>
      <c r="O17" s="3" t="b" cm="1">
        <f t="array" aca="1" ref="O17" ca="1">IF(L17="",FALSE,FileExists(L17,NOW()))</f>
        <v>1</v>
      </c>
      <c r="P17" s="3">
        <f ca="1">COUNTIFS(log_common!A:A,EmailJobs!A17, log_common!C:C, "&gt;" &amp; const_today)</f>
        <v>1</v>
      </c>
      <c r="Q17" s="16" t="b">
        <v>0</v>
      </c>
      <c r="R17" s="3">
        <v>5</v>
      </c>
      <c r="S17" s="3" t="b">
        <v>0</v>
      </c>
      <c r="T17" s="17">
        <f t="shared" si="7"/>
        <v>6.9444444444444447E-4</v>
      </c>
      <c r="U17" s="17">
        <f t="shared" si="8"/>
        <v>0.99930555555555556</v>
      </c>
      <c r="V17" s="3" t="s">
        <v>82</v>
      </c>
      <c r="X17" s="3" t="str">
        <f ca="1">IF(N17,"OK  ", "FAIL")&amp;" |  " &amp;TEXT(EmailJobs!M17,"D/M/Y hh:mm:ss")&amp;" |  "&amp;EmailJobs!D17 &amp; " " &amp; V17 &amp; "&lt;br&gt;
"</f>
        <v xml:space="preserve">OK   |  4/12/22 06:51:57 |  Daily Sales - Philippines VM22&lt;br&gt;
</v>
      </c>
      <c r="AG17" s="19" t="s">
        <v>3</v>
      </c>
    </row>
    <row r="18" spans="1:33" ht="90" x14ac:dyDescent="0.25">
      <c r="A18" s="3">
        <f t="shared" ref="A18:A36" si="9">A17+1</f>
        <v>17</v>
      </c>
      <c r="B18" s="19" t="s">
        <v>8</v>
      </c>
      <c r="C18" s="13"/>
      <c r="D18" s="9" t="s">
        <v>105</v>
      </c>
      <c r="E18" s="9" t="str">
        <f ca="1">"&lt;BODY&gt;&lt;p&gt;Up to "&amp;[1]Parameters!$C$6&amp;"&lt;br&gt;&lt;img src=""cid:"&amp;H18&amp;"""  width=1500&gt;&lt;br&gt;&lt;img src=""cid:"&amp;I18&amp;"""   width=1500&gt;&lt;br&gt;Generated at "&amp;TEXT(M18,"D/M/Y hh:mm:ss")&amp;"&lt;br&gt;&lt;br&gt;"&amp;const_computername&amp;"&lt;/BODY&gt;"</f>
        <v>&lt;BODY&gt;&lt;p&gt;Up to 03 Dec 2022 Sat&lt;br&gt;&lt;img src="cid:wBags_NetSales.png"  width=1500&gt;&lt;br&gt;&lt;img src="cid:wBags_Units.png"   width=1500&gt;&lt;br&gt;Generated at 4/12/22 06:59:27&lt;br&gt;&lt;br&gt;CDAPHKGRPA03&lt;/BODY&gt;</v>
      </c>
      <c r="F18" s="21" t="str">
        <f t="shared" ref="F18:F24" si="10">IF(H18="","",G18&amp;"\"&amp;H18)&amp;IF(I18="","",", "&amp;G18&amp;"\"&amp;I18)</f>
        <v>D:\OneDrive-Sync\Christian Dior Couture\APAC Management - Reports - Reports\DClick\Images\wBags_NetSales.png, D:\OneDrive-Sync\Christian Dior Couture\APAC Management - Reports - Reports\DClick\Images\wBags_Units.png</v>
      </c>
      <c r="G18" s="9" t="str">
        <f t="shared" ref="G18:G24" si="11">const_imagePath</f>
        <v>D:\OneDrive-Sync\Christian Dior Couture\APAC Management - Reports - Reports\DClick\Images</v>
      </c>
      <c r="H18" s="9" t="s">
        <v>112</v>
      </c>
      <c r="I18" s="9" t="s">
        <v>113</v>
      </c>
      <c r="J18" s="3" t="b">
        <v>0</v>
      </c>
      <c r="K18" s="14" t="b">
        <f t="shared" ref="K18:K36" ca="1" si="12">OR(Q18,AND(OR(P18=0),N18,NOT(S18),AND(const_nowTime&gt;=T18,const_nowTime&lt;=U18)))</f>
        <v>0</v>
      </c>
      <c r="L18" s="21" t="str">
        <f t="shared" ref="L18:L24" si="13">IF(H18="","",G18&amp;"\"&amp;H18)</f>
        <v>D:\OneDrive-Sync\Christian Dior Couture\APAC Management - Reports - Reports\DClick\Images\wBags_NetSales.png</v>
      </c>
      <c r="M18" s="15" cm="1">
        <f t="array" aca="1" ref="M18" ca="1">IF(O18,fileModifiedDate(L18, NOW()),0)</f>
        <v>44899.291284722225</v>
      </c>
      <c r="N18" s="15" t="b">
        <f t="shared" ref="N18:N24" ca="1" si="14">M18&gt;const_today</f>
        <v>1</v>
      </c>
      <c r="O18" s="3" t="b" cm="1">
        <f t="array" aca="1" ref="O18" ca="1">IF(L18="",FALSE,FileExists(L18,NOW()))</f>
        <v>1</v>
      </c>
      <c r="P18" s="3">
        <f ca="1">COUNTIFS(log_common!A:A,EmailJobs!A18, log_common!C:C, "&gt;" &amp; const_today)</f>
        <v>1</v>
      </c>
      <c r="Q18" s="16" t="b">
        <v>0</v>
      </c>
      <c r="R18" s="3">
        <v>5</v>
      </c>
      <c r="S18" s="3" t="b">
        <v>0</v>
      </c>
      <c r="T18" s="17">
        <f t="shared" ref="T18:T24" si="15">TIME(0,1,)</f>
        <v>6.9444444444444447E-4</v>
      </c>
      <c r="U18" s="17">
        <f t="shared" ref="U18:U24" si="16">TIME(23,59,0)</f>
        <v>0.99930555555555556</v>
      </c>
      <c r="V18" s="3" t="s">
        <v>82</v>
      </c>
      <c r="X18" s="3" t="str">
        <f ca="1">IF(N18,"OK  ", "FAIL")&amp;" |  " &amp;TEXT(EmailJobs!M18,"D/M/Y hh:mm:ss")&amp;" |  "&amp;EmailJobs!D18 &amp; " " &amp; V18 &amp; "&lt;br&gt;
"</f>
        <v xml:space="preserve">OK   |  4/12/22 06:59:27 |  Report: HB Daily Sale (vs LY) VM22&lt;br&gt;
</v>
      </c>
    </row>
    <row r="19" spans="1:33" ht="90" x14ac:dyDescent="0.25">
      <c r="A19" s="3">
        <f t="shared" si="9"/>
        <v>18</v>
      </c>
      <c r="B19" s="19" t="s">
        <v>8</v>
      </c>
      <c r="C19" s="13"/>
      <c r="D19" s="9" t="s">
        <v>106</v>
      </c>
      <c r="E19" s="9" t="str">
        <f ca="1">"&lt;BODY&gt;&lt;p&gt;Up to "&amp;[1]Parameters!$C$6&amp;"&lt;br&gt;&lt;img src=""cid:"&amp;H19&amp;"""  width=1500&gt;&lt;br&gt;&lt;img src=""cid:"&amp;I19&amp;"""   width=1500&gt;&lt;br&gt;Generated at "&amp;TEXT(M19,"D/M/Y hh:mm:ss")&amp;"&lt;br&gt;&lt;br&gt;"&amp;const_computername&amp;"&lt;/BODY&gt;"</f>
        <v>&lt;BODY&gt;&lt;p&gt;Up to 03 Dec 2022 Sat&lt;br&gt;&lt;img src="cid:wRTW_NetSales.png"  width=1500&gt;&lt;br&gt;&lt;img src="cid:wRTW_Units.png"   width=1500&gt;&lt;br&gt;Generated at 4/12/22 07:01:13&lt;br&gt;&lt;br&gt;CDAPHKGRPA03&lt;/BODY&gt;</v>
      </c>
      <c r="F19" s="21" t="str">
        <f t="shared" si="10"/>
        <v>D:\OneDrive-Sync\Christian Dior Couture\APAC Management - Reports - Reports\DClick\Images\wRTW_NetSales.png, D:\OneDrive-Sync\Christian Dior Couture\APAC Management - Reports - Reports\DClick\Images\wRTW_Units.png</v>
      </c>
      <c r="G19" s="9" t="str">
        <f t="shared" si="11"/>
        <v>D:\OneDrive-Sync\Christian Dior Couture\APAC Management - Reports - Reports\DClick\Images</v>
      </c>
      <c r="H19" s="9" t="s">
        <v>114</v>
      </c>
      <c r="I19" s="9" t="s">
        <v>115</v>
      </c>
      <c r="J19" s="3" t="b">
        <v>0</v>
      </c>
      <c r="K19" s="14" t="b">
        <f t="shared" ca="1" si="12"/>
        <v>0</v>
      </c>
      <c r="L19" s="21" t="str">
        <f t="shared" si="13"/>
        <v>D:\OneDrive-Sync\Christian Dior Couture\APAC Management - Reports - Reports\DClick\Images\wRTW_NetSales.png</v>
      </c>
      <c r="M19" s="15" cm="1">
        <f t="array" aca="1" ref="M19" ca="1">IF(O19,fileModifiedDate(L19, NOW()),0)</f>
        <v>44899.292511574073</v>
      </c>
      <c r="N19" s="15" t="b">
        <f t="shared" ca="1" si="14"/>
        <v>1</v>
      </c>
      <c r="O19" s="3" t="b" cm="1">
        <f t="array" aca="1" ref="O19" ca="1">IF(L19="",FALSE,FileExists(L19,NOW()))</f>
        <v>1</v>
      </c>
      <c r="P19" s="3">
        <f ca="1">COUNTIFS(log_common!A:A,EmailJobs!A19, log_common!C:C, "&gt;" &amp; const_today)</f>
        <v>1</v>
      </c>
      <c r="Q19" s="16" t="b">
        <v>0</v>
      </c>
      <c r="R19" s="3">
        <v>5</v>
      </c>
      <c r="S19" s="3" t="b">
        <v>0</v>
      </c>
      <c r="T19" s="17">
        <f t="shared" si="15"/>
        <v>6.9444444444444447E-4</v>
      </c>
      <c r="U19" s="17">
        <f t="shared" si="16"/>
        <v>0.99930555555555556</v>
      </c>
      <c r="V19" s="3" t="s">
        <v>82</v>
      </c>
      <c r="X19" s="3" t="str">
        <f ca="1">IF(N19,"OK  ", "FAIL")&amp;" |  " &amp;TEXT(EmailJobs!M19,"D/M/Y hh:mm:ss")&amp;" |  "&amp;EmailJobs!D19 &amp; " " &amp; V19 &amp; "&lt;br&gt;
"</f>
        <v xml:space="preserve">OK   |  4/12/22 07:01:13 |  Report: Women Ready to Wear Daily Sale (vs LY) VM22&lt;br&gt;
</v>
      </c>
    </row>
    <row r="20" spans="1:33" ht="90" x14ac:dyDescent="0.25">
      <c r="A20" s="3">
        <f t="shared" si="9"/>
        <v>19</v>
      </c>
      <c r="B20" s="19" t="s">
        <v>8</v>
      </c>
      <c r="C20" s="13"/>
      <c r="D20" s="9" t="s">
        <v>107</v>
      </c>
      <c r="E20" s="9" t="str">
        <f ca="1">"&lt;BODY&gt;&lt;p&gt;Up to "&amp;[1]Parameters!$C$6&amp;"&lt;br&gt;&lt;img src=""cid:"&amp;H20&amp;"""  width=1500&gt;&lt;br&gt;&lt;img src=""cid:"&amp;I20&amp;"""   width=1500&gt;&lt;br&gt;Generated at "&amp;TEXT(M20,"D/M/Y hh:mm:ss")&amp;"&lt;br&gt;&lt;br&gt;"&amp;const_computername&amp;"&lt;/BODY&gt;"</f>
        <v>&lt;BODY&gt;&lt;p&gt;Up to 03 Dec 2022 Sat&lt;br&gt;&lt;img src="cid:wShoes_NetSales.png"  width=1500&gt;&lt;br&gt;&lt;img src="cid:wShoes_Units.png"   width=1500&gt;&lt;br&gt;Generated at 4/12/22 07:03:01&lt;br&gt;&lt;br&gt;CDAPHKGRPA03&lt;/BODY&gt;</v>
      </c>
      <c r="F20" s="21" t="str">
        <f t="shared" si="10"/>
        <v>D:\OneDrive-Sync\Christian Dior Couture\APAC Management - Reports - Reports\DClick\Images\wShoes_NetSales.png, D:\OneDrive-Sync\Christian Dior Couture\APAC Management - Reports - Reports\DClick\Images\wShoes_Units.png</v>
      </c>
      <c r="G20" s="9" t="str">
        <f t="shared" si="11"/>
        <v>D:\OneDrive-Sync\Christian Dior Couture\APAC Management - Reports - Reports\DClick\Images</v>
      </c>
      <c r="H20" s="9" t="s">
        <v>116</v>
      </c>
      <c r="I20" s="9" t="s">
        <v>117</v>
      </c>
      <c r="J20" s="3" t="b">
        <v>0</v>
      </c>
      <c r="K20" s="14" t="b">
        <f t="shared" ca="1" si="12"/>
        <v>0</v>
      </c>
      <c r="L20" s="21" t="str">
        <f t="shared" si="13"/>
        <v>D:\OneDrive-Sync\Christian Dior Couture\APAC Management - Reports - Reports\DClick\Images\wShoes_NetSales.png</v>
      </c>
      <c r="M20" s="15" cm="1">
        <f t="array" aca="1" ref="M20" ca="1">IF(O20,fileModifiedDate(L20, NOW()),0)</f>
        <v>44899.293761574074</v>
      </c>
      <c r="N20" s="15" t="b">
        <f t="shared" ca="1" si="14"/>
        <v>1</v>
      </c>
      <c r="O20" s="3" t="b" cm="1">
        <f t="array" aca="1" ref="O20" ca="1">IF(L20="",FALSE,FileExists(L20,NOW()))</f>
        <v>1</v>
      </c>
      <c r="P20" s="3">
        <f ca="1">COUNTIFS(log_common!A:A,EmailJobs!A20, log_common!C:C, "&gt;" &amp; const_today)</f>
        <v>1</v>
      </c>
      <c r="Q20" s="16" t="b">
        <v>0</v>
      </c>
      <c r="R20" s="3">
        <v>5</v>
      </c>
      <c r="S20" s="3" t="b">
        <v>0</v>
      </c>
      <c r="T20" s="17">
        <f t="shared" si="15"/>
        <v>6.9444444444444447E-4</v>
      </c>
      <c r="U20" s="17">
        <f t="shared" si="16"/>
        <v>0.99930555555555556</v>
      </c>
      <c r="V20" s="3" t="s">
        <v>82</v>
      </c>
      <c r="X20" s="3" t="str">
        <f ca="1">IF(N20,"OK  ", "FAIL")&amp;" |  " &amp;TEXT(EmailJobs!M20,"D/M/Y hh:mm:ss")&amp;" |  "&amp;EmailJobs!D20 &amp; " " &amp; V20 &amp; "&lt;br&gt;
"</f>
        <v xml:space="preserve">OK   |  4/12/22 07:03:01 |  Report: SHOES Daily Sale (vs LY) VM22&lt;br&gt;
</v>
      </c>
    </row>
    <row r="21" spans="1:33" ht="90" x14ac:dyDescent="0.25">
      <c r="A21" s="3">
        <f t="shared" si="9"/>
        <v>20</v>
      </c>
      <c r="B21" s="19" t="s">
        <v>8</v>
      </c>
      <c r="C21" s="13"/>
      <c r="D21" s="9" t="s">
        <v>108</v>
      </c>
      <c r="E21" s="9" t="str">
        <f ca="1">"&lt;BODY&gt;&lt;p&gt;Up to "&amp;[1]Parameters!$C$6&amp;"&lt;br&gt;&lt;img src=""cid:"&amp;H21&amp;"""  width=1500&gt;&lt;br&gt;&lt;img src=""cid:"&amp;I21&amp;"""   width=1500&gt;&lt;br&gt;Generated at "&amp;TEXT(M21,"D/M/Y hh:mm:ss")&amp;"&lt;br&gt;&lt;br&gt;"&amp;const_computername&amp;"&lt;/BODY&gt;"</f>
        <v>&lt;BODY&gt;&lt;p&gt;Up to 03 Dec 2022 Sat&lt;br&gt;&lt;img src="cid:wAccessories_NetSales.png"  width=1500&gt;&lt;br&gt;&lt;img src="cid:wAccessories_Units.png"   width=1500&gt;&lt;br&gt;Generated at 4/12/22 07:04:50&lt;br&gt;&lt;br&gt;CDAPHKGRPA03&lt;/BODY&gt;</v>
      </c>
      <c r="F21" s="21" t="str">
        <f t="shared" si="10"/>
        <v>D:\OneDrive-Sync\Christian Dior Couture\APAC Management - Reports - Reports\DClick\Images\wAccessories_NetSales.png, D:\OneDrive-Sync\Christian Dior Couture\APAC Management - Reports - Reports\DClick\Images\wAccessories_Units.png</v>
      </c>
      <c r="G21" s="9" t="str">
        <f t="shared" si="11"/>
        <v>D:\OneDrive-Sync\Christian Dior Couture\APAC Management - Reports - Reports\DClick\Images</v>
      </c>
      <c r="H21" s="9" t="s">
        <v>118</v>
      </c>
      <c r="I21" s="9" t="s">
        <v>119</v>
      </c>
      <c r="J21" s="3" t="b">
        <v>0</v>
      </c>
      <c r="K21" s="14" t="b">
        <f t="shared" ca="1" si="12"/>
        <v>0</v>
      </c>
      <c r="L21" s="21" t="str">
        <f t="shared" si="13"/>
        <v>D:\OneDrive-Sync\Christian Dior Couture\APAC Management - Reports - Reports\DClick\Images\wAccessories_NetSales.png</v>
      </c>
      <c r="M21" s="15" cm="1">
        <f t="array" aca="1" ref="M21" ca="1">IF(O21,fileModifiedDate(L21, NOW()),0)</f>
        <v>44899.295023148145</v>
      </c>
      <c r="N21" s="15" t="b">
        <f t="shared" ca="1" si="14"/>
        <v>1</v>
      </c>
      <c r="O21" s="3" t="b" cm="1">
        <f t="array" aca="1" ref="O21" ca="1">IF(L21="",FALSE,FileExists(L21,NOW()))</f>
        <v>1</v>
      </c>
      <c r="P21" s="3">
        <f ca="1">COUNTIFS(log_common!A:A,EmailJobs!A21, log_common!C:C, "&gt;" &amp; const_today)</f>
        <v>1</v>
      </c>
      <c r="Q21" s="16" t="b">
        <v>0</v>
      </c>
      <c r="R21" s="3">
        <v>5</v>
      </c>
      <c r="S21" s="3" t="b">
        <v>0</v>
      </c>
      <c r="T21" s="17">
        <f t="shared" si="15"/>
        <v>6.9444444444444447E-4</v>
      </c>
      <c r="U21" s="17">
        <f t="shared" si="16"/>
        <v>0.99930555555555556</v>
      </c>
      <c r="V21" s="3" t="s">
        <v>82</v>
      </c>
      <c r="X21" s="3" t="str">
        <f ca="1">IF(N21,"OK  ", "FAIL")&amp;" |  " &amp;TEXT(EmailJobs!M21,"D/M/Y hh:mm:ss")&amp;" |  "&amp;EmailJobs!D21 &amp; " " &amp; V21 &amp; "&lt;br&gt;
"</f>
        <v xml:space="preserve">OK   |  4/12/22 07:04:50 |  Report: ACCESSORIES Daily Sale (vs LY) VM22&lt;br&gt;
</v>
      </c>
    </row>
    <row r="22" spans="1:33" ht="90" x14ac:dyDescent="0.25">
      <c r="A22" s="3">
        <f t="shared" si="9"/>
        <v>21</v>
      </c>
      <c r="B22" s="19" t="s">
        <v>8</v>
      </c>
      <c r="C22" s="13"/>
      <c r="D22" s="9" t="s">
        <v>109</v>
      </c>
      <c r="E22" s="9" t="str">
        <f ca="1">"&lt;BODY&gt;&lt;p&gt;Up to "&amp;[1]Parameters!$C$6&amp;"&lt;br&gt;&lt;img src=""cid:"&amp;H22&amp;"""  width=1500&gt;&lt;br&gt;&lt;img src=""cid:"&amp;I22&amp;"""   width=1500&gt;&lt;br&gt;Generated at "&amp;TEXT(M22,"D/M/Y hh:mm:ss")&amp;"&lt;br&gt;&lt;br&gt;"&amp;const_computername&amp;"&lt;/BODY&gt;"</f>
        <v>&lt;BODY&gt;&lt;p&gt;Up to 03 Dec 2022 Sat&lt;br&gt;&lt;img src="cid:Mens_NetSales.png"  width=1500&gt;&lt;br&gt;&lt;img src="cid:Mens_Units.png"   width=1500&gt;&lt;br&gt;Generated at 4/12/22 07:08:25&lt;br&gt;&lt;br&gt;CDAPHKGRPA03&lt;/BODY&gt;</v>
      </c>
      <c r="F22" s="21" t="str">
        <f t="shared" si="10"/>
        <v>D:\OneDrive-Sync\Christian Dior Couture\APAC Management - Reports - Reports\DClick\Images\Mens_NetSales.png, D:\OneDrive-Sync\Christian Dior Couture\APAC Management - Reports - Reports\DClick\Images\Mens_Units.png</v>
      </c>
      <c r="G22" s="9" t="str">
        <f t="shared" si="11"/>
        <v>D:\OneDrive-Sync\Christian Dior Couture\APAC Management - Reports - Reports\DClick\Images</v>
      </c>
      <c r="H22" s="9" t="s">
        <v>120</v>
      </c>
      <c r="I22" s="9" t="s">
        <v>121</v>
      </c>
      <c r="J22" s="3" t="b">
        <v>0</v>
      </c>
      <c r="K22" s="14" t="b">
        <f t="shared" ca="1" si="12"/>
        <v>0</v>
      </c>
      <c r="L22" s="21" t="str">
        <f t="shared" si="13"/>
        <v>D:\OneDrive-Sync\Christian Dior Couture\APAC Management - Reports - Reports\DClick\Images\Mens_NetSales.png</v>
      </c>
      <c r="M22" s="15" cm="1">
        <f t="array" aca="1" ref="M22" ca="1">IF(O22,fileModifiedDate(L22, NOW()),0)</f>
        <v>44899.297511574077</v>
      </c>
      <c r="N22" s="15" t="b">
        <f t="shared" ca="1" si="14"/>
        <v>1</v>
      </c>
      <c r="O22" s="3" t="b" cm="1">
        <f t="array" aca="1" ref="O22" ca="1">IF(L22="",FALSE,FileExists(L22,NOW()))</f>
        <v>1</v>
      </c>
      <c r="P22" s="3">
        <f ca="1">COUNTIFS(log_common!A:A,EmailJobs!A22, log_common!C:C, "&gt;" &amp; const_today)</f>
        <v>1</v>
      </c>
      <c r="Q22" s="16" t="b">
        <v>0</v>
      </c>
      <c r="R22" s="3">
        <v>5</v>
      </c>
      <c r="S22" s="3" t="b">
        <v>0</v>
      </c>
      <c r="T22" s="17">
        <f t="shared" si="15"/>
        <v>6.9444444444444447E-4</v>
      </c>
      <c r="U22" s="17">
        <f t="shared" si="16"/>
        <v>0.99930555555555556</v>
      </c>
      <c r="V22" s="3" t="s">
        <v>82</v>
      </c>
      <c r="X22" s="3" t="str">
        <f ca="1">IF(N22,"OK  ", "FAIL")&amp;" |  " &amp;TEXT(EmailJobs!M22,"D/M/Y hh:mm:ss")&amp;" |  "&amp;EmailJobs!D22 &amp; " " &amp; V22 &amp; "&lt;br&gt;
"</f>
        <v xml:space="preserve">OK   |  4/12/22 07:08:25 |  Report: MENS Daily Sale (vs LY) VM22&lt;br&gt;
</v>
      </c>
    </row>
    <row r="23" spans="1:33" ht="90" x14ac:dyDescent="0.25">
      <c r="A23" s="3">
        <f t="shared" si="9"/>
        <v>22</v>
      </c>
      <c r="B23" s="19" t="s">
        <v>8</v>
      </c>
      <c r="C23" s="13"/>
      <c r="D23" s="9" t="s">
        <v>110</v>
      </c>
      <c r="E23" s="9" t="str">
        <f ca="1">"&lt;BODY&gt;&lt;p&gt;Up to "&amp;[1]Parameters!$C$6&amp;"&lt;br&gt;&lt;img src=""cid:"&amp;H23&amp;"""  width=1500&gt;&lt;br&gt;&lt;img src=""cid:"&amp;I23&amp;"""   width=1500&gt;&lt;br&gt;Generated at "&amp;TEXT(M23,"D/M/Y hh:mm:ss")&amp;"&lt;br&gt;&lt;br&gt;"&amp;const_computername&amp;"&lt;/BODY&gt;"</f>
        <v>&lt;BODY&gt;&lt;p&gt;Up to 03 Dec 2022 Sat&lt;br&gt;&lt;img src="cid:wSLG_NetSales.png"  width=1500&gt;&lt;br&gt;&lt;img src="cid:wSLG_Units.png"   width=1500&gt;&lt;br&gt;Generated at 4/12/22 07:12:00&lt;br&gt;&lt;br&gt;CDAPHKGRPA03&lt;/BODY&gt;</v>
      </c>
      <c r="F23" s="21" t="str">
        <f t="shared" si="10"/>
        <v>D:\OneDrive-Sync\Christian Dior Couture\APAC Management - Reports - Reports\DClick\Images\wSLG_NetSales.png, D:\OneDrive-Sync\Christian Dior Couture\APAC Management - Reports - Reports\DClick\Images\wSLG_Units.png</v>
      </c>
      <c r="G23" s="9" t="str">
        <f t="shared" si="11"/>
        <v>D:\OneDrive-Sync\Christian Dior Couture\APAC Management - Reports - Reports\DClick\Images</v>
      </c>
      <c r="H23" s="9" t="s">
        <v>122</v>
      </c>
      <c r="I23" s="9" t="s">
        <v>123</v>
      </c>
      <c r="J23" s="3" t="b">
        <v>0</v>
      </c>
      <c r="K23" s="14" t="b">
        <f t="shared" ca="1" si="12"/>
        <v>0</v>
      </c>
      <c r="L23" s="21" t="str">
        <f t="shared" si="13"/>
        <v>D:\OneDrive-Sync\Christian Dior Couture\APAC Management - Reports - Reports\DClick\Images\wSLG_NetSales.png</v>
      </c>
      <c r="M23" s="15" cm="1">
        <f t="array" aca="1" ref="M23" ca="1">IF(O23,fileModifiedDate(L23, NOW()),0)</f>
        <v>44899.3</v>
      </c>
      <c r="N23" s="15" t="b">
        <f t="shared" ca="1" si="14"/>
        <v>1</v>
      </c>
      <c r="O23" s="3" t="b" cm="1">
        <f t="array" aca="1" ref="O23" ca="1">IF(L23="",FALSE,FileExists(L23,NOW()))</f>
        <v>1</v>
      </c>
      <c r="P23" s="3">
        <f ca="1">COUNTIFS(log_common!A:A,EmailJobs!A23, log_common!C:C, "&gt;" &amp; const_today)</f>
        <v>1</v>
      </c>
      <c r="Q23" s="16" t="b">
        <v>0</v>
      </c>
      <c r="R23" s="3">
        <v>5</v>
      </c>
      <c r="S23" s="3" t="b">
        <v>0</v>
      </c>
      <c r="T23" s="17">
        <f t="shared" si="15"/>
        <v>6.9444444444444447E-4</v>
      </c>
      <c r="U23" s="17">
        <f t="shared" si="16"/>
        <v>0.99930555555555556</v>
      </c>
      <c r="V23" s="3" t="s">
        <v>82</v>
      </c>
      <c r="X23" s="3" t="str">
        <f ca="1">IF(N23,"OK  ", "FAIL")&amp;" |  " &amp;TEXT(EmailJobs!M23,"D/M/Y hh:mm:ss")&amp;" |  "&amp;EmailJobs!D23 &amp; " " &amp; V23 &amp; "&lt;br&gt;
"</f>
        <v xml:space="preserve">OK   |  4/12/22 07:12:00 |  Report: SLG Daily Sale (vs LY) VM22&lt;br&gt;
</v>
      </c>
    </row>
    <row r="24" spans="1:33" ht="105" x14ac:dyDescent="0.25">
      <c r="A24" s="3">
        <f t="shared" si="9"/>
        <v>23</v>
      </c>
      <c r="B24" s="19" t="s">
        <v>8</v>
      </c>
      <c r="C24" s="13"/>
      <c r="D24" s="9" t="s">
        <v>111</v>
      </c>
      <c r="E24" s="9" t="str">
        <f ca="1">"&lt;BODY&gt;&lt;p&gt;Up to "&amp;[1]Parameters!$C$6&amp;"&lt;br&gt;&lt;img src=""cid:"&amp;H24&amp;"""  width=1500&gt;&lt;br&gt;&lt;img src=""cid:"&amp;I24&amp;"""   width=1500&gt;&lt;br&gt;Generated at "&amp;TEXT(M24,"D/M/Y hh:mm:ss")&amp;"&lt;br&gt;&lt;br&gt;"&amp;const_computername&amp;"&lt;/BODY&gt;"</f>
        <v>&lt;BODY&gt;&lt;p&gt;Up to 03 Dec 2022 Sat&lt;br&gt;&lt;img src="cid:JewelleryAndWatches_NetSales.png"  width=1500&gt;&lt;br&gt;&lt;img src="cid:JewelleryAndWatches_Units.png"   width=1500&gt;&lt;br&gt;Generated at 4/12/22 07:06:37&lt;br&gt;&lt;br&gt;CDAPHKGRPA03&lt;/BODY&gt;</v>
      </c>
      <c r="F24" s="21" t="str">
        <f t="shared" si="10"/>
        <v>D:\OneDrive-Sync\Christian Dior Couture\APAC Management - Reports - Reports\DClick\Images\JewelleryAndWatches_NetSales.png, D:\OneDrive-Sync\Christian Dior Couture\APAC Management - Reports - Reports\DClick\Images\JewelleryAndWatches_Units.png</v>
      </c>
      <c r="G24" s="9" t="str">
        <f t="shared" si="11"/>
        <v>D:\OneDrive-Sync\Christian Dior Couture\APAC Management - Reports - Reports\DClick\Images</v>
      </c>
      <c r="H24" s="9" t="s">
        <v>124</v>
      </c>
      <c r="I24" s="9" t="s">
        <v>125</v>
      </c>
      <c r="J24" s="3" t="b">
        <v>0</v>
      </c>
      <c r="K24" s="14" t="b">
        <f t="shared" ca="1" si="12"/>
        <v>0</v>
      </c>
      <c r="L24" s="21" t="str">
        <f t="shared" si="13"/>
        <v>D:\OneDrive-Sync\Christian Dior Couture\APAC Management - Reports - Reports\DClick\Images\JewelleryAndWatches_NetSales.png</v>
      </c>
      <c r="M24" s="15" cm="1">
        <f t="array" aca="1" ref="M24" ca="1">IF(O24,fileModifiedDate(L24, NOW()),0)</f>
        <v>44899.296261574076</v>
      </c>
      <c r="N24" s="15" t="b">
        <f t="shared" ca="1" si="14"/>
        <v>1</v>
      </c>
      <c r="O24" s="3" t="b" cm="1">
        <f t="array" aca="1" ref="O24" ca="1">IF(L24="",FALSE,FileExists(L24,NOW()))</f>
        <v>1</v>
      </c>
      <c r="P24" s="3">
        <f ca="1">COUNTIFS(log_common!A:A,EmailJobs!A24, log_common!C:C, "&gt;" &amp; const_today)</f>
        <v>1</v>
      </c>
      <c r="Q24" s="16" t="b">
        <v>0</v>
      </c>
      <c r="R24" s="3">
        <v>5</v>
      </c>
      <c r="S24" s="3" t="b">
        <v>0</v>
      </c>
      <c r="T24" s="17">
        <f t="shared" si="15"/>
        <v>6.9444444444444447E-4</v>
      </c>
      <c r="U24" s="17">
        <f t="shared" si="16"/>
        <v>0.99930555555555556</v>
      </c>
      <c r="V24" s="3" t="s">
        <v>82</v>
      </c>
      <c r="X24" s="3" t="str">
        <f ca="1">IF(N24,"OK  ", "FAIL")&amp;" |  " &amp;TEXT(EmailJobs!M24,"D/M/Y hh:mm:ss")&amp;" |  "&amp;EmailJobs!D24 &amp; " " &amp; V24 &amp; "&lt;br&gt;
"</f>
        <v xml:space="preserve">OK   |  4/12/22 07:06:37 |  Report: Jewellery and Watches Daily Sale (vs LY) VM22&lt;br&gt;
</v>
      </c>
    </row>
    <row r="25" spans="1:33" ht="195" x14ac:dyDescent="0.25">
      <c r="A25" s="3">
        <f t="shared" si="9"/>
        <v>24</v>
      </c>
      <c r="B25" s="19" t="s">
        <v>151</v>
      </c>
      <c r="C25" s="19" t="s">
        <v>102</v>
      </c>
      <c r="D25" s="11" t="s">
        <v>28</v>
      </c>
      <c r="E25" s="9" t="str">
        <f ca="1">"&lt;BODY&gt;&lt;p&gt;Up to "&amp;Parameters!$C$6&amp;"&lt;br&gt;
&lt;img src=""cid:"&amp;H25&amp;"""  width=1200&gt;&lt;br&gt;
&lt;img src=""cid:CountryStoreALL_NetSales2.png""   width=1500&gt;&lt;br&gt;
&lt;img src=""cid:SubCategoryALL_NetSales1.png""   width=1200&gt;&lt;br&gt;
&lt;img src=""cid:"&amp;I25&amp;"""   width=1200&gt;&lt;br&gt;
Generated at "&amp;TEXT(M25,"D/M/Y hh:mm:ss")&amp;"&lt;br&gt;&lt;br&gt;"&amp;const_computername&amp;"&lt;/BODY&gt;"</f>
        <v>&lt;BODY&gt;&lt;p&gt;Up to 03 Dec 2022 Sat&lt;br&gt;
&lt;img src="cid:CountryStoreALL_NetSales1.png"  width=1200&gt;&lt;br&gt;
&lt;img src="cid:CountryStoreALL_NetSales2.png"   width=1500&gt;&lt;br&gt;
&lt;img src="cid:SubCategoryALL_NetSales1.png"   width=1200&gt;&lt;br&gt;
&lt;img src="cid:SubCategoryALL_NetSales2.png"   width=1200&gt;&lt;br&gt;
Generated at 4/12/22 07:22:29&lt;br&gt;&lt;br&gt;CDAPHKGRPA03&lt;/BODY&gt;</v>
      </c>
      <c r="F25" s="21" t="str">
        <f>IF(H25="","",G25&amp;"\"&amp;H25)
&amp;IF(I25="","",", "&amp;G25&amp;"\CountryStoreALL_NetSales2.png")
&amp;IF(I25="","",", "&amp;G25&amp;"\SubCategoryALL_NetSales1.png")
&amp;IF(I25="","",", "&amp;G25&amp;"\"&amp;I25)</f>
        <v>D:\OneDrive-Sync\Christian Dior Couture\APAC Management - Reports - Reports\DClick\Images\VM24\CountryStoreALL_NetSales1.png, D:\OneDrive-Sync\Christian Dior Couture\APAC Management - Reports - Reports\DClick\Images\VM24\CountryStoreALL_NetSales2.png, D:\OneDrive-Sync\Christian Dior Couture\APAC Management - Reports - Reports\DClick\Images\VM24\SubCategoryALL_NetSales1.png, D:\OneDrive-Sync\Christian Dior Couture\APAC Management - Reports - Reports\DClick\Images\VM24\SubCategoryALL_NetSales2.png</v>
      </c>
      <c r="G25" s="9" t="str">
        <f t="shared" ref="G25:G36" si="17">const_imagePath&amp;"\VM24"</f>
        <v>D:\OneDrive-Sync\Christian Dior Couture\APAC Management - Reports - Reports\DClick\Images\VM24</v>
      </c>
      <c r="H25" s="9" t="s">
        <v>127</v>
      </c>
      <c r="I25" s="9" t="s">
        <v>128</v>
      </c>
      <c r="J25" s="3" t="b">
        <v>0</v>
      </c>
      <c r="K25" s="14" t="b">
        <f t="shared" ca="1" si="12"/>
        <v>0</v>
      </c>
      <c r="L25" s="21" t="str">
        <f>IF(I25="","",G25&amp;"\"&amp;I25)</f>
        <v>D:\OneDrive-Sync\Christian Dior Couture\APAC Management - Reports - Reports\DClick\Images\VM24\SubCategoryALL_NetSales2.png</v>
      </c>
      <c r="M25" s="15" cm="1">
        <f t="array" aca="1" ref="M25" ca="1">IF(O25,fileModifiedDate(L25, NOW()),0)</f>
        <v>44899.307280092595</v>
      </c>
      <c r="N25" s="15" t="b">
        <f ca="1">M25&gt;const_today</f>
        <v>1</v>
      </c>
      <c r="O25" s="3" t="b" cm="1">
        <f t="array" aca="1" ref="O25" ca="1">IF(L25="",FALSE,FileExists(L25,NOW()))</f>
        <v>1</v>
      </c>
      <c r="P25" s="3">
        <f ca="1">COUNTIFS(log_common!A:A,EmailJobs!A25, log_common!C:C, "&gt;" &amp; const_today)</f>
        <v>1</v>
      </c>
      <c r="Q25" s="16" t="b">
        <v>0</v>
      </c>
      <c r="R25" s="3">
        <v>5</v>
      </c>
      <c r="S25" s="3" t="b">
        <v>0</v>
      </c>
      <c r="T25" s="17">
        <f>TIME(0,1,)</f>
        <v>6.9444444444444447E-4</v>
      </c>
      <c r="U25" s="17">
        <f>TIME(23,59,0)</f>
        <v>0.99930555555555556</v>
      </c>
      <c r="V25" s="3" t="s">
        <v>83</v>
      </c>
      <c r="X25" s="3" t="str">
        <f ca="1">IF(N25,"OK  ", "FAIL")&amp;" |  " &amp;TEXT(EmailJobs!M25,"D/M/Y hh:mm:ss")&amp;" |  "&amp;EmailJobs!D25 &amp; " " &amp; V25 &amp; "&lt;br&gt;
"</f>
        <v xml:space="preserve">OK   |  4/12/22 07:22:29 |  Daily Sales - Pacific Asia VM24&lt;br&gt;
</v>
      </c>
    </row>
    <row r="26" spans="1:33" ht="195" x14ac:dyDescent="0.25">
      <c r="A26" s="3">
        <f t="shared" si="9"/>
        <v>25</v>
      </c>
      <c r="B26" s="19" t="s">
        <v>153</v>
      </c>
      <c r="C26" s="19" t="s">
        <v>102</v>
      </c>
      <c r="D26" s="11" t="s">
        <v>41</v>
      </c>
      <c r="E26" s="9" t="str">
        <f ca="1">"&lt;BODY&gt;&lt;p&gt;Up to "&amp;Parameters!$C$6&amp;"&lt;br&gt;
&lt;img src=""cid:"&amp;H26&amp;"""  width=1200&gt;&lt;br&gt;
&lt;img src=""cid:DailySalesHK_NetSales2.png""   width=1200&gt;&lt;br&gt;
&lt;img src=""cid:DailySalesMO_NetSales1.png""   width=1200&gt;&lt;br&gt;
&lt;img src=""cid:"&amp;I26&amp;"""   width=1200&gt;&lt;br&gt;
Generated at "&amp;TEXT(M26,"D/M/Y hh:mm:ss")&amp;"&lt;br&gt;&lt;br&gt;"&amp;const_computername&amp;"&lt;/BODY&gt;"</f>
        <v>&lt;BODY&gt;&lt;p&gt;Up to 03 Dec 2022 Sat&lt;br&gt;
&lt;img src="cid:DailySalesHK_NetSales1.png"  width=1200&gt;&lt;br&gt;
&lt;img src="cid:DailySalesHK_NetSales2.png"   width=1200&gt;&lt;br&gt;
&lt;img src="cid:DailySalesMO_NetSales1.png"   width=1200&gt;&lt;br&gt;
&lt;img src="cid:DailySalesMO_NetSales2.png"   width=1200&gt;&lt;br&gt;
Generated at 4/12/22 07:27:43&lt;br&gt;&lt;br&gt;CDAPHKGRPA03&lt;/BODY&gt;</v>
      </c>
      <c r="F26" s="21" t="str">
        <f>IF(H26="","",G26&amp;"\"&amp;H26)
&amp;IF(I26="","",", "&amp;G26&amp;"\DailySalesHK_NetSales2.png")
&amp;IF(I26="","",", "&amp;G26&amp;"\DailySalesMO_NetSales1.png")
&amp;IF(I26="","",", "&amp;G26&amp;"\"&amp;I26)</f>
        <v>D:\OneDrive-Sync\Christian Dior Couture\APAC Management - Reports - Reports\DClick\Images\VM24\DailySalesHK_NetSales1.png, D:\OneDrive-Sync\Christian Dior Couture\APAC Management - Reports - Reports\DClick\Images\VM24\DailySalesHK_NetSales2.png, D:\OneDrive-Sync\Christian Dior Couture\APAC Management - Reports - Reports\DClick\Images\VM24\DailySalesMO_NetSales1.png, D:\OneDrive-Sync\Christian Dior Couture\APAC Management - Reports - Reports\DClick\Images\VM24\DailySalesMO_NetSales2.png</v>
      </c>
      <c r="G26" s="9" t="str">
        <f t="shared" si="17"/>
        <v>D:\OneDrive-Sync\Christian Dior Couture\APAC Management - Reports - Reports\DClick\Images\VM24</v>
      </c>
      <c r="H26" s="9" t="s">
        <v>149</v>
      </c>
      <c r="I26" s="9" t="s">
        <v>150</v>
      </c>
      <c r="J26" s="3" t="b">
        <v>0</v>
      </c>
      <c r="K26" s="14" t="b">
        <f t="shared" ca="1" si="12"/>
        <v>0</v>
      </c>
      <c r="L26" s="21" t="str">
        <f t="shared" ref="L26:L36" si="18">IF(I26="","",G26&amp;"\"&amp;I26)</f>
        <v>D:\OneDrive-Sync\Christian Dior Couture\APAC Management - Reports - Reports\DClick\Images\VM24\DailySalesMO_NetSales2.png</v>
      </c>
      <c r="M26" s="15" cm="1">
        <f t="array" aca="1" ref="M26" ca="1">IF(O26,fileModifiedDate(L26, NOW()),0)</f>
        <v>44899.310914351852</v>
      </c>
      <c r="N26" s="15" t="b">
        <f t="shared" ref="N26:N36" ca="1" si="19">M26&gt;const_today</f>
        <v>1</v>
      </c>
      <c r="O26" s="3" t="b" cm="1">
        <f t="array" aca="1" ref="O26" ca="1">IF(L26="",FALSE,FileExists(L26,NOW()))</f>
        <v>1</v>
      </c>
      <c r="P26" s="3">
        <f ca="1">COUNTIFS(log_common!A:A,EmailJobs!A26, log_common!C:C, "&gt;" &amp; const_today)</f>
        <v>1</v>
      </c>
      <c r="Q26" s="16" t="b">
        <v>0</v>
      </c>
      <c r="R26" s="3">
        <v>5</v>
      </c>
      <c r="S26" s="3" t="b">
        <v>0</v>
      </c>
      <c r="T26" s="17">
        <f>TIME(0,1,)</f>
        <v>6.9444444444444447E-4</v>
      </c>
      <c r="U26" s="17">
        <f>TIME(23,59,0)</f>
        <v>0.99930555555555556</v>
      </c>
      <c r="V26" s="3" t="s">
        <v>83</v>
      </c>
      <c r="X26" s="3" t="str">
        <f ca="1">IF(N26,"OK  ", "FAIL")&amp;" |  " &amp;TEXT(EmailJobs!M26,"D/M/Y hh:mm:ss")&amp;" |  "&amp;EmailJobs!D26 &amp; " " &amp; V26 &amp; "&lt;br&gt;
"</f>
        <v xml:space="preserve">OK   |  4/12/22 07:27:43 |  Daily Sales - Hong Kong and Macau VM24&lt;br&gt;
</v>
      </c>
    </row>
    <row r="27" spans="1:33" ht="105" x14ac:dyDescent="0.25">
      <c r="A27" s="3">
        <f t="shared" si="9"/>
        <v>26</v>
      </c>
      <c r="B27" s="19"/>
      <c r="C27" s="19" t="s">
        <v>3</v>
      </c>
      <c r="D27" s="9" t="s">
        <v>159</v>
      </c>
      <c r="E27" s="9" t="str">
        <f ca="1">"&lt;BODY&gt;&lt;p&gt;Up to "&amp;Parameters!$C$6&amp;"&lt;br&gt;&lt;img src=""cid:"&amp;H27&amp;"""  width=1500&gt;&lt;br&gt;&lt;img src=""cid:"&amp;I27&amp;"""   width=1500&gt;&lt;br&gt;Generated at "&amp;TEXT(M27,"D/M/Y hh:mm:ss")&amp;"&lt;br&gt;&lt;br&gt;"&amp;const_computername&amp;"&lt;/BODY&gt;"</f>
        <v>&lt;BODY&gt;&lt;p&gt;Up to 03 Dec 2022 Sat&lt;br&gt;&lt;img src="cid:DailySalesKR_NetSales1.png"  width=1500&gt;&lt;br&gt;&lt;img src="cid:DailySalesKR_NetSales2.png"   width=1500&gt;&lt;br&gt;Generated at 4/12/22 07:24:14&lt;br&gt;&lt;br&gt;CDAPHKGRPA03&lt;/BODY&gt;</v>
      </c>
      <c r="F27" s="21" t="str">
        <f t="shared" ref="F27:F36" si="20">IF(H27="","",G27&amp;"\"&amp;H27)&amp;IF(I27="","",", "&amp;G27&amp;"\"&amp;I27)</f>
        <v>D:\OneDrive-Sync\Christian Dior Couture\APAC Management - Reports - Reports\DClick\Images\VM24\DailySalesKR_NetSales1.png, D:\OneDrive-Sync\Christian Dior Couture\APAC Management - Reports - Reports\DClick\Images\VM24\DailySalesKR_NetSales2.png</v>
      </c>
      <c r="G27" s="9" t="str">
        <f t="shared" si="17"/>
        <v>D:\OneDrive-Sync\Christian Dior Couture\APAC Management - Reports - Reports\DClick\Images\VM24</v>
      </c>
      <c r="H27" s="9" t="s">
        <v>130</v>
      </c>
      <c r="I27" s="9" t="s">
        <v>129</v>
      </c>
      <c r="J27" s="3" t="b">
        <v>0</v>
      </c>
      <c r="K27" s="14" t="b">
        <f t="shared" ca="1" si="12"/>
        <v>0</v>
      </c>
      <c r="L27" s="21" t="str">
        <f t="shared" si="18"/>
        <v>D:\OneDrive-Sync\Christian Dior Couture\APAC Management - Reports - Reports\DClick\Images\VM24\DailySalesKR_NetSales2.png</v>
      </c>
      <c r="M27" s="15" cm="1">
        <f t="array" aca="1" ref="M27" ca="1">IF(O27,fileModifiedDate(L27, NOW()),0)</f>
        <v>44899.308495370373</v>
      </c>
      <c r="N27" s="15" t="b">
        <f t="shared" ca="1" si="19"/>
        <v>1</v>
      </c>
      <c r="O27" s="3" t="b" cm="1">
        <f t="array" aca="1" ref="O27" ca="1">IF(L27="",FALSE,FileExists(L27,NOW()))</f>
        <v>1</v>
      </c>
      <c r="P27" s="3">
        <f ca="1">COUNTIFS(log_common!A:A,EmailJobs!A27, log_common!C:C, "&gt;" &amp; const_today)</f>
        <v>1</v>
      </c>
      <c r="Q27" s="24" t="b">
        <v>0</v>
      </c>
      <c r="R27" s="3">
        <v>5</v>
      </c>
      <c r="S27" s="3" t="b">
        <v>0</v>
      </c>
      <c r="T27" s="17">
        <f t="shared" ref="T27:T36" si="21">TIME(0,1,)</f>
        <v>6.9444444444444447E-4</v>
      </c>
      <c r="U27" s="17">
        <f t="shared" ref="U27:U36" si="22">TIME(23,59,0)</f>
        <v>0.99930555555555556</v>
      </c>
      <c r="V27" s="3" t="s">
        <v>83</v>
      </c>
      <c r="X27" s="3" t="str">
        <f ca="1">IF(N27,"OK  ", "FAIL")&amp;" |  " &amp;TEXT(EmailJobs!M27,"D/M/Y hh:mm:ss")&amp;" |  "&amp;EmailJobs!D27 &amp; " " &amp; V27 &amp; "&lt;br&gt;
"</f>
        <v xml:space="preserve">OK   |  4/12/22 07:24:14 |  ARCHIVE - Daily Sales - Korea VM24&lt;br&gt;
</v>
      </c>
    </row>
    <row r="28" spans="1:33" ht="195" x14ac:dyDescent="0.25">
      <c r="A28" s="3">
        <f t="shared" si="9"/>
        <v>27</v>
      </c>
      <c r="B28" s="19" t="s">
        <v>152</v>
      </c>
      <c r="C28" s="19" t="s">
        <v>102</v>
      </c>
      <c r="D28" s="11" t="s">
        <v>60</v>
      </c>
      <c r="E28" s="9" t="str">
        <f ca="1">"&lt;BODY&gt;&lt;p&gt;Up to "&amp;Parameters!$C$6&amp;"&lt;br&gt;
&lt;img src=""cid:"&amp;H28&amp;"""  width=1200&gt;&lt;br&gt;
&lt;img src=""cid:DailySalesAU_NetSales2.png""   width=1200&gt;&lt;br&gt;
&lt;img src=""cid:DailySalesNZ_NetSales1.png""   width=1200&gt;&lt;br&gt;
&lt;img src=""cid:"&amp;I28&amp;"""   width=1200&gt;&lt;br&gt;
Generated at "&amp;TEXT(M28,"D/M/Y hh:mm:ss")&amp;"&lt;br&gt;&lt;br&gt;"&amp;const_computername&amp;"&lt;/BODY&gt;"</f>
        <v>&lt;BODY&gt;&lt;p&gt;Up to 03 Dec 2022 Sat&lt;br&gt;
&lt;img src="cid:DailySalesAU_NetSales1.png"  width=1200&gt;&lt;br&gt;
&lt;img src="cid:DailySalesAU_NetSales2.png"   width=1200&gt;&lt;br&gt;
&lt;img src="cid:DailySalesNZ_NetSales1.png"   width=1200&gt;&lt;br&gt;
&lt;img src="cid:DailySalesNZ_NetSales2.png"   width=1200&gt;&lt;br&gt;
Generated at 4/12/22 06:45:05&lt;br&gt;&lt;br&gt;CDAPHKGRPA03&lt;/BODY&gt;</v>
      </c>
      <c r="F28" s="21" t="str">
        <f>IF(H28="","",G28&amp;"\"&amp;H28)
&amp;IF(I28="","",", "&amp;G28&amp;"\DailySalesAU_NetSales2.png")
&amp;IF(I28="","",", "&amp;G28&amp;"\DailySalesNZ_NetSales1.png")
&amp;IF(I28="","",", "&amp;G28&amp;"\"&amp;I28)</f>
        <v>D:\OneDrive-Sync\Christian Dior Couture\APAC Management - Reports - Reports\DClick\Images\VM24\DailySalesAU_NetSales1.png, D:\OneDrive-Sync\Christian Dior Couture\APAC Management - Reports - Reports\DClick\Images\VM24\DailySalesAU_NetSales2.png, D:\OneDrive-Sync\Christian Dior Couture\APAC Management - Reports - Reports\DClick\Images\VM24\DailySalesNZ_NetSales1.png, D:\OneDrive-Sync\Christian Dior Couture\APAC Management - Reports - Reports\DClick\Images\VM24\DailySalesNZ_NetSales2.png</v>
      </c>
      <c r="G28" s="9" t="str">
        <f t="shared" si="17"/>
        <v>D:\OneDrive-Sync\Christian Dior Couture\APAC Management - Reports - Reports\DClick\Images\VM24</v>
      </c>
      <c r="H28" s="9" t="s">
        <v>131</v>
      </c>
      <c r="I28" s="9" t="s">
        <v>148</v>
      </c>
      <c r="J28" s="3" t="b">
        <v>0</v>
      </c>
      <c r="K28" s="14" t="b">
        <f t="shared" ca="1" si="12"/>
        <v>0</v>
      </c>
      <c r="L28" s="21" t="str">
        <f t="shared" si="18"/>
        <v>D:\OneDrive-Sync\Christian Dior Couture\APAC Management - Reports - Reports\DClick\Images\VM24\DailySalesNZ_NetSales2.png</v>
      </c>
      <c r="M28" s="15" cm="1">
        <f t="array" aca="1" ref="M28" ca="1">IF(O28,fileModifiedDate(L28, NOW()),0)</f>
        <v>44899.281307870369</v>
      </c>
      <c r="N28" s="15" t="b">
        <f t="shared" ca="1" si="19"/>
        <v>1</v>
      </c>
      <c r="O28" s="3" t="b" cm="1">
        <f t="array" aca="1" ref="O28" ca="1">IF(L28="",FALSE,FileExists(L28,NOW()))</f>
        <v>1</v>
      </c>
      <c r="P28" s="3">
        <f ca="1">COUNTIFS(log_common!A:A,EmailJobs!A28, log_common!C:C, "&gt;" &amp; const_today)</f>
        <v>1</v>
      </c>
      <c r="Q28" s="16" t="b">
        <v>0</v>
      </c>
      <c r="R28" s="3">
        <v>5</v>
      </c>
      <c r="S28" s="3" t="b">
        <v>0</v>
      </c>
      <c r="T28" s="17">
        <f t="shared" si="21"/>
        <v>6.9444444444444447E-4</v>
      </c>
      <c r="U28" s="17">
        <f t="shared" si="22"/>
        <v>0.99930555555555556</v>
      </c>
      <c r="V28" s="3" t="s">
        <v>83</v>
      </c>
      <c r="X28" s="3" t="str">
        <f ca="1">IF(N28,"OK  ", "FAIL")&amp;" |  " &amp;TEXT(EmailJobs!M28,"D/M/Y hh:mm:ss")&amp;" |  "&amp;EmailJobs!D28 &amp; " " &amp; V28 &amp; "&lt;br&gt;
"</f>
        <v xml:space="preserve">OK   |  4/12/22 06:45:05 |  Daily Sales - Australia and New Zealand VM24&lt;br&gt;
</v>
      </c>
    </row>
    <row r="29" spans="1:33" ht="105" x14ac:dyDescent="0.25">
      <c r="A29" s="3">
        <f t="shared" si="9"/>
        <v>28</v>
      </c>
      <c r="B29" s="19"/>
      <c r="C29" s="19" t="s">
        <v>3</v>
      </c>
      <c r="D29" s="9" t="s">
        <v>160</v>
      </c>
      <c r="E29" s="9" t="str">
        <f ca="1">"&lt;BODY&gt;&lt;p&gt;Up to "&amp;Parameters!$C$6&amp;"&lt;br&gt;&lt;img src=""cid:"&amp;H29&amp;"""  width=1500&gt;&lt;br&gt;&lt;img src=""cid:"&amp;I29&amp;"""   width=1500&gt;&lt;br&gt;Generated at "&amp;TEXT(M29,"D/M/Y hh:mm:ss")&amp;"&lt;br&gt;&lt;br&gt;"&amp;const_computername&amp;"&lt;/BODY&gt;"</f>
        <v>&lt;BODY&gt;&lt;p&gt;Up to 03 Dec 2022 Sat&lt;br&gt;&lt;img src="cid:DailySalesSG_NetSales1.png"  width=1500&gt;&lt;br&gt;&lt;img src="cid:DailySalesSG_NetSales2.png"   width=1500&gt;&lt;br&gt;Generated at 4/12/22 06:46:47&lt;br&gt;&lt;br&gt;CDAPHKGRPA03&lt;/BODY&gt;</v>
      </c>
      <c r="F29" s="21" t="str">
        <f t="shared" si="20"/>
        <v>D:\OneDrive-Sync\Christian Dior Couture\APAC Management - Reports - Reports\DClick\Images\VM24\DailySalesSG_NetSales1.png, D:\OneDrive-Sync\Christian Dior Couture\APAC Management - Reports - Reports\DClick\Images\VM24\DailySalesSG_NetSales2.png</v>
      </c>
      <c r="G29" s="9" t="str">
        <f t="shared" si="17"/>
        <v>D:\OneDrive-Sync\Christian Dior Couture\APAC Management - Reports - Reports\DClick\Images\VM24</v>
      </c>
      <c r="H29" s="9" t="s">
        <v>132</v>
      </c>
      <c r="I29" s="9" t="s">
        <v>133</v>
      </c>
      <c r="J29" s="3" t="b">
        <v>0</v>
      </c>
      <c r="K29" s="14" t="b">
        <f t="shared" ca="1" si="12"/>
        <v>0</v>
      </c>
      <c r="L29" s="21" t="str">
        <f t="shared" si="18"/>
        <v>D:\OneDrive-Sync\Christian Dior Couture\APAC Management - Reports - Reports\DClick\Images\VM24\DailySalesSG_NetSales2.png</v>
      </c>
      <c r="M29" s="15" cm="1">
        <f t="array" aca="1" ref="M29" ca="1">IF(O29,fileModifiedDate(L29, NOW()),0)</f>
        <v>44899.282488425924</v>
      </c>
      <c r="N29" s="15" t="b">
        <f t="shared" ca="1" si="19"/>
        <v>1</v>
      </c>
      <c r="O29" s="3" t="b" cm="1">
        <f t="array" aca="1" ref="O29" ca="1">IF(L29="",FALSE,FileExists(L29,NOW()))</f>
        <v>1</v>
      </c>
      <c r="P29" s="3">
        <f ca="1">COUNTIFS(log_common!A:A,EmailJobs!A29, log_common!C:C, "&gt;" &amp; const_today)</f>
        <v>1</v>
      </c>
      <c r="Q29" s="24" t="b">
        <v>0</v>
      </c>
      <c r="R29" s="3">
        <v>5</v>
      </c>
      <c r="S29" s="3" t="b">
        <v>0</v>
      </c>
      <c r="T29" s="17">
        <f t="shared" si="21"/>
        <v>6.9444444444444447E-4</v>
      </c>
      <c r="U29" s="17">
        <f t="shared" si="22"/>
        <v>0.99930555555555556</v>
      </c>
      <c r="V29" s="3" t="s">
        <v>83</v>
      </c>
      <c r="X29" s="3" t="str">
        <f ca="1">IF(N29,"OK  ", "FAIL")&amp;" |  " &amp;TEXT(EmailJobs!M29,"D/M/Y hh:mm:ss")&amp;" |  "&amp;EmailJobs!D29 &amp; " " &amp; V29 &amp; "&lt;br&gt;
"</f>
        <v xml:space="preserve">OK   |  4/12/22 06:46:47 |  ARCHIVE - Daily Sales - Singapore VM24&lt;br&gt;
</v>
      </c>
    </row>
    <row r="30" spans="1:33" ht="105" x14ac:dyDescent="0.25">
      <c r="A30" s="3">
        <f t="shared" si="9"/>
        <v>29</v>
      </c>
      <c r="B30" s="19"/>
      <c r="C30" s="19" t="s">
        <v>3</v>
      </c>
      <c r="D30" s="9" t="s">
        <v>161</v>
      </c>
      <c r="E30" s="9" t="str">
        <f ca="1">"&lt;BODY&gt;&lt;p&gt;Up to "&amp;Parameters!$C$6&amp;"&lt;br&gt;&lt;img src=""cid:"&amp;H30&amp;"""  width=1500&gt;&lt;br&gt;&lt;img src=""cid:"&amp;I30&amp;"""   width=1500&gt;&lt;br&gt;Generated at "&amp;TEXT(M30,"D/M/Y hh:mm:ss")&amp;"&lt;br&gt;&lt;br&gt;"&amp;const_computername&amp;"&lt;/BODY&gt;"</f>
        <v>&lt;BODY&gt;&lt;p&gt;Up to 03 Dec 2022 Sat&lt;br&gt;&lt;img src="cid:DailySalesMY_NetSales1.png"  width=1500&gt;&lt;br&gt;&lt;img src="cid:DailySalesMY_NetSales2.png"   width=1500&gt;&lt;br&gt;Generated at 4/12/22 06:48:29&lt;br&gt;&lt;br&gt;CDAPHKGRPA03&lt;/BODY&gt;</v>
      </c>
      <c r="F30" s="21" t="str">
        <f t="shared" si="20"/>
        <v>D:\OneDrive-Sync\Christian Dior Couture\APAC Management - Reports - Reports\DClick\Images\VM24\DailySalesMY_NetSales1.png, D:\OneDrive-Sync\Christian Dior Couture\APAC Management - Reports - Reports\DClick\Images\VM24\DailySalesMY_NetSales2.png</v>
      </c>
      <c r="G30" s="9" t="str">
        <f t="shared" si="17"/>
        <v>D:\OneDrive-Sync\Christian Dior Couture\APAC Management - Reports - Reports\DClick\Images\VM24</v>
      </c>
      <c r="H30" s="9" t="s">
        <v>134</v>
      </c>
      <c r="I30" s="9" t="s">
        <v>135</v>
      </c>
      <c r="J30" s="3" t="b">
        <v>0</v>
      </c>
      <c r="K30" s="14" t="b">
        <f t="shared" ca="1" si="12"/>
        <v>0</v>
      </c>
      <c r="L30" s="21" t="str">
        <f t="shared" si="18"/>
        <v>D:\OneDrive-Sync\Christian Dior Couture\APAC Management - Reports - Reports\DClick\Images\VM24\DailySalesMY_NetSales2.png</v>
      </c>
      <c r="M30" s="15" cm="1">
        <f t="array" aca="1" ref="M30" ca="1">IF(O30,fileModifiedDate(L30, NOW()),0)</f>
        <v>44899.283668981479</v>
      </c>
      <c r="N30" s="15" t="b">
        <f t="shared" ca="1" si="19"/>
        <v>1</v>
      </c>
      <c r="O30" s="3" t="b" cm="1">
        <f t="array" aca="1" ref="O30" ca="1">IF(L30="",FALSE,FileExists(L30,NOW()))</f>
        <v>1</v>
      </c>
      <c r="P30" s="3">
        <f ca="1">COUNTIFS(log_common!A:A,EmailJobs!A30, log_common!C:C, "&gt;" &amp; const_today)</f>
        <v>1</v>
      </c>
      <c r="Q30" s="24" t="b">
        <v>0</v>
      </c>
      <c r="R30" s="3">
        <v>5</v>
      </c>
      <c r="S30" s="3" t="b">
        <v>0</v>
      </c>
      <c r="T30" s="17">
        <f t="shared" si="21"/>
        <v>6.9444444444444447E-4</v>
      </c>
      <c r="U30" s="17">
        <f t="shared" si="22"/>
        <v>0.99930555555555556</v>
      </c>
      <c r="V30" s="3" t="s">
        <v>83</v>
      </c>
      <c r="X30" s="3" t="str">
        <f ca="1">IF(N30,"OK  ", "FAIL")&amp;" |  " &amp;TEXT(EmailJobs!M30,"D/M/Y hh:mm:ss")&amp;" |  "&amp;EmailJobs!D30 &amp; " " &amp; V30 &amp; "&lt;br&gt;
"</f>
        <v xml:space="preserve">OK   |  4/12/22 06:48:29 |  ARCHIVE - Daily Sales - Malaysia VM24&lt;br&gt;
</v>
      </c>
    </row>
    <row r="31" spans="1:33" ht="105" x14ac:dyDescent="0.25">
      <c r="A31" s="3">
        <f t="shared" si="9"/>
        <v>30</v>
      </c>
      <c r="B31" s="19"/>
      <c r="C31" s="19" t="s">
        <v>3</v>
      </c>
      <c r="D31" s="9" t="s">
        <v>162</v>
      </c>
      <c r="E31" s="9" t="str">
        <f ca="1">"&lt;BODY&gt;&lt;p&gt;Up to "&amp;Parameters!$C$6&amp;"&lt;br&gt;&lt;img src=""cid:"&amp;H31&amp;"""  width=1500&gt;&lt;br&gt;&lt;img src=""cid:"&amp;I31&amp;"""   width=1500&gt;&lt;br&gt;Generated at "&amp;TEXT(M31,"D/M/Y hh:mm:ss")&amp;"&lt;br&gt;&lt;br&gt;"&amp;const_computername&amp;"&lt;/BODY&gt;"</f>
        <v>&lt;BODY&gt;&lt;p&gt;Up to 03 Dec 2022 Sat&lt;br&gt;&lt;img src="cid:DailySalesID_NetSales1.png"  width=1500&gt;&lt;br&gt;&lt;img src="cid:DailySalesID_NetSales2.png"   width=1500&gt;&lt;br&gt;Generated at 4/12/22 06:51:56&lt;br&gt;&lt;br&gt;CDAPHKGRPA03&lt;/BODY&gt;</v>
      </c>
      <c r="F31" s="21" t="str">
        <f t="shared" si="20"/>
        <v>D:\OneDrive-Sync\Christian Dior Couture\APAC Management - Reports - Reports\DClick\Images\VM24\DailySalesID_NetSales1.png, D:\OneDrive-Sync\Christian Dior Couture\APAC Management - Reports - Reports\DClick\Images\VM24\DailySalesID_NetSales2.png</v>
      </c>
      <c r="G31" s="9" t="str">
        <f t="shared" si="17"/>
        <v>D:\OneDrive-Sync\Christian Dior Couture\APAC Management - Reports - Reports\DClick\Images\VM24</v>
      </c>
      <c r="H31" s="9" t="s">
        <v>136</v>
      </c>
      <c r="I31" s="9" t="s">
        <v>137</v>
      </c>
      <c r="J31" s="3" t="b">
        <v>0</v>
      </c>
      <c r="K31" s="14" t="b">
        <f t="shared" ca="1" si="12"/>
        <v>0</v>
      </c>
      <c r="L31" s="21" t="str">
        <f t="shared" si="18"/>
        <v>D:\OneDrive-Sync\Christian Dior Couture\APAC Management - Reports - Reports\DClick\Images\VM24\DailySalesID_NetSales2.png</v>
      </c>
      <c r="M31" s="15" cm="1">
        <f t="array" aca="1" ref="M31" ca="1">IF(O31,fileModifiedDate(L31, NOW()),0)</f>
        <v>44899.286064814813</v>
      </c>
      <c r="N31" s="15" t="b">
        <f t="shared" ca="1" si="19"/>
        <v>1</v>
      </c>
      <c r="O31" s="3" t="b" cm="1">
        <f t="array" aca="1" ref="O31" ca="1">IF(L31="",FALSE,FileExists(L31,NOW()))</f>
        <v>1</v>
      </c>
      <c r="P31" s="3">
        <f ca="1">COUNTIFS(log_common!A:A,EmailJobs!A31, log_common!C:C, "&gt;" &amp; const_today)</f>
        <v>1</v>
      </c>
      <c r="Q31" s="24" t="b">
        <v>0</v>
      </c>
      <c r="R31" s="3">
        <v>5</v>
      </c>
      <c r="S31" s="3" t="b">
        <v>0</v>
      </c>
      <c r="T31" s="17">
        <f t="shared" si="21"/>
        <v>6.9444444444444447E-4</v>
      </c>
      <c r="U31" s="17">
        <f t="shared" si="22"/>
        <v>0.99930555555555556</v>
      </c>
      <c r="V31" s="3" t="s">
        <v>83</v>
      </c>
      <c r="X31" s="3" t="str">
        <f ca="1">IF(N31,"OK  ", "FAIL")&amp;" |  " &amp;TEXT(EmailJobs!M31,"D/M/Y hh:mm:ss")&amp;" |  "&amp;EmailJobs!D31 &amp; " " &amp; V31 &amp; "&lt;br&gt;
"</f>
        <v xml:space="preserve">OK   |  4/12/22 06:51:56 |  ARCHIVE - Daily Sales - Indonesia VM24&lt;br&gt;
</v>
      </c>
    </row>
    <row r="32" spans="1:33" ht="105" x14ac:dyDescent="0.25">
      <c r="A32" s="3">
        <f t="shared" si="9"/>
        <v>31</v>
      </c>
      <c r="B32" s="19"/>
      <c r="C32" s="19" t="s">
        <v>3</v>
      </c>
      <c r="D32" s="9" t="s">
        <v>163</v>
      </c>
      <c r="E32" s="9" t="str">
        <f ca="1">"&lt;BODY&gt;&lt;p&gt;Up to "&amp;Parameters!$C$6&amp;"&lt;br&gt;&lt;img src=""cid:"&amp;H32&amp;"""  width=1500&gt;&lt;br&gt;&lt;img src=""cid:"&amp;I32&amp;"""   width=1500&gt;&lt;br&gt;Generated at "&amp;TEXT(M32,"D/M/Y hh:mm:ss")&amp;"&lt;br&gt;&lt;br&gt;"&amp;const_computername&amp;"&lt;/BODY&gt;"</f>
        <v>&lt;BODY&gt;&lt;p&gt;Up to 03 Dec 2022 Sat&lt;br&gt;&lt;img src="cid:DailySalesIN_NetSales1.png"  width=1500&gt;&lt;br&gt;&lt;img src="cid:DailySalesIN_NetSales2.png"   width=1500&gt;&lt;br&gt;Generated at 4/12/22 06:50:09&lt;br&gt;&lt;br&gt;CDAPHKGRPA03&lt;/BODY&gt;</v>
      </c>
      <c r="F32" s="21" t="str">
        <f t="shared" si="20"/>
        <v>D:\OneDrive-Sync\Christian Dior Couture\APAC Management - Reports - Reports\DClick\Images\VM24\DailySalesIN_NetSales1.png, D:\OneDrive-Sync\Christian Dior Couture\APAC Management - Reports - Reports\DClick\Images\VM24\DailySalesIN_NetSales2.png</v>
      </c>
      <c r="G32" s="9" t="str">
        <f t="shared" si="17"/>
        <v>D:\OneDrive-Sync\Christian Dior Couture\APAC Management - Reports - Reports\DClick\Images\VM24</v>
      </c>
      <c r="H32" s="9" t="s">
        <v>138</v>
      </c>
      <c r="I32" s="9" t="s">
        <v>139</v>
      </c>
      <c r="J32" s="3" t="b">
        <v>0</v>
      </c>
      <c r="K32" s="14" t="b">
        <f t="shared" ca="1" si="12"/>
        <v>0</v>
      </c>
      <c r="L32" s="21" t="str">
        <f t="shared" si="18"/>
        <v>D:\OneDrive-Sync\Christian Dior Couture\APAC Management - Reports - Reports\DClick\Images\VM24\DailySalesIN_NetSales2.png</v>
      </c>
      <c r="M32" s="15" cm="1">
        <f t="array" aca="1" ref="M32" ca="1">IF(O32,fileModifiedDate(L32, NOW()),0)</f>
        <v>44899.284826388888</v>
      </c>
      <c r="N32" s="15" t="b">
        <f t="shared" ca="1" si="19"/>
        <v>1</v>
      </c>
      <c r="O32" s="3" t="b" cm="1">
        <f t="array" aca="1" ref="O32" ca="1">IF(L32="",FALSE,FileExists(L32,NOW()))</f>
        <v>1</v>
      </c>
      <c r="P32" s="3">
        <f ca="1">COUNTIFS(log_common!A:A,EmailJobs!A32, log_common!C:C, "&gt;" &amp; const_today)</f>
        <v>1</v>
      </c>
      <c r="Q32" s="24" t="b">
        <v>0</v>
      </c>
      <c r="R32" s="3">
        <v>5</v>
      </c>
      <c r="S32" s="3" t="b">
        <v>0</v>
      </c>
      <c r="T32" s="17">
        <f t="shared" si="21"/>
        <v>6.9444444444444447E-4</v>
      </c>
      <c r="U32" s="17">
        <f t="shared" si="22"/>
        <v>0.99930555555555556</v>
      </c>
      <c r="V32" s="3" t="s">
        <v>83</v>
      </c>
      <c r="X32" s="3" t="str">
        <f ca="1">IF(N32,"OK  ", "FAIL")&amp;" |  " &amp;TEXT(EmailJobs!M32,"D/M/Y hh:mm:ss")&amp;" |  "&amp;EmailJobs!D32 &amp; " " &amp; V32 &amp; "&lt;br&gt;
"</f>
        <v xml:space="preserve">OK   |  4/12/22 06:50:09 |  ARCHIVE - Daily Sales - India VM24&lt;br&gt;
</v>
      </c>
    </row>
    <row r="33" spans="1:24" ht="105" x14ac:dyDescent="0.25">
      <c r="A33" s="3">
        <f t="shared" si="9"/>
        <v>32</v>
      </c>
      <c r="B33" s="19"/>
      <c r="C33" s="19" t="s">
        <v>3</v>
      </c>
      <c r="D33" s="9" t="s">
        <v>164</v>
      </c>
      <c r="E33" s="9" t="str">
        <f ca="1">"&lt;BODY&gt;&lt;p&gt;Up to "&amp;Parameters!$C$6&amp;"&lt;br&gt;&lt;img src=""cid:"&amp;H33&amp;"""  width=1500&gt;&lt;br&gt;&lt;img src=""cid:"&amp;I33&amp;"""   width=1500&gt;&lt;br&gt;Generated at "&amp;TEXT(M33,"D/M/Y hh:mm:ss")&amp;"&lt;br&gt;&lt;br&gt;"&amp;const_computername&amp;"&lt;/BODY&gt;"</f>
        <v>&lt;BODY&gt;&lt;p&gt;Up to 03 Dec 2022 Sat&lt;br&gt;&lt;img src="cid:DailySalesVN_NetSales1.png"  width=1500&gt;&lt;br&gt;&lt;img src="cid:DailySalesVN_NetSales2.png"   width=1500&gt;&lt;br&gt;Generated at 4/12/22 07:32:51&lt;br&gt;&lt;br&gt;CDAPHKGRPA03&lt;/BODY&gt;</v>
      </c>
      <c r="F33" s="21" t="str">
        <f t="shared" si="20"/>
        <v>D:\OneDrive-Sync\Christian Dior Couture\APAC Management - Reports - Reports\DClick\Images\VM24\DailySalesVN_NetSales1.png, D:\OneDrive-Sync\Christian Dior Couture\APAC Management - Reports - Reports\DClick\Images\VM24\DailySalesVN_NetSales2.png</v>
      </c>
      <c r="G33" s="9" t="str">
        <f t="shared" si="17"/>
        <v>D:\OneDrive-Sync\Christian Dior Couture\APAC Management - Reports - Reports\DClick\Images\VM24</v>
      </c>
      <c r="H33" s="9" t="s">
        <v>140</v>
      </c>
      <c r="I33" s="9" t="s">
        <v>141</v>
      </c>
      <c r="J33" s="3" t="b">
        <v>0</v>
      </c>
      <c r="K33" s="14" t="b">
        <f t="shared" ca="1" si="12"/>
        <v>0</v>
      </c>
      <c r="L33" s="21" t="str">
        <f t="shared" si="18"/>
        <v>D:\OneDrive-Sync\Christian Dior Couture\APAC Management - Reports - Reports\DClick\Images\VM24\DailySalesVN_NetSales2.png</v>
      </c>
      <c r="M33" s="15" cm="1">
        <f t="array" aca="1" ref="M33" ca="1">IF(O33,fileModifiedDate(L33, NOW()),0)</f>
        <v>44899.314479166664</v>
      </c>
      <c r="N33" s="15" t="b">
        <f t="shared" ca="1" si="19"/>
        <v>1</v>
      </c>
      <c r="O33" s="3" t="b" cm="1">
        <f t="array" aca="1" ref="O33" ca="1">IF(L33="",FALSE,FileExists(L33,NOW()))</f>
        <v>1</v>
      </c>
      <c r="P33" s="3">
        <f ca="1">COUNTIFS(log_common!A:A,EmailJobs!A33, log_common!C:C, "&gt;" &amp; const_today)</f>
        <v>1</v>
      </c>
      <c r="Q33" s="24" t="b">
        <v>0</v>
      </c>
      <c r="R33" s="3">
        <v>5</v>
      </c>
      <c r="S33" s="3" t="b">
        <v>0</v>
      </c>
      <c r="T33" s="17">
        <f t="shared" si="21"/>
        <v>6.9444444444444447E-4</v>
      </c>
      <c r="U33" s="17">
        <f t="shared" si="22"/>
        <v>0.99930555555555556</v>
      </c>
      <c r="V33" s="3" t="s">
        <v>83</v>
      </c>
      <c r="X33" s="3" t="str">
        <f ca="1">IF(N33,"OK  ", "FAIL")&amp;" |  " &amp;TEXT(EmailJobs!M33,"D/M/Y hh:mm:ss")&amp;" |  "&amp;EmailJobs!D33 &amp; " " &amp; V33 &amp; "&lt;br&gt;
"</f>
        <v xml:space="preserve">OK   |  4/12/22 07:32:51 |  ARCHIVE - Daily Sales - Vietnam VM24&lt;br&gt;
</v>
      </c>
    </row>
    <row r="34" spans="1:24" ht="105" x14ac:dyDescent="0.25">
      <c r="A34" s="3">
        <f t="shared" si="9"/>
        <v>33</v>
      </c>
      <c r="B34" s="19"/>
      <c r="C34" s="19" t="s">
        <v>3</v>
      </c>
      <c r="D34" s="9" t="s">
        <v>165</v>
      </c>
      <c r="E34" s="9" t="str">
        <f ca="1">"&lt;BODY&gt;&lt;p&gt;Up to "&amp;Parameters!$C$6&amp;"&lt;br&gt;&lt;img src=""cid:"&amp;H34&amp;"""  width=1500&gt;&lt;br&gt;&lt;img src=""cid:"&amp;I34&amp;"""   width=1500&gt;&lt;br&gt;Generated at "&amp;TEXT(M34,"D/M/Y hh:mm:ss")&amp;"&lt;br&gt;&lt;br&gt;"&amp;const_computername&amp;"&lt;/BODY&gt;"</f>
        <v>&lt;BODY&gt;&lt;p&gt;Up to 03 Dec 2022 Sat&lt;br&gt;&lt;img src="cid:DailySalesTH_NetSales1.png"  width=1500&gt;&lt;br&gt;&lt;img src="cid:DailySalesTH_NetSales2.png"   width=1500&gt;&lt;br&gt;Generated at 4/12/22 07:31:08&lt;br&gt;&lt;br&gt;CDAPHKGRPA03&lt;/BODY&gt;</v>
      </c>
      <c r="F34" s="21" t="str">
        <f t="shared" si="20"/>
        <v>D:\OneDrive-Sync\Christian Dior Couture\APAC Management - Reports - Reports\DClick\Images\VM24\DailySalesTH_NetSales1.png, D:\OneDrive-Sync\Christian Dior Couture\APAC Management - Reports - Reports\DClick\Images\VM24\DailySalesTH_NetSales2.png</v>
      </c>
      <c r="G34" s="9" t="str">
        <f t="shared" si="17"/>
        <v>D:\OneDrive-Sync\Christian Dior Couture\APAC Management - Reports - Reports\DClick\Images\VM24</v>
      </c>
      <c r="H34" s="9" t="s">
        <v>142</v>
      </c>
      <c r="I34" s="9" t="s">
        <v>143</v>
      </c>
      <c r="J34" s="3" t="b">
        <v>0</v>
      </c>
      <c r="K34" s="14" t="b">
        <f t="shared" ca="1" si="12"/>
        <v>0</v>
      </c>
      <c r="L34" s="21" t="str">
        <f t="shared" si="18"/>
        <v>D:\OneDrive-Sync\Christian Dior Couture\APAC Management - Reports - Reports\DClick\Images\VM24\DailySalesTH_NetSales2.png</v>
      </c>
      <c r="M34" s="15" cm="1">
        <f t="array" aca="1" ref="M34" ca="1">IF(O34,fileModifiedDate(L34, NOW()),0)</f>
        <v>44899.313287037039</v>
      </c>
      <c r="N34" s="15" t="b">
        <f t="shared" ca="1" si="19"/>
        <v>1</v>
      </c>
      <c r="O34" s="3" t="b" cm="1">
        <f t="array" aca="1" ref="O34" ca="1">IF(L34="",FALSE,FileExists(L34,NOW()))</f>
        <v>1</v>
      </c>
      <c r="P34" s="3">
        <f ca="1">COUNTIFS(log_common!A:A,EmailJobs!A34, log_common!C:C, "&gt;" &amp; const_today)</f>
        <v>1</v>
      </c>
      <c r="Q34" s="24" t="b">
        <v>0</v>
      </c>
      <c r="R34" s="3">
        <v>5</v>
      </c>
      <c r="S34" s="3" t="b">
        <v>0</v>
      </c>
      <c r="T34" s="17">
        <f t="shared" si="21"/>
        <v>6.9444444444444447E-4</v>
      </c>
      <c r="U34" s="17">
        <f t="shared" si="22"/>
        <v>0.99930555555555556</v>
      </c>
      <c r="V34" s="3" t="s">
        <v>83</v>
      </c>
      <c r="X34" s="3" t="str">
        <f ca="1">IF(N34,"OK  ", "FAIL")&amp;" |  " &amp;TEXT(EmailJobs!M34,"D/M/Y hh:mm:ss")&amp;" |  "&amp;EmailJobs!D34 &amp; " " &amp; V34 &amp; "&lt;br&gt;
"</f>
        <v xml:space="preserve">OK   |  4/12/22 07:31:08 |  ARCHIVE - Daily Sales - Thailand VM24&lt;br&gt;
</v>
      </c>
    </row>
    <row r="35" spans="1:24" ht="105" x14ac:dyDescent="0.25">
      <c r="A35" s="3">
        <f t="shared" si="9"/>
        <v>34</v>
      </c>
      <c r="B35" s="19" t="s">
        <v>154</v>
      </c>
      <c r="C35" s="19" t="s">
        <v>102</v>
      </c>
      <c r="D35" s="11" t="s">
        <v>67</v>
      </c>
      <c r="E35" s="9" t="str">
        <f ca="1">"&lt;BODY&gt;&lt;p&gt;Up to "&amp;Parameters!$C$6&amp;"&lt;br&gt;&lt;img src=""cid:"&amp;H35&amp;"""  width=1500&gt;&lt;br&gt;&lt;img src=""cid:"&amp;I35&amp;"""   width=1500&gt;&lt;br&gt;Generated at "&amp;TEXT(M35,"D/M/Y hh:mm:ss")&amp;"&lt;br&gt;&lt;br&gt;"&amp;const_computername&amp;"&lt;/BODY&gt;"</f>
        <v>&lt;BODY&gt;&lt;p&gt;Up to 03 Dec 2022 Sat&lt;br&gt;&lt;img src="cid:DailySalesTW_NetSales1.png"  width=1500&gt;&lt;br&gt;&lt;img src="cid:DailySalesTW_NetSales2.png"   width=1500&gt;&lt;br&gt;Generated at 4/12/22 07:29:24&lt;br&gt;&lt;br&gt;CDAPHKGRPA03&lt;/BODY&gt;</v>
      </c>
      <c r="F35" s="21" t="str">
        <f t="shared" si="20"/>
        <v>D:\OneDrive-Sync\Christian Dior Couture\APAC Management - Reports - Reports\DClick\Images\VM24\DailySalesTW_NetSales1.png, D:\OneDrive-Sync\Christian Dior Couture\APAC Management - Reports - Reports\DClick\Images\VM24\DailySalesTW_NetSales2.png</v>
      </c>
      <c r="G35" s="9" t="str">
        <f t="shared" si="17"/>
        <v>D:\OneDrive-Sync\Christian Dior Couture\APAC Management - Reports - Reports\DClick\Images\VM24</v>
      </c>
      <c r="H35" s="9" t="s">
        <v>144</v>
      </c>
      <c r="I35" s="9" t="s">
        <v>145</v>
      </c>
      <c r="J35" s="3" t="b">
        <v>0</v>
      </c>
      <c r="K35" s="14" t="b">
        <f t="shared" ca="1" si="12"/>
        <v>0</v>
      </c>
      <c r="L35" s="21" t="str">
        <f t="shared" si="18"/>
        <v>D:\OneDrive-Sync\Christian Dior Couture\APAC Management - Reports - Reports\DClick\Images\VM24\DailySalesTW_NetSales2.png</v>
      </c>
      <c r="M35" s="15" cm="1">
        <f t="array" aca="1" ref="M35" ca="1">IF(O35,fileModifiedDate(L35, NOW()),0)</f>
        <v>44899.312083333331</v>
      </c>
      <c r="N35" s="15" t="b">
        <f t="shared" ca="1" si="19"/>
        <v>1</v>
      </c>
      <c r="O35" s="3" t="b" cm="1">
        <f t="array" aca="1" ref="O35" ca="1">IF(L35="",FALSE,FileExists(L35,NOW()))</f>
        <v>1</v>
      </c>
      <c r="P35" s="3">
        <f ca="1">COUNTIFS(log_common!A:A,EmailJobs!A35, log_common!C:C, "&gt;" &amp; const_today)</f>
        <v>1</v>
      </c>
      <c r="Q35" s="16" t="b">
        <v>0</v>
      </c>
      <c r="R35" s="3">
        <v>5</v>
      </c>
      <c r="S35" s="3" t="b">
        <v>0</v>
      </c>
      <c r="T35" s="17">
        <f t="shared" si="21"/>
        <v>6.9444444444444447E-4</v>
      </c>
      <c r="U35" s="17">
        <f t="shared" si="22"/>
        <v>0.99930555555555556</v>
      </c>
      <c r="V35" s="3" t="s">
        <v>83</v>
      </c>
      <c r="X35" s="3" t="str">
        <f ca="1">IF(N35,"OK  ", "FAIL")&amp;" |  " &amp;TEXT(EmailJobs!M35,"D/M/Y hh:mm:ss")&amp;" |  "&amp;EmailJobs!D35 &amp; " " &amp; V35 &amp; "&lt;br&gt;
"</f>
        <v xml:space="preserve">OK   |  4/12/22 07:29:24 |  Daily Sales - Taiwan VM24&lt;br&gt;
</v>
      </c>
    </row>
    <row r="36" spans="1:24" ht="105" x14ac:dyDescent="0.25">
      <c r="A36" s="3">
        <f t="shared" si="9"/>
        <v>35</v>
      </c>
      <c r="B36" s="19"/>
      <c r="C36" s="19" t="s">
        <v>3</v>
      </c>
      <c r="D36" s="9" t="s">
        <v>166</v>
      </c>
      <c r="E36" s="9" t="str">
        <f ca="1">"&lt;BODY&gt;&lt;p&gt;Up to "&amp;Parameters!$C$6&amp;"&lt;br&gt;&lt;img src=""cid:"&amp;H36&amp;"""  width=1500&gt;&lt;br&gt;&lt;img src=""cid:"&amp;I36&amp;"""   width=1500&gt;&lt;br&gt;Generated at "&amp;TEXT(M36,"D/M/Y hh:mm:ss")&amp;"&lt;br&gt;&lt;br&gt;"&amp;const_computername&amp;"&lt;/BODY&gt;"</f>
        <v>&lt;BODY&gt;&lt;p&gt;Up to 03 Dec 2022 Sat&lt;br&gt;&lt;img src="cid:DailySalesPH_NetSales1.png"  width=1500&gt;&lt;br&gt;&lt;img src="cid:DailySalesPH_NetSales2.png"   width=1500&gt;&lt;br&gt;Generated at 4/12/22 06:53:38&lt;br&gt;&lt;br&gt;CDAPHKGRPA03&lt;/BODY&gt;</v>
      </c>
      <c r="F36" s="21" t="str">
        <f t="shared" si="20"/>
        <v>D:\OneDrive-Sync\Christian Dior Couture\APAC Management - Reports - Reports\DClick\Images\VM24\DailySalesPH_NetSales1.png, D:\OneDrive-Sync\Christian Dior Couture\APAC Management - Reports - Reports\DClick\Images\VM24\DailySalesPH_NetSales2.png</v>
      </c>
      <c r="G36" s="9" t="str">
        <f t="shared" si="17"/>
        <v>D:\OneDrive-Sync\Christian Dior Couture\APAC Management - Reports - Reports\DClick\Images\VM24</v>
      </c>
      <c r="H36" s="9" t="s">
        <v>146</v>
      </c>
      <c r="I36" s="9" t="s">
        <v>147</v>
      </c>
      <c r="J36" s="3" t="b">
        <v>0</v>
      </c>
      <c r="K36" s="14" t="b">
        <f t="shared" ca="1" si="12"/>
        <v>0</v>
      </c>
      <c r="L36" s="21" t="str">
        <f t="shared" si="18"/>
        <v>D:\OneDrive-Sync\Christian Dior Couture\APAC Management - Reports - Reports\DClick\Images\VM24\DailySalesPH_NetSales2.png</v>
      </c>
      <c r="M36" s="15" cm="1">
        <f t="array" aca="1" ref="M36" ca="1">IF(O36,fileModifiedDate(L36, NOW()),0)</f>
        <v>44899.287245370368</v>
      </c>
      <c r="N36" s="15" t="b">
        <f t="shared" ca="1" si="19"/>
        <v>1</v>
      </c>
      <c r="O36" s="3" t="b" cm="1">
        <f t="array" aca="1" ref="O36" ca="1">IF(L36="",FALSE,FileExists(L36,NOW()))</f>
        <v>1</v>
      </c>
      <c r="P36" s="3">
        <f ca="1">COUNTIFS(log_common!A:A,EmailJobs!A36, log_common!C:C, "&gt;" &amp; const_today)</f>
        <v>1</v>
      </c>
      <c r="Q36" s="24" t="b">
        <v>0</v>
      </c>
      <c r="R36" s="3">
        <v>5</v>
      </c>
      <c r="S36" s="3" t="b">
        <v>0</v>
      </c>
      <c r="T36" s="17">
        <f t="shared" si="21"/>
        <v>6.9444444444444447E-4</v>
      </c>
      <c r="U36" s="17">
        <f t="shared" si="22"/>
        <v>0.99930555555555556</v>
      </c>
      <c r="V36" s="3" t="s">
        <v>83</v>
      </c>
      <c r="X36" s="3" t="str">
        <f ca="1">IF(N36,"OK  ", "FAIL")&amp;" |  " &amp;TEXT(EmailJobs!M36,"D/M/Y hh:mm:ss")&amp;" |  "&amp;EmailJobs!D36 &amp; " " &amp; V36 &amp; "&lt;br&gt;
"</f>
        <v xml:space="preserve">OK   |  4/12/22 06:53:38 |  ARCHIVE - Daily Sales - Philippines VM24&lt;br&gt;
</v>
      </c>
    </row>
  </sheetData>
  <autoFilter ref="A1:V36" xr:uid="{00000000-0001-0000-0000-000000000000}"/>
  <hyperlinks>
    <hyperlink ref="AG2" r:id="rId1" display="roh@christiandior.com" xr:uid="{3919E90C-ED28-46F1-8944-B709DFDEFBA8}"/>
    <hyperlink ref="AG4" r:id="rId2" display="roh@christiandior.com" xr:uid="{03226F26-22BB-4AC1-B619-06C1C544E242}"/>
    <hyperlink ref="AG5" r:id="rId3" display="roh@christiandior.com" xr:uid="{D4080058-7CA9-404B-9A26-EF5A57EB56D3}"/>
    <hyperlink ref="B2" r:id="rId4" display="roh@christiandior.com" xr:uid="{A566CA09-E610-4C99-8034-62BC5A79D050}"/>
    <hyperlink ref="B4" r:id="rId5" display="roh@christiandior.com" xr:uid="{F94148EE-5D87-439A-A59F-C7037D534D75}"/>
    <hyperlink ref="B12" r:id="rId6" xr:uid="{27EF225E-151D-42F1-9183-7D11DA46B867}"/>
    <hyperlink ref="B11" r:id="rId7" display="wochan@christiandior.com" xr:uid="{60E3FAAE-6642-49CE-B590-FCB870DF93EC}"/>
    <hyperlink ref="B10" r:id="rId8" display="maang@christiandior.com" xr:uid="{BFA0C239-4106-44A8-9466-472938C3FB2E}"/>
    <hyperlink ref="B15" r:id="rId9" display="rothongthai@christiandior.com" xr:uid="{A6CB4CAB-A34E-43B2-A93E-3CA1B6D7BBE6}"/>
    <hyperlink ref="B13" r:id="rId10" display="ViPirot@christiandior.com" xr:uid="{B0E8CBBE-62D9-4045-89ED-447086B8E321}"/>
    <hyperlink ref="B8" r:id="rId11" display="sojkim@christiandior.com" xr:uid="{FC4CE254-0B69-4CAE-9525-CCE91357681D}"/>
    <hyperlink ref="B18" r:id="rId12" display="roh@christiandior.com" xr:uid="{85AC5539-5DAE-4F8A-812B-437DA0AA0EC6}"/>
    <hyperlink ref="B19" r:id="rId13" display="roh@christiandior.com" xr:uid="{E65F4F05-725C-4B3F-9C91-F9B1B824D879}"/>
    <hyperlink ref="B20" r:id="rId14" display="roh@christiandior.com" xr:uid="{5B2CAD8C-D3D9-4BCF-AC4A-7BFDA44EF36B}"/>
    <hyperlink ref="B21" r:id="rId15" display="roh@christiandior.com" xr:uid="{1BE330F2-BEB3-42DC-82CA-58CA4C347072}"/>
    <hyperlink ref="B22" r:id="rId16" display="roh@christiandior.com" xr:uid="{4CECAFB2-EA21-480F-A60E-9AE328F1D9B2}"/>
    <hyperlink ref="B23" r:id="rId17" display="roh@christiandior.com" xr:uid="{ECF1F4A3-DFA4-48A1-A6F9-7B66D4080210}"/>
    <hyperlink ref="B24" r:id="rId18" display="roh@christiandior.com" xr:uid="{0AC54659-E84D-484E-AA59-DBF388F374DD}"/>
    <hyperlink ref="B26" r:id="rId19" display="roh@christiandior.com" xr:uid="{1683A877-9A9F-423E-B2BF-F7A8C29C37AE}"/>
    <hyperlink ref="B28" r:id="rId20" display="roh@christiandior.com" xr:uid="{DF27AF07-07B9-4CB1-B1E5-17170BB95A4C}"/>
    <hyperlink ref="B25" r:id="rId21" display="roh@christiandior.com" xr:uid="{31FE5381-1F6D-410B-842C-E36296E6FFA4}"/>
    <hyperlink ref="B35" r:id="rId22" display="kahuang@christiandior.com" xr:uid="{0EB72AF9-2F86-417D-883D-A1DF1933AD59}"/>
    <hyperlink ref="C27" r:id="rId23" xr:uid="{35C0EC34-AFED-4E8B-9621-7BFDBAD028D9}"/>
    <hyperlink ref="C29" r:id="rId24" xr:uid="{2AED7CAC-68C5-4BC9-B6B2-024000947853}"/>
    <hyperlink ref="C30" r:id="rId25" xr:uid="{36DE8C2E-5A85-4AC4-B9EA-CA18FB530623}"/>
    <hyperlink ref="C31" r:id="rId26" xr:uid="{ACCD27AC-5107-48D4-9AF8-4589C5EB3C41}"/>
    <hyperlink ref="C32" r:id="rId27" xr:uid="{EE007DE5-1172-4ACA-A57B-2049F6B784C5}"/>
    <hyperlink ref="C33" r:id="rId28" xr:uid="{197530E7-E7BC-4347-97CC-F8D40C04B9F5}"/>
    <hyperlink ref="C34" r:id="rId29" xr:uid="{0E6F94E6-2609-4CBF-B538-D26D630A8CC4}"/>
    <hyperlink ref="C36" r:id="rId30" xr:uid="{ACB4BCA7-6CE8-4880-9420-B2E1E6EAFB77}"/>
  </hyperlinks>
  <pageMargins left="0.7" right="0.7" top="0.75" bottom="0.75" header="0.3" footer="0.3"/>
  <pageSetup orientation="portrait" r:id="rId31"/>
  <drawing r:id="rId32"/>
  <legacyDrawing r:id="rId3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4" name="Button 1">
              <controlPr defaultSize="0" print="0" autoFill="0" autoPict="0" macro="[0]!runSendMail">
                <anchor moveWithCells="1" sizeWithCells="1">
                  <from>
                    <xdr:col>4</xdr:col>
                    <xdr:colOff>1371600</xdr:colOff>
                    <xdr:row>0</xdr:row>
                    <xdr:rowOff>28575</xdr:rowOff>
                  </from>
                  <to>
                    <xdr:col>4</xdr:col>
                    <xdr:colOff>3152775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94580-E4FA-4797-9525-80266E8A98B5}">
  <sheetPr codeName="Sheet4"/>
  <dimension ref="A1:E25"/>
  <sheetViews>
    <sheetView workbookViewId="0">
      <selection activeCell="A12" sqref="A12:A14"/>
    </sheetView>
  </sheetViews>
  <sheetFormatPr defaultRowHeight="15" x14ac:dyDescent="0.25"/>
  <cols>
    <col min="1" max="1" width="67.28515625" customWidth="1"/>
    <col min="2" max="2" width="43.85546875" customWidth="1"/>
    <col min="5" max="5" width="57.85546875" customWidth="1"/>
  </cols>
  <sheetData>
    <row r="1" spans="1:5" ht="60" x14ac:dyDescent="0.25">
      <c r="A1" s="8" t="str">
        <f ca="1">"&lt;BODY&gt;&lt;p&gt;Up to "&amp;EmailJobs!AJ10&amp;"&lt;br&gt;&lt;img src=""cid:CountryStore_NetSales.png""  width=""1500"" height=""3600""&gt;&lt;br&gt;&lt;img src=""cid:SubCategory_NetSales.png""   width=""1500"" height=""900""&gt;&lt;br&gt;Generated at "&amp;Parameters!$C$2&amp;"&lt;/BODY&gt;"</f>
        <v>&lt;BODY&gt;&lt;p&gt;Up to &lt;br&gt;&lt;img src="cid:CountryStore_NetSales.png"  width="1500" height="3600"&gt;&lt;br&gt;&lt;img src="cid:SubCategory_NetSales.png"   width="1500" height="900"&gt;&lt;br&gt;Generated at 04 Dec 2022 Sun 09:35:29&lt;/BODY&gt;</v>
      </c>
      <c r="B1" s="8"/>
      <c r="E1" s="8"/>
    </row>
    <row r="2" spans="1:5" ht="45" x14ac:dyDescent="0.25">
      <c r="A2" s="8" t="str">
        <f ca="1">"&lt;BODY&gt;&lt;p&gt;Up to "&amp;EmailJobs!AJ11&amp;"&lt;br&gt;&lt;img src=""cid:CountryStore_NetSales.png""  width=3800&gt;&lt;br&gt;&lt;img src=""cid:SubCategory_NetSales.png""   width=1200&gt;&lt;br&gt;Generated at "&amp;Parameters!$C$2&amp;"&lt;/BODY&gt;"</f>
        <v>&lt;BODY&gt;&lt;p&gt;Up to &lt;br&gt;&lt;img src="cid:CountryStore_NetSales.png"  width=3800&gt;&lt;br&gt;&lt;img src="cid:SubCategory_NetSales.png"   width=1200&gt;&lt;br&gt;Generated at 04 Dec 2022 Sun 09:35:29&lt;/BODY&gt;</v>
      </c>
      <c r="B2" s="8"/>
      <c r="E2" s="8"/>
    </row>
    <row r="3" spans="1:5" x14ac:dyDescent="0.25">
      <c r="A3" s="8"/>
      <c r="B3" s="8"/>
      <c r="E3" s="8"/>
    </row>
    <row r="4" spans="1:5" x14ac:dyDescent="0.25">
      <c r="A4" s="8" t="str">
        <f ca="1">"&lt;BODY&gt;&lt;p&gt;Up to "&amp;Parameters!B12&amp;"&lt;br&gt;"</f>
        <v>&lt;BODY&gt;&lt;p&gt;Up to CDAPHKGRPA03&lt;br&gt;</v>
      </c>
      <c r="B4" s="8"/>
      <c r="E4" s="8"/>
    </row>
    <row r="5" spans="1:5" ht="180" x14ac:dyDescent="0.25">
      <c r="A5" s="8" t="s">
        <v>29</v>
      </c>
      <c r="B5" s="8" t="s">
        <v>32</v>
      </c>
      <c r="E5" s="8" t="str">
        <f ca="1">"&lt;BODY&gt;&lt;p&gt;"&amp;EmailJobs!D2&amp;" "&amp;TEXT(EmailJobs!M2,"D/M/Y hh:mm:ss")&amp;" | "&amp;EmailJobs!D4&amp;" "&amp;TEXT(EmailJobs!M4,"D/M/Y hh:mm:ss")&amp;" |  "&amp;EmailJobs!D5&amp;" "&amp;TEXT(EmailJobs!M5,"D/M/Y hh:mm:ss")&amp;"&lt;br&gt;"&amp;A16&amp;"&lt;br&gt;"&amp;A17&amp;"&lt;/BODY&gt;"</f>
        <v>&lt;BODY&gt;&lt;p&gt;iCristal Report 0/1/00 00:00:00 | APAC Daily Sales vs LY Report - Pacific Asia 4/12/22 07:20:25 |  ARCHIVE - Daily Sales - Pacific Asia 4/12/22 06:40:52&lt;br&gt;&lt;a href="https://christiandior.sharepoint.com/:b:/r/sites/Grp_APACManagement-Reports/Shared%20Documents/Reports/DClick/APAC_Daily_Sales.pdf?csf=1&amp;web=1&amp;e=hQry6m"&gt;APAC Daily Sales Report&lt;/a&gt;&lt;br&gt;&lt;a href="https://christiandior.sharepoint.com/:b:/r/sites/Grp_APACManagement-Reports/Shared%20Documents/Reports/iCristal/iCristalReport.pdf?csf=1&amp;web=1&amp;e=53ZedW"&gt;iCristal Report&lt;/a&gt;&lt;/BODY&gt;</v>
      </c>
    </row>
    <row r="6" spans="1:5" x14ac:dyDescent="0.25">
      <c r="A6" s="8" t="str">
        <f ca="1">"&lt;br&gt;Generated at "&amp;Parameters!$C$2&amp;"&lt;/BODY&gt;"</f>
        <v>&lt;br&gt;Generated at 04 Dec 2022 Sun 09:35:29&lt;/BODY&gt;</v>
      </c>
      <c r="B6" s="8"/>
      <c r="E6" s="8"/>
    </row>
    <row r="7" spans="1:5" x14ac:dyDescent="0.25">
      <c r="A7" s="8"/>
      <c r="B7" s="8"/>
      <c r="E7" s="8"/>
    </row>
    <row r="8" spans="1:5" ht="30" x14ac:dyDescent="0.25">
      <c r="A8" s="8" t="str" cm="1">
        <f t="array" ref="A8">CurrentDir()</f>
        <v>D:\Optimus-Prefect-Test1\scripts</v>
      </c>
      <c r="B8" s="8"/>
      <c r="E8" s="8"/>
    </row>
    <row r="9" spans="1:5" x14ac:dyDescent="0.25">
      <c r="A9" s="8"/>
      <c r="B9" s="8"/>
      <c r="E9" s="8"/>
    </row>
    <row r="10" spans="1:5" ht="45" x14ac:dyDescent="0.25">
      <c r="A10" s="8" t="str">
        <f>"&lt;BODY&gt;&lt;p&gt;Please find report attached.&lt;/p&gt;&lt;br&gt;Best Regards,&lt;br&gt;Raymond&lt;br&gt;&lt;img src=""cid:VM22.png"" width=750&gt;&lt;br&gt;As at "&amp;EmailJobs!Z17&amp;"&lt;/BODY&gt;"</f>
        <v>&lt;BODY&gt;&lt;p&gt;Please find report attached.&lt;/p&gt;&lt;br&gt;Best Regards,&lt;br&gt;Raymond&lt;br&gt;&lt;img src="cid:VM22.png" width=750&gt;&lt;br&gt;As at &lt;/BODY&gt;</v>
      </c>
      <c r="B10" s="8"/>
      <c r="E10" s="8"/>
    </row>
    <row r="11" spans="1:5" x14ac:dyDescent="0.25">
      <c r="A11" s="8"/>
      <c r="B11" s="8"/>
      <c r="E11" s="8"/>
    </row>
    <row r="12" spans="1:5" x14ac:dyDescent="0.25">
      <c r="B12" s="8"/>
      <c r="E12" s="8"/>
    </row>
    <row r="13" spans="1:5" x14ac:dyDescent="0.25">
      <c r="B13" s="8"/>
      <c r="E13" s="8"/>
    </row>
    <row r="14" spans="1:5" x14ac:dyDescent="0.25">
      <c r="B14" s="8"/>
      <c r="E14" s="8"/>
    </row>
    <row r="15" spans="1:5" x14ac:dyDescent="0.25">
      <c r="A15" s="10" t="s">
        <v>38</v>
      </c>
      <c r="B15" s="8"/>
      <c r="E15" s="8"/>
    </row>
    <row r="16" spans="1:5" ht="60" x14ac:dyDescent="0.25">
      <c r="A16" s="10" t="str">
        <f>"&lt;a href="""&amp;EmailJobs!Y6&amp;"""&gt;APAC Daily Sales Report&lt;/a&gt;"</f>
        <v>&lt;a href="https://christiandior.sharepoint.com/:b:/r/sites/Grp_APACManagement-Reports/Shared%20Documents/Reports/DClick/APAC_Daily_Sales.pdf?csf=1&amp;web=1&amp;e=hQry6m"&gt;APAC Daily Sales Report&lt;/a&gt;</v>
      </c>
      <c r="B16" s="8"/>
      <c r="E16" s="8"/>
    </row>
    <row r="17" spans="1:5" ht="60" x14ac:dyDescent="0.25">
      <c r="A17" s="10" t="str">
        <f>"&lt;a href="""&amp;EmailJobs!Z6&amp;"""&gt;iCristal Report&lt;/a&gt;"</f>
        <v>&lt;a href="https://christiandior.sharepoint.com/:b:/r/sites/Grp_APACManagement-Reports/Shared%20Documents/Reports/iCristal/iCristalReport.pdf?csf=1&amp;web=1&amp;e=53ZedW"&gt;iCristal Report&lt;/a&gt;</v>
      </c>
      <c r="B17" s="8"/>
      <c r="E17" s="8"/>
    </row>
    <row r="18" spans="1:5" x14ac:dyDescent="0.25">
      <c r="A18" s="8"/>
      <c r="B18" s="8"/>
      <c r="E18" s="8"/>
    </row>
    <row r="19" spans="1:5" x14ac:dyDescent="0.25">
      <c r="A19" s="8"/>
      <c r="B19" s="8"/>
      <c r="E19" s="8"/>
    </row>
    <row r="20" spans="1:5" x14ac:dyDescent="0.25">
      <c r="A20" s="8"/>
      <c r="B20" s="8"/>
      <c r="E20" s="8"/>
    </row>
    <row r="21" spans="1:5" x14ac:dyDescent="0.25">
      <c r="A21" s="8"/>
      <c r="B21" s="8"/>
      <c r="E21" s="8"/>
    </row>
    <row r="22" spans="1:5" x14ac:dyDescent="0.25">
      <c r="A22" s="8"/>
      <c r="B22" s="8"/>
      <c r="E22" s="8"/>
    </row>
    <row r="23" spans="1:5" x14ac:dyDescent="0.25">
      <c r="A23" s="8"/>
      <c r="B23" s="8"/>
      <c r="E23" s="8"/>
    </row>
    <row r="24" spans="1:5" x14ac:dyDescent="0.25">
      <c r="A24" s="8"/>
      <c r="B24" s="8"/>
      <c r="E24" s="8"/>
    </row>
    <row r="25" spans="1:5" x14ac:dyDescent="0.25">
      <c r="A25" s="8"/>
      <c r="B25" s="8"/>
      <c r="E25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1A0A8-3831-48C9-976B-2ACB6DBEE657}">
  <sheetPr codeName="Sheet2"/>
  <dimension ref="A1:D1258"/>
  <sheetViews>
    <sheetView topLeftCell="A97" workbookViewId="0"/>
  </sheetViews>
  <sheetFormatPr defaultRowHeight="15" x14ac:dyDescent="0.25"/>
  <cols>
    <col min="2" max="2" width="41.5703125" customWidth="1"/>
    <col min="3" max="4" width="21.5703125" customWidth="1"/>
  </cols>
  <sheetData>
    <row r="1" spans="1:4" x14ac:dyDescent="0.25">
      <c r="A1" s="4" t="s">
        <v>15</v>
      </c>
      <c r="B1" s="4" t="s">
        <v>4</v>
      </c>
      <c r="C1" s="4" t="s">
        <v>16</v>
      </c>
      <c r="D1" s="4" t="s">
        <v>79</v>
      </c>
    </row>
    <row r="2" spans="1:4" x14ac:dyDescent="0.25">
      <c r="A2">
        <v>24</v>
      </c>
      <c r="B2" t="s">
        <v>28</v>
      </c>
      <c r="C2" s="2">
        <v>44866.406400462962</v>
      </c>
      <c r="D2" t="s">
        <v>81</v>
      </c>
    </row>
    <row r="3" spans="1:4" x14ac:dyDescent="0.25">
      <c r="A3">
        <v>26</v>
      </c>
      <c r="B3" t="s">
        <v>59</v>
      </c>
      <c r="C3" s="2">
        <v>44866.406400462962</v>
      </c>
      <c r="D3" t="s">
        <v>81</v>
      </c>
    </row>
    <row r="4" spans="1:4" x14ac:dyDescent="0.25">
      <c r="A4">
        <v>25</v>
      </c>
      <c r="B4" t="s">
        <v>41</v>
      </c>
      <c r="C4" s="2">
        <v>44866.436249999999</v>
      </c>
      <c r="D4" t="s">
        <v>81</v>
      </c>
    </row>
    <row r="5" spans="1:4" x14ac:dyDescent="0.25">
      <c r="A5">
        <v>27</v>
      </c>
      <c r="B5" t="s">
        <v>60</v>
      </c>
      <c r="C5" s="2">
        <v>44866.436261574076</v>
      </c>
      <c r="D5" t="s">
        <v>81</v>
      </c>
    </row>
    <row r="6" spans="1:4" x14ac:dyDescent="0.25">
      <c r="A6">
        <v>28</v>
      </c>
      <c r="B6" t="s">
        <v>61</v>
      </c>
      <c r="C6" s="2">
        <v>44866.436273148145</v>
      </c>
      <c r="D6" t="s">
        <v>81</v>
      </c>
    </row>
    <row r="7" spans="1:4" x14ac:dyDescent="0.25">
      <c r="A7">
        <v>29</v>
      </c>
      <c r="B7" t="s">
        <v>62</v>
      </c>
      <c r="C7" s="2">
        <v>44866.436284722222</v>
      </c>
      <c r="D7" t="s">
        <v>81</v>
      </c>
    </row>
    <row r="8" spans="1:4" x14ac:dyDescent="0.25">
      <c r="A8">
        <v>30</v>
      </c>
      <c r="B8" t="s">
        <v>63</v>
      </c>
      <c r="C8" s="2">
        <v>44866.436296296299</v>
      </c>
      <c r="D8" t="s">
        <v>81</v>
      </c>
    </row>
    <row r="9" spans="1:4" x14ac:dyDescent="0.25">
      <c r="A9">
        <v>31</v>
      </c>
      <c r="B9" t="s">
        <v>64</v>
      </c>
      <c r="C9" s="2">
        <v>44866.436307870368</v>
      </c>
      <c r="D9" t="s">
        <v>81</v>
      </c>
    </row>
    <row r="10" spans="1:4" x14ac:dyDescent="0.25">
      <c r="A10">
        <v>32</v>
      </c>
      <c r="B10" t="s">
        <v>65</v>
      </c>
      <c r="C10" s="2">
        <v>44866.436307870368</v>
      </c>
      <c r="D10" t="s">
        <v>81</v>
      </c>
    </row>
    <row r="11" spans="1:4" x14ac:dyDescent="0.25">
      <c r="A11">
        <v>33</v>
      </c>
      <c r="B11" t="s">
        <v>66</v>
      </c>
      <c r="C11" s="2">
        <v>44866.436319444445</v>
      </c>
      <c r="D11" t="s">
        <v>81</v>
      </c>
    </row>
    <row r="12" spans="1:4" x14ac:dyDescent="0.25">
      <c r="A12">
        <v>35</v>
      </c>
      <c r="B12" t="s">
        <v>68</v>
      </c>
      <c r="C12" s="2">
        <v>44866.436331018522</v>
      </c>
      <c r="D12" t="s">
        <v>81</v>
      </c>
    </row>
    <row r="13" spans="1:4" x14ac:dyDescent="0.25">
      <c r="A13">
        <v>24</v>
      </c>
      <c r="B13" t="s">
        <v>28</v>
      </c>
      <c r="C13" s="2">
        <v>44867.264548611114</v>
      </c>
      <c r="D13" t="s">
        <v>81</v>
      </c>
    </row>
    <row r="14" spans="1:4" x14ac:dyDescent="0.25">
      <c r="A14">
        <v>25</v>
      </c>
      <c r="B14" t="s">
        <v>41</v>
      </c>
      <c r="C14" s="2">
        <v>44867.264560185184</v>
      </c>
      <c r="D14" t="s">
        <v>81</v>
      </c>
    </row>
    <row r="15" spans="1:4" x14ac:dyDescent="0.25">
      <c r="A15">
        <v>26</v>
      </c>
      <c r="B15" t="s">
        <v>59</v>
      </c>
      <c r="C15" s="2">
        <v>44867.26457175926</v>
      </c>
      <c r="D15" t="s">
        <v>81</v>
      </c>
    </row>
    <row r="16" spans="1:4" x14ac:dyDescent="0.25">
      <c r="A16">
        <v>27</v>
      </c>
      <c r="B16" t="s">
        <v>60</v>
      </c>
      <c r="C16" s="2">
        <v>44867.26458333333</v>
      </c>
      <c r="D16" t="s">
        <v>81</v>
      </c>
    </row>
    <row r="17" spans="1:4" x14ac:dyDescent="0.25">
      <c r="A17">
        <v>28</v>
      </c>
      <c r="B17" t="s">
        <v>61</v>
      </c>
      <c r="C17" s="2">
        <v>44867.264594907407</v>
      </c>
      <c r="D17" t="s">
        <v>81</v>
      </c>
    </row>
    <row r="18" spans="1:4" x14ac:dyDescent="0.25">
      <c r="A18">
        <v>30</v>
      </c>
      <c r="B18" t="s">
        <v>63</v>
      </c>
      <c r="C18" s="2">
        <v>44867.264606481483</v>
      </c>
      <c r="D18" t="s">
        <v>81</v>
      </c>
    </row>
    <row r="19" spans="1:4" x14ac:dyDescent="0.25">
      <c r="A19">
        <v>31</v>
      </c>
      <c r="B19" t="s">
        <v>64</v>
      </c>
      <c r="C19" s="2">
        <v>44867.264618055553</v>
      </c>
      <c r="D19" t="s">
        <v>81</v>
      </c>
    </row>
    <row r="20" spans="1:4" x14ac:dyDescent="0.25">
      <c r="A20">
        <v>34</v>
      </c>
      <c r="B20" t="s">
        <v>67</v>
      </c>
      <c r="C20" s="2">
        <v>44867.26462962963</v>
      </c>
      <c r="D20" t="s">
        <v>81</v>
      </c>
    </row>
    <row r="21" spans="1:4" x14ac:dyDescent="0.25">
      <c r="A21">
        <v>35</v>
      </c>
      <c r="B21" t="s">
        <v>68</v>
      </c>
      <c r="C21" s="2">
        <v>44867.264641203707</v>
      </c>
      <c r="D21" t="s">
        <v>81</v>
      </c>
    </row>
    <row r="22" spans="1:4" x14ac:dyDescent="0.25">
      <c r="A22">
        <v>3</v>
      </c>
      <c r="B22" t="s">
        <v>39</v>
      </c>
      <c r="C22" s="2">
        <v>44867.32309027778</v>
      </c>
      <c r="D22" t="s">
        <v>81</v>
      </c>
    </row>
    <row r="23" spans="1:4" x14ac:dyDescent="0.25">
      <c r="A23">
        <v>9</v>
      </c>
      <c r="B23" t="s">
        <v>61</v>
      </c>
      <c r="C23" s="2">
        <v>44867.323136574072</v>
      </c>
      <c r="D23" t="s">
        <v>81</v>
      </c>
    </row>
    <row r="24" spans="1:4" x14ac:dyDescent="0.25">
      <c r="A24">
        <v>10</v>
      </c>
      <c r="B24" t="s">
        <v>62</v>
      </c>
      <c r="C24" s="2">
        <v>44867.323148148149</v>
      </c>
      <c r="D24" t="s">
        <v>81</v>
      </c>
    </row>
    <row r="25" spans="1:4" x14ac:dyDescent="0.25">
      <c r="A25">
        <v>11</v>
      </c>
      <c r="B25" t="s">
        <v>63</v>
      </c>
      <c r="C25" s="2">
        <v>44867.323159722226</v>
      </c>
      <c r="D25" t="s">
        <v>81</v>
      </c>
    </row>
    <row r="26" spans="1:4" x14ac:dyDescent="0.25">
      <c r="A26">
        <v>12</v>
      </c>
      <c r="B26" t="s">
        <v>64</v>
      </c>
      <c r="C26" s="2">
        <v>44867.323171296295</v>
      </c>
      <c r="D26" t="s">
        <v>81</v>
      </c>
    </row>
    <row r="27" spans="1:4" x14ac:dyDescent="0.25">
      <c r="A27">
        <v>13</v>
      </c>
      <c r="B27" t="s">
        <v>65</v>
      </c>
      <c r="C27" s="2">
        <v>44867.323182870372</v>
      </c>
      <c r="D27" t="s">
        <v>81</v>
      </c>
    </row>
    <row r="28" spans="1:4" x14ac:dyDescent="0.25">
      <c r="A28">
        <v>14</v>
      </c>
      <c r="B28" t="s">
        <v>66</v>
      </c>
      <c r="C28" s="2">
        <v>44867.323194444441</v>
      </c>
      <c r="D28" t="s">
        <v>81</v>
      </c>
    </row>
    <row r="29" spans="1:4" x14ac:dyDescent="0.25">
      <c r="A29">
        <v>16</v>
      </c>
      <c r="B29" t="s">
        <v>68</v>
      </c>
      <c r="C29" s="2">
        <v>44867.323206018518</v>
      </c>
      <c r="D29" t="s">
        <v>81</v>
      </c>
    </row>
    <row r="30" spans="1:4" x14ac:dyDescent="0.25">
      <c r="A30">
        <v>17</v>
      </c>
      <c r="B30" t="s">
        <v>105</v>
      </c>
      <c r="C30" s="2">
        <v>44867.323229166665</v>
      </c>
      <c r="D30" t="s">
        <v>81</v>
      </c>
    </row>
    <row r="31" spans="1:4" x14ac:dyDescent="0.25">
      <c r="A31">
        <v>18</v>
      </c>
      <c r="B31" t="s">
        <v>106</v>
      </c>
      <c r="C31" s="2">
        <v>44867.323240740741</v>
      </c>
      <c r="D31" t="s">
        <v>81</v>
      </c>
    </row>
    <row r="32" spans="1:4" x14ac:dyDescent="0.25">
      <c r="A32">
        <v>19</v>
      </c>
      <c r="B32" t="s">
        <v>107</v>
      </c>
      <c r="C32" s="2">
        <v>44867.323252314818</v>
      </c>
      <c r="D32" t="s">
        <v>81</v>
      </c>
    </row>
    <row r="33" spans="1:4" x14ac:dyDescent="0.25">
      <c r="A33">
        <v>20</v>
      </c>
      <c r="B33" t="s">
        <v>108</v>
      </c>
      <c r="C33" s="2">
        <v>44867.323263888888</v>
      </c>
      <c r="D33" t="s">
        <v>81</v>
      </c>
    </row>
    <row r="34" spans="1:4" x14ac:dyDescent="0.25">
      <c r="A34">
        <v>21</v>
      </c>
      <c r="B34" t="s">
        <v>109</v>
      </c>
      <c r="C34" s="2">
        <v>44867.323287037034</v>
      </c>
      <c r="D34" t="s">
        <v>81</v>
      </c>
    </row>
    <row r="35" spans="1:4" x14ac:dyDescent="0.25">
      <c r="A35">
        <v>22</v>
      </c>
      <c r="B35" t="s">
        <v>110</v>
      </c>
      <c r="C35" s="2">
        <v>44867.323298611111</v>
      </c>
      <c r="D35" t="s">
        <v>81</v>
      </c>
    </row>
    <row r="36" spans="1:4" x14ac:dyDescent="0.25">
      <c r="A36">
        <v>23</v>
      </c>
      <c r="B36" t="s">
        <v>111</v>
      </c>
      <c r="C36" s="2">
        <v>44867.323310185187</v>
      </c>
      <c r="D36" t="s">
        <v>81</v>
      </c>
    </row>
    <row r="37" spans="1:4" x14ac:dyDescent="0.25">
      <c r="A37">
        <v>29</v>
      </c>
      <c r="B37" t="s">
        <v>62</v>
      </c>
      <c r="C37" s="2">
        <v>44867.323321759257</v>
      </c>
      <c r="D37" t="s">
        <v>81</v>
      </c>
    </row>
    <row r="38" spans="1:4" x14ac:dyDescent="0.25">
      <c r="A38">
        <v>33</v>
      </c>
      <c r="B38" t="s">
        <v>66</v>
      </c>
      <c r="C38" s="2">
        <v>44867.323333333334</v>
      </c>
      <c r="D38" t="s">
        <v>81</v>
      </c>
    </row>
    <row r="39" spans="1:4" x14ac:dyDescent="0.25">
      <c r="A39">
        <v>3</v>
      </c>
      <c r="B39" t="s">
        <v>39</v>
      </c>
      <c r="C39" s="2">
        <v>44867.357349537036</v>
      </c>
      <c r="D39" t="s">
        <v>81</v>
      </c>
    </row>
    <row r="40" spans="1:4" x14ac:dyDescent="0.25">
      <c r="A40">
        <v>7</v>
      </c>
      <c r="B40" t="s">
        <v>59</v>
      </c>
      <c r="C40" s="2">
        <v>44867.357349537036</v>
      </c>
      <c r="D40" t="s">
        <v>81</v>
      </c>
    </row>
    <row r="41" spans="1:4" x14ac:dyDescent="0.25">
      <c r="A41">
        <v>9</v>
      </c>
      <c r="B41" t="s">
        <v>61</v>
      </c>
      <c r="C41" s="2">
        <v>44867.357349537036</v>
      </c>
      <c r="D41" t="s">
        <v>81</v>
      </c>
    </row>
    <row r="42" spans="1:4" x14ac:dyDescent="0.25">
      <c r="A42">
        <v>10</v>
      </c>
      <c r="B42" t="s">
        <v>62</v>
      </c>
      <c r="C42" s="2">
        <v>44867.357361111113</v>
      </c>
      <c r="D42" t="s">
        <v>81</v>
      </c>
    </row>
    <row r="43" spans="1:4" x14ac:dyDescent="0.25">
      <c r="A43">
        <v>11</v>
      </c>
      <c r="B43" t="s">
        <v>63</v>
      </c>
      <c r="C43" s="2">
        <v>44867.357361111113</v>
      </c>
      <c r="D43" t="s">
        <v>81</v>
      </c>
    </row>
    <row r="44" spans="1:4" x14ac:dyDescent="0.25">
      <c r="A44">
        <v>12</v>
      </c>
      <c r="B44" t="s">
        <v>64</v>
      </c>
      <c r="C44" s="2">
        <v>44867.357361111113</v>
      </c>
      <c r="D44" t="s">
        <v>81</v>
      </c>
    </row>
    <row r="45" spans="1:4" x14ac:dyDescent="0.25">
      <c r="A45">
        <v>13</v>
      </c>
      <c r="B45" t="s">
        <v>65</v>
      </c>
      <c r="C45" s="2">
        <v>44867.357361111113</v>
      </c>
      <c r="D45" t="s">
        <v>81</v>
      </c>
    </row>
    <row r="46" spans="1:4" x14ac:dyDescent="0.25">
      <c r="A46">
        <v>14</v>
      </c>
      <c r="B46" t="s">
        <v>66</v>
      </c>
      <c r="C46" s="2">
        <v>44867.357361111113</v>
      </c>
      <c r="D46" t="s">
        <v>81</v>
      </c>
    </row>
    <row r="47" spans="1:4" x14ac:dyDescent="0.25">
      <c r="A47">
        <v>16</v>
      </c>
      <c r="B47" t="s">
        <v>68</v>
      </c>
      <c r="C47" s="2">
        <v>44867.357361111113</v>
      </c>
      <c r="D47" t="s">
        <v>81</v>
      </c>
    </row>
    <row r="48" spans="1:4" x14ac:dyDescent="0.25">
      <c r="A48">
        <v>17</v>
      </c>
      <c r="B48" t="s">
        <v>105</v>
      </c>
      <c r="C48" s="2">
        <v>44867.357361111113</v>
      </c>
      <c r="D48" t="s">
        <v>81</v>
      </c>
    </row>
    <row r="49" spans="1:4" x14ac:dyDescent="0.25">
      <c r="A49">
        <v>18</v>
      </c>
      <c r="B49" t="s">
        <v>106</v>
      </c>
      <c r="C49" s="2">
        <v>44867.357372685183</v>
      </c>
      <c r="D49" t="s">
        <v>81</v>
      </c>
    </row>
    <row r="50" spans="1:4" x14ac:dyDescent="0.25">
      <c r="A50">
        <v>19</v>
      </c>
      <c r="B50" t="s">
        <v>107</v>
      </c>
      <c r="C50" s="2">
        <v>44867.357372685183</v>
      </c>
      <c r="D50" t="s">
        <v>81</v>
      </c>
    </row>
    <row r="51" spans="1:4" x14ac:dyDescent="0.25">
      <c r="A51">
        <v>20</v>
      </c>
      <c r="B51" t="s">
        <v>108</v>
      </c>
      <c r="C51" s="2">
        <v>44867.357372685183</v>
      </c>
      <c r="D51" t="s">
        <v>81</v>
      </c>
    </row>
    <row r="52" spans="1:4" x14ac:dyDescent="0.25">
      <c r="A52">
        <v>21</v>
      </c>
      <c r="B52" t="s">
        <v>109</v>
      </c>
      <c r="C52" s="2">
        <v>44867.357372685183</v>
      </c>
      <c r="D52" t="s">
        <v>81</v>
      </c>
    </row>
    <row r="53" spans="1:4" x14ac:dyDescent="0.25">
      <c r="A53">
        <v>22</v>
      </c>
      <c r="B53" t="s">
        <v>110</v>
      </c>
      <c r="C53" s="2">
        <v>44867.357372685183</v>
      </c>
      <c r="D53" t="s">
        <v>81</v>
      </c>
    </row>
    <row r="54" spans="1:4" x14ac:dyDescent="0.25">
      <c r="A54">
        <v>23</v>
      </c>
      <c r="B54" t="s">
        <v>111</v>
      </c>
      <c r="C54" s="2">
        <v>44867.357372685183</v>
      </c>
      <c r="D54" t="s">
        <v>81</v>
      </c>
    </row>
    <row r="55" spans="1:4" x14ac:dyDescent="0.25">
      <c r="A55">
        <v>24</v>
      </c>
      <c r="B55" t="s">
        <v>28</v>
      </c>
      <c r="C55" s="2">
        <v>44867.35738425926</v>
      </c>
      <c r="D55" t="s">
        <v>81</v>
      </c>
    </row>
    <row r="56" spans="1:4" x14ac:dyDescent="0.25">
      <c r="A56">
        <v>25</v>
      </c>
      <c r="B56" t="s">
        <v>41</v>
      </c>
      <c r="C56" s="2">
        <v>44867.35738425926</v>
      </c>
      <c r="D56" t="s">
        <v>81</v>
      </c>
    </row>
    <row r="57" spans="1:4" x14ac:dyDescent="0.25">
      <c r="A57">
        <v>26</v>
      </c>
      <c r="B57" t="s">
        <v>59</v>
      </c>
      <c r="C57" s="2">
        <v>44867.35738425926</v>
      </c>
      <c r="D57" t="s">
        <v>81</v>
      </c>
    </row>
    <row r="58" spans="1:4" x14ac:dyDescent="0.25">
      <c r="A58">
        <v>27</v>
      </c>
      <c r="B58" t="s">
        <v>60</v>
      </c>
      <c r="C58" s="2">
        <v>44867.35738425926</v>
      </c>
      <c r="D58" t="s">
        <v>81</v>
      </c>
    </row>
    <row r="59" spans="1:4" x14ac:dyDescent="0.25">
      <c r="A59">
        <v>28</v>
      </c>
      <c r="B59" t="s">
        <v>61</v>
      </c>
      <c r="C59" s="2">
        <v>44867.35738425926</v>
      </c>
      <c r="D59" t="s">
        <v>81</v>
      </c>
    </row>
    <row r="60" spans="1:4" x14ac:dyDescent="0.25">
      <c r="A60">
        <v>29</v>
      </c>
      <c r="B60" t="s">
        <v>62</v>
      </c>
      <c r="C60" s="2">
        <v>44867.35738425926</v>
      </c>
      <c r="D60" t="s">
        <v>81</v>
      </c>
    </row>
    <row r="61" spans="1:4" x14ac:dyDescent="0.25">
      <c r="A61">
        <v>30</v>
      </c>
      <c r="B61" t="s">
        <v>63</v>
      </c>
      <c r="C61" s="2">
        <v>44867.35738425926</v>
      </c>
      <c r="D61" t="s">
        <v>81</v>
      </c>
    </row>
    <row r="62" spans="1:4" x14ac:dyDescent="0.25">
      <c r="A62">
        <v>31</v>
      </c>
      <c r="B62" t="s">
        <v>64</v>
      </c>
      <c r="C62" s="2">
        <v>44867.357395833336</v>
      </c>
      <c r="D62" t="s">
        <v>81</v>
      </c>
    </row>
    <row r="63" spans="1:4" x14ac:dyDescent="0.25">
      <c r="A63">
        <v>32</v>
      </c>
      <c r="B63" t="s">
        <v>65</v>
      </c>
      <c r="C63" s="2">
        <v>44867.357395833336</v>
      </c>
      <c r="D63" t="s">
        <v>81</v>
      </c>
    </row>
    <row r="64" spans="1:4" x14ac:dyDescent="0.25">
      <c r="A64">
        <v>33</v>
      </c>
      <c r="B64" t="s">
        <v>66</v>
      </c>
      <c r="C64" s="2">
        <v>44867.357395833336</v>
      </c>
      <c r="D64" t="s">
        <v>81</v>
      </c>
    </row>
    <row r="65" spans="1:4" x14ac:dyDescent="0.25">
      <c r="A65">
        <v>34</v>
      </c>
      <c r="B65" t="s">
        <v>67</v>
      </c>
      <c r="C65" s="2">
        <v>44867.357395833336</v>
      </c>
      <c r="D65" t="s">
        <v>81</v>
      </c>
    </row>
    <row r="66" spans="1:4" x14ac:dyDescent="0.25">
      <c r="A66">
        <v>35</v>
      </c>
      <c r="B66" t="s">
        <v>68</v>
      </c>
      <c r="C66" s="2">
        <v>44867.357395833336</v>
      </c>
      <c r="D66" t="s">
        <v>81</v>
      </c>
    </row>
    <row r="67" spans="1:4" x14ac:dyDescent="0.25">
      <c r="A67">
        <v>24</v>
      </c>
      <c r="B67" t="s">
        <v>28</v>
      </c>
      <c r="C67" s="2">
        <v>44867.367152777777</v>
      </c>
      <c r="D67" t="s">
        <v>81</v>
      </c>
    </row>
    <row r="68" spans="1:4" x14ac:dyDescent="0.25">
      <c r="A68">
        <v>5</v>
      </c>
      <c r="B68" t="s">
        <v>96</v>
      </c>
      <c r="C68" s="2">
        <v>44867.377465277779</v>
      </c>
      <c r="D68" t="s">
        <v>81</v>
      </c>
    </row>
    <row r="69" spans="1:4" x14ac:dyDescent="0.25">
      <c r="A69">
        <v>5</v>
      </c>
      <c r="B69" t="s">
        <v>96</v>
      </c>
      <c r="C69" s="2">
        <v>44867.389861111114</v>
      </c>
      <c r="D69" t="s">
        <v>81</v>
      </c>
    </row>
    <row r="70" spans="1:4" x14ac:dyDescent="0.25">
      <c r="A70">
        <v>26</v>
      </c>
      <c r="B70" t="s">
        <v>59</v>
      </c>
      <c r="C70" s="2">
        <v>44867.389861111114</v>
      </c>
      <c r="D70" t="s">
        <v>81</v>
      </c>
    </row>
    <row r="71" spans="1:4" x14ac:dyDescent="0.25">
      <c r="A71">
        <v>28</v>
      </c>
      <c r="B71" t="s">
        <v>61</v>
      </c>
      <c r="C71" s="2">
        <v>44867.389861111114</v>
      </c>
      <c r="D71" t="s">
        <v>81</v>
      </c>
    </row>
    <row r="72" spans="1:4" x14ac:dyDescent="0.25">
      <c r="A72">
        <v>29</v>
      </c>
      <c r="B72" t="s">
        <v>62</v>
      </c>
      <c r="C72" s="2">
        <v>44867.389861111114</v>
      </c>
      <c r="D72" t="s">
        <v>81</v>
      </c>
    </row>
    <row r="73" spans="1:4" x14ac:dyDescent="0.25">
      <c r="A73">
        <v>30</v>
      </c>
      <c r="B73" t="s">
        <v>63</v>
      </c>
      <c r="C73" s="2">
        <v>44867.389861111114</v>
      </c>
      <c r="D73" t="s">
        <v>81</v>
      </c>
    </row>
    <row r="74" spans="1:4" x14ac:dyDescent="0.25">
      <c r="A74">
        <v>31</v>
      </c>
      <c r="B74" t="s">
        <v>64</v>
      </c>
      <c r="C74" s="2">
        <v>44867.389861111114</v>
      </c>
      <c r="D74" t="s">
        <v>81</v>
      </c>
    </row>
    <row r="75" spans="1:4" x14ac:dyDescent="0.25">
      <c r="A75">
        <v>32</v>
      </c>
      <c r="B75" t="s">
        <v>65</v>
      </c>
      <c r="C75" s="2">
        <v>44867.389861111114</v>
      </c>
      <c r="D75" t="s">
        <v>81</v>
      </c>
    </row>
    <row r="76" spans="1:4" x14ac:dyDescent="0.25">
      <c r="A76">
        <v>33</v>
      </c>
      <c r="B76" t="s">
        <v>66</v>
      </c>
      <c r="C76" s="2">
        <v>44867.389872685184</v>
      </c>
      <c r="D76" t="s">
        <v>81</v>
      </c>
    </row>
    <row r="77" spans="1:4" x14ac:dyDescent="0.25">
      <c r="A77">
        <v>35</v>
      </c>
      <c r="B77" t="s">
        <v>68</v>
      </c>
      <c r="C77" s="2">
        <v>44867.389872685184</v>
      </c>
      <c r="D77" t="s">
        <v>81</v>
      </c>
    </row>
    <row r="78" spans="1:4" x14ac:dyDescent="0.25">
      <c r="A78">
        <v>5</v>
      </c>
      <c r="B78" t="s">
        <v>96</v>
      </c>
      <c r="C78" s="2">
        <v>44867.406400462962</v>
      </c>
      <c r="D78" t="s">
        <v>81</v>
      </c>
    </row>
    <row r="79" spans="1:4" x14ac:dyDescent="0.25">
      <c r="A79">
        <v>26</v>
      </c>
      <c r="B79" t="s">
        <v>59</v>
      </c>
      <c r="C79" s="2">
        <v>44867.406400462962</v>
      </c>
      <c r="D79" t="s">
        <v>81</v>
      </c>
    </row>
    <row r="80" spans="1:4" x14ac:dyDescent="0.25">
      <c r="A80">
        <v>28</v>
      </c>
      <c r="B80" t="s">
        <v>61</v>
      </c>
      <c r="C80" s="2">
        <v>44867.406412037039</v>
      </c>
      <c r="D80" t="s">
        <v>81</v>
      </c>
    </row>
    <row r="81" spans="1:4" x14ac:dyDescent="0.25">
      <c r="A81">
        <v>29</v>
      </c>
      <c r="B81" t="s">
        <v>62</v>
      </c>
      <c r="C81" s="2">
        <v>44867.406412037039</v>
      </c>
      <c r="D81" t="s">
        <v>81</v>
      </c>
    </row>
    <row r="82" spans="1:4" x14ac:dyDescent="0.25">
      <c r="A82">
        <v>30</v>
      </c>
      <c r="B82" t="s">
        <v>63</v>
      </c>
      <c r="C82" s="2">
        <v>44867.406412037039</v>
      </c>
      <c r="D82" t="s">
        <v>81</v>
      </c>
    </row>
    <row r="83" spans="1:4" x14ac:dyDescent="0.25">
      <c r="A83">
        <v>31</v>
      </c>
      <c r="B83" t="s">
        <v>64</v>
      </c>
      <c r="C83" s="2">
        <v>44867.406412037039</v>
      </c>
      <c r="D83" t="s">
        <v>81</v>
      </c>
    </row>
    <row r="84" spans="1:4" x14ac:dyDescent="0.25">
      <c r="A84">
        <v>32</v>
      </c>
      <c r="B84" t="s">
        <v>65</v>
      </c>
      <c r="C84" s="2">
        <v>44867.406412037039</v>
      </c>
      <c r="D84" t="s">
        <v>81</v>
      </c>
    </row>
    <row r="85" spans="1:4" x14ac:dyDescent="0.25">
      <c r="A85">
        <v>33</v>
      </c>
      <c r="B85" t="s">
        <v>66</v>
      </c>
      <c r="C85" s="2">
        <v>44867.406412037039</v>
      </c>
      <c r="D85" t="s">
        <v>81</v>
      </c>
    </row>
    <row r="86" spans="1:4" x14ac:dyDescent="0.25">
      <c r="A86">
        <v>35</v>
      </c>
      <c r="B86" t="s">
        <v>68</v>
      </c>
      <c r="C86" s="2">
        <v>44867.406412037039</v>
      </c>
      <c r="D86" t="s">
        <v>81</v>
      </c>
    </row>
    <row r="87" spans="1:4" x14ac:dyDescent="0.25">
      <c r="A87">
        <v>5</v>
      </c>
      <c r="B87" t="s">
        <v>96</v>
      </c>
      <c r="C87" s="2">
        <v>44867.425046296295</v>
      </c>
      <c r="D87" t="s">
        <v>81</v>
      </c>
    </row>
    <row r="88" spans="1:4" x14ac:dyDescent="0.25">
      <c r="A88">
        <v>26</v>
      </c>
      <c r="B88" t="s">
        <v>59</v>
      </c>
      <c r="C88" s="2">
        <v>44867.425046296295</v>
      </c>
      <c r="D88" t="s">
        <v>81</v>
      </c>
    </row>
    <row r="89" spans="1:4" x14ac:dyDescent="0.25">
      <c r="A89">
        <v>28</v>
      </c>
      <c r="B89" t="s">
        <v>61</v>
      </c>
      <c r="C89" s="2">
        <v>44867.425046296295</v>
      </c>
      <c r="D89" t="s">
        <v>81</v>
      </c>
    </row>
    <row r="90" spans="1:4" x14ac:dyDescent="0.25">
      <c r="A90">
        <v>29</v>
      </c>
      <c r="B90" t="s">
        <v>62</v>
      </c>
      <c r="C90" s="2">
        <v>44867.425046296295</v>
      </c>
      <c r="D90" t="s">
        <v>81</v>
      </c>
    </row>
    <row r="91" spans="1:4" x14ac:dyDescent="0.25">
      <c r="A91">
        <v>30</v>
      </c>
      <c r="B91" t="s">
        <v>63</v>
      </c>
      <c r="C91" s="2">
        <v>44867.425046296295</v>
      </c>
      <c r="D91" t="s">
        <v>81</v>
      </c>
    </row>
    <row r="92" spans="1:4" x14ac:dyDescent="0.25">
      <c r="A92">
        <v>31</v>
      </c>
      <c r="B92" t="s">
        <v>64</v>
      </c>
      <c r="C92" s="2">
        <v>44867.425057870372</v>
      </c>
      <c r="D92" t="s">
        <v>81</v>
      </c>
    </row>
    <row r="93" spans="1:4" x14ac:dyDescent="0.25">
      <c r="A93">
        <v>32</v>
      </c>
      <c r="B93" t="s">
        <v>65</v>
      </c>
      <c r="C93" s="2">
        <v>44867.425057870372</v>
      </c>
      <c r="D93" t="s">
        <v>81</v>
      </c>
    </row>
    <row r="94" spans="1:4" x14ac:dyDescent="0.25">
      <c r="A94">
        <v>33</v>
      </c>
      <c r="B94" t="s">
        <v>66</v>
      </c>
      <c r="C94" s="2">
        <v>44867.425057870372</v>
      </c>
      <c r="D94" t="s">
        <v>81</v>
      </c>
    </row>
    <row r="95" spans="1:4" x14ac:dyDescent="0.25">
      <c r="A95">
        <v>35</v>
      </c>
      <c r="B95" t="s">
        <v>68</v>
      </c>
      <c r="C95" s="2">
        <v>44867.425057870372</v>
      </c>
      <c r="D95" t="s">
        <v>81</v>
      </c>
    </row>
    <row r="96" spans="1:4" x14ac:dyDescent="0.25">
      <c r="A96">
        <v>4</v>
      </c>
      <c r="B96" t="s">
        <v>155</v>
      </c>
      <c r="C96" s="2">
        <v>44867.888773148145</v>
      </c>
      <c r="D96" t="s">
        <v>81</v>
      </c>
    </row>
    <row r="97" spans="1:4" x14ac:dyDescent="0.25">
      <c r="A97">
        <v>5</v>
      </c>
      <c r="B97" t="s">
        <v>167</v>
      </c>
      <c r="C97" s="2">
        <v>44867.888773148145</v>
      </c>
      <c r="D97" t="s">
        <v>81</v>
      </c>
    </row>
    <row r="98" spans="1:4" x14ac:dyDescent="0.25">
      <c r="A98">
        <v>6</v>
      </c>
      <c r="B98" t="s">
        <v>156</v>
      </c>
      <c r="C98" s="2">
        <v>44867.888773148145</v>
      </c>
      <c r="D98" t="s">
        <v>81</v>
      </c>
    </row>
    <row r="99" spans="1:4" x14ac:dyDescent="0.25">
      <c r="A99">
        <v>8</v>
      </c>
      <c r="B99" t="s">
        <v>158</v>
      </c>
      <c r="C99" s="2">
        <v>44867.888784722221</v>
      </c>
      <c r="D99" t="s">
        <v>81</v>
      </c>
    </row>
    <row r="100" spans="1:4" x14ac:dyDescent="0.25">
      <c r="A100">
        <v>15</v>
      </c>
      <c r="B100" t="s">
        <v>157</v>
      </c>
      <c r="C100" s="2">
        <v>44867.888784722221</v>
      </c>
      <c r="D100" t="s">
        <v>81</v>
      </c>
    </row>
    <row r="101" spans="1:4" x14ac:dyDescent="0.25">
      <c r="A101">
        <v>26</v>
      </c>
      <c r="B101" t="s">
        <v>159</v>
      </c>
      <c r="C101" s="2">
        <v>44867.888796296298</v>
      </c>
      <c r="D101" t="s">
        <v>81</v>
      </c>
    </row>
    <row r="102" spans="1:4" x14ac:dyDescent="0.25">
      <c r="A102">
        <v>28</v>
      </c>
      <c r="B102" t="s">
        <v>160</v>
      </c>
      <c r="C102" s="2">
        <v>44867.888796296298</v>
      </c>
      <c r="D102" t="s">
        <v>81</v>
      </c>
    </row>
    <row r="103" spans="1:4" x14ac:dyDescent="0.25">
      <c r="A103">
        <v>29</v>
      </c>
      <c r="B103" t="s">
        <v>161</v>
      </c>
      <c r="C103" s="2">
        <v>44867.888807870368</v>
      </c>
      <c r="D103" t="s">
        <v>81</v>
      </c>
    </row>
    <row r="104" spans="1:4" x14ac:dyDescent="0.25">
      <c r="A104">
        <v>30</v>
      </c>
      <c r="B104" t="s">
        <v>162</v>
      </c>
      <c r="C104" s="2">
        <v>44867.888807870368</v>
      </c>
      <c r="D104" t="s">
        <v>81</v>
      </c>
    </row>
    <row r="105" spans="1:4" x14ac:dyDescent="0.25">
      <c r="A105">
        <v>31</v>
      </c>
      <c r="B105" t="s">
        <v>163</v>
      </c>
      <c r="C105" s="2">
        <v>44867.888819444444</v>
      </c>
      <c r="D105" t="s">
        <v>81</v>
      </c>
    </row>
    <row r="106" spans="1:4" x14ac:dyDescent="0.25">
      <c r="A106">
        <v>32</v>
      </c>
      <c r="B106" t="s">
        <v>164</v>
      </c>
      <c r="C106" s="2">
        <v>44867.888819444444</v>
      </c>
      <c r="D106" t="s">
        <v>81</v>
      </c>
    </row>
    <row r="107" spans="1:4" x14ac:dyDescent="0.25">
      <c r="A107">
        <v>33</v>
      </c>
      <c r="B107" t="s">
        <v>165</v>
      </c>
      <c r="C107" s="2">
        <v>44867.888819444444</v>
      </c>
      <c r="D107" t="s">
        <v>81</v>
      </c>
    </row>
    <row r="108" spans="1:4" x14ac:dyDescent="0.25">
      <c r="A108">
        <v>35</v>
      </c>
      <c r="B108" t="s">
        <v>166</v>
      </c>
      <c r="C108" s="2">
        <v>44867.888831018521</v>
      </c>
      <c r="D108" t="s">
        <v>81</v>
      </c>
    </row>
    <row r="109" spans="1:4" x14ac:dyDescent="0.25">
      <c r="A109">
        <v>4</v>
      </c>
      <c r="B109" t="s">
        <v>155</v>
      </c>
      <c r="C109" s="2">
        <v>44867.89398148148</v>
      </c>
      <c r="D109" t="s">
        <v>81</v>
      </c>
    </row>
    <row r="110" spans="1:4" x14ac:dyDescent="0.25">
      <c r="A110">
        <v>5</v>
      </c>
      <c r="B110" t="s">
        <v>167</v>
      </c>
      <c r="C110" s="2">
        <v>44867.893993055557</v>
      </c>
      <c r="D110" t="s">
        <v>81</v>
      </c>
    </row>
    <row r="111" spans="1:4" x14ac:dyDescent="0.25">
      <c r="A111">
        <v>6</v>
      </c>
      <c r="B111" t="s">
        <v>156</v>
      </c>
      <c r="C111" s="2">
        <v>44867.893993055557</v>
      </c>
      <c r="D111" t="s">
        <v>81</v>
      </c>
    </row>
    <row r="112" spans="1:4" x14ac:dyDescent="0.25">
      <c r="A112">
        <v>8</v>
      </c>
      <c r="B112" t="s">
        <v>158</v>
      </c>
      <c r="C112" s="2">
        <v>44867.893993055557</v>
      </c>
      <c r="D112" t="s">
        <v>81</v>
      </c>
    </row>
    <row r="113" spans="1:4" x14ac:dyDescent="0.25">
      <c r="A113">
        <v>15</v>
      </c>
      <c r="B113" t="s">
        <v>157</v>
      </c>
      <c r="C113" s="2">
        <v>44867.894004629627</v>
      </c>
      <c r="D113" t="s">
        <v>81</v>
      </c>
    </row>
    <row r="114" spans="1:4" x14ac:dyDescent="0.25">
      <c r="A114">
        <v>26</v>
      </c>
      <c r="B114" t="s">
        <v>159</v>
      </c>
      <c r="C114" s="2">
        <v>44867.894016203703</v>
      </c>
      <c r="D114" t="s">
        <v>81</v>
      </c>
    </row>
    <row r="115" spans="1:4" x14ac:dyDescent="0.25">
      <c r="A115">
        <v>28</v>
      </c>
      <c r="B115" t="s">
        <v>160</v>
      </c>
      <c r="C115" s="2">
        <v>44867.894016203703</v>
      </c>
      <c r="D115" t="s">
        <v>81</v>
      </c>
    </row>
    <row r="116" spans="1:4" x14ac:dyDescent="0.25">
      <c r="A116">
        <v>29</v>
      </c>
      <c r="B116" t="s">
        <v>161</v>
      </c>
      <c r="C116" s="2">
        <v>44867.894016203703</v>
      </c>
      <c r="D116" t="s">
        <v>81</v>
      </c>
    </row>
    <row r="117" spans="1:4" x14ac:dyDescent="0.25">
      <c r="A117">
        <v>30</v>
      </c>
      <c r="B117" t="s">
        <v>162</v>
      </c>
      <c r="C117" s="2">
        <v>44867.89402777778</v>
      </c>
      <c r="D117" t="s">
        <v>81</v>
      </c>
    </row>
    <row r="118" spans="1:4" x14ac:dyDescent="0.25">
      <c r="A118">
        <v>31</v>
      </c>
      <c r="B118" t="s">
        <v>163</v>
      </c>
      <c r="C118" s="2">
        <v>44867.89402777778</v>
      </c>
      <c r="D118" t="s">
        <v>81</v>
      </c>
    </row>
    <row r="119" spans="1:4" x14ac:dyDescent="0.25">
      <c r="A119">
        <v>32</v>
      </c>
      <c r="B119" t="s">
        <v>164</v>
      </c>
      <c r="C119" s="2">
        <v>44867.89403935185</v>
      </c>
      <c r="D119" t="s">
        <v>81</v>
      </c>
    </row>
    <row r="120" spans="1:4" x14ac:dyDescent="0.25">
      <c r="A120">
        <v>33</v>
      </c>
      <c r="B120" t="s">
        <v>165</v>
      </c>
      <c r="C120" s="2">
        <v>44867.89403935185</v>
      </c>
      <c r="D120" t="s">
        <v>81</v>
      </c>
    </row>
    <row r="121" spans="1:4" x14ac:dyDescent="0.25">
      <c r="A121">
        <v>35</v>
      </c>
      <c r="B121" t="s">
        <v>166</v>
      </c>
      <c r="C121" s="2">
        <v>44867.89403935185</v>
      </c>
      <c r="D121" t="s">
        <v>81</v>
      </c>
    </row>
    <row r="122" spans="1:4" x14ac:dyDescent="0.25">
      <c r="A122">
        <v>5</v>
      </c>
      <c r="B122" t="s">
        <v>167</v>
      </c>
      <c r="C122" s="2">
        <v>44867.911296296297</v>
      </c>
      <c r="D122" t="s">
        <v>81</v>
      </c>
    </row>
    <row r="123" spans="1:4" x14ac:dyDescent="0.25">
      <c r="A123">
        <v>5</v>
      </c>
      <c r="B123" t="s">
        <v>167</v>
      </c>
      <c r="C123" s="2">
        <v>44867.914479166669</v>
      </c>
      <c r="D123" t="s">
        <v>81</v>
      </c>
    </row>
    <row r="124" spans="1:4" x14ac:dyDescent="0.25">
      <c r="A124">
        <v>5</v>
      </c>
      <c r="B124" t="s">
        <v>167</v>
      </c>
      <c r="C124" s="2">
        <v>44867.916562500002</v>
      </c>
      <c r="D124" t="s">
        <v>81</v>
      </c>
    </row>
    <row r="125" spans="1:4" x14ac:dyDescent="0.25">
      <c r="A125">
        <v>6</v>
      </c>
      <c r="B125" t="s">
        <v>156</v>
      </c>
      <c r="C125" s="2">
        <v>44867.916562500002</v>
      </c>
      <c r="D125" t="s">
        <v>81</v>
      </c>
    </row>
    <row r="126" spans="1:4" x14ac:dyDescent="0.25">
      <c r="A126">
        <v>8</v>
      </c>
      <c r="B126" t="s">
        <v>158</v>
      </c>
      <c r="C126" s="2">
        <v>44867.916574074072</v>
      </c>
      <c r="D126" t="s">
        <v>81</v>
      </c>
    </row>
    <row r="127" spans="1:4" x14ac:dyDescent="0.25">
      <c r="A127">
        <v>15</v>
      </c>
      <c r="B127" t="s">
        <v>157</v>
      </c>
      <c r="C127" s="2">
        <v>44867.916574074072</v>
      </c>
      <c r="D127" t="s">
        <v>81</v>
      </c>
    </row>
    <row r="128" spans="1:4" x14ac:dyDescent="0.25">
      <c r="A128">
        <v>26</v>
      </c>
      <c r="B128" t="s">
        <v>159</v>
      </c>
      <c r="C128" s="2">
        <v>44867.916585648149</v>
      </c>
      <c r="D128" t="s">
        <v>81</v>
      </c>
    </row>
    <row r="129" spans="1:4" x14ac:dyDescent="0.25">
      <c r="A129">
        <v>28</v>
      </c>
      <c r="B129" t="s">
        <v>160</v>
      </c>
      <c r="C129" s="2">
        <v>44867.916597222225</v>
      </c>
      <c r="D129" t="s">
        <v>81</v>
      </c>
    </row>
    <row r="130" spans="1:4" x14ac:dyDescent="0.25">
      <c r="A130">
        <v>29</v>
      </c>
      <c r="B130" t="s">
        <v>161</v>
      </c>
      <c r="C130" s="2">
        <v>44867.916597222225</v>
      </c>
      <c r="D130" t="s">
        <v>81</v>
      </c>
    </row>
    <row r="131" spans="1:4" x14ac:dyDescent="0.25">
      <c r="A131">
        <v>30</v>
      </c>
      <c r="B131" t="s">
        <v>162</v>
      </c>
      <c r="C131" s="2">
        <v>44867.916597222225</v>
      </c>
      <c r="D131" t="s">
        <v>81</v>
      </c>
    </row>
    <row r="132" spans="1:4" x14ac:dyDescent="0.25">
      <c r="A132">
        <v>31</v>
      </c>
      <c r="B132" t="s">
        <v>163</v>
      </c>
      <c r="C132" s="2">
        <v>44867.916608796295</v>
      </c>
      <c r="D132" t="s">
        <v>81</v>
      </c>
    </row>
    <row r="133" spans="1:4" x14ac:dyDescent="0.25">
      <c r="A133">
        <v>32</v>
      </c>
      <c r="B133" t="s">
        <v>164</v>
      </c>
      <c r="C133" s="2">
        <v>44867.916608796295</v>
      </c>
      <c r="D133" t="s">
        <v>81</v>
      </c>
    </row>
    <row r="134" spans="1:4" x14ac:dyDescent="0.25">
      <c r="A134">
        <v>33</v>
      </c>
      <c r="B134" t="s">
        <v>165</v>
      </c>
      <c r="C134" s="2">
        <v>44867.916620370372</v>
      </c>
      <c r="D134" t="s">
        <v>81</v>
      </c>
    </row>
    <row r="135" spans="1:4" x14ac:dyDescent="0.25">
      <c r="A135">
        <v>35</v>
      </c>
      <c r="B135" t="s">
        <v>166</v>
      </c>
      <c r="C135" s="2">
        <v>44867.916620370372</v>
      </c>
      <c r="D135" t="s">
        <v>81</v>
      </c>
    </row>
    <row r="136" spans="1:4" x14ac:dyDescent="0.25">
      <c r="A136">
        <v>5</v>
      </c>
      <c r="B136" t="s">
        <v>96</v>
      </c>
      <c r="C136" s="2">
        <v>44868.002546296295</v>
      </c>
      <c r="D136" t="s">
        <v>81</v>
      </c>
    </row>
    <row r="137" spans="1:4" x14ac:dyDescent="0.25">
      <c r="A137">
        <v>5</v>
      </c>
      <c r="B137" t="s">
        <v>96</v>
      </c>
      <c r="C137" s="2">
        <v>44868.006793981483</v>
      </c>
      <c r="D137" t="s">
        <v>81</v>
      </c>
    </row>
    <row r="138" spans="1:4" x14ac:dyDescent="0.25">
      <c r="A138">
        <v>5</v>
      </c>
      <c r="B138" t="s">
        <v>96</v>
      </c>
      <c r="C138" s="2">
        <v>44868.008055555554</v>
      </c>
      <c r="D138" t="s">
        <v>81</v>
      </c>
    </row>
    <row r="139" spans="1:4" x14ac:dyDescent="0.25">
      <c r="A139">
        <v>5</v>
      </c>
      <c r="B139" t="s">
        <v>96</v>
      </c>
      <c r="C139" s="2">
        <v>44868.010844907411</v>
      </c>
      <c r="D139" t="s">
        <v>81</v>
      </c>
    </row>
    <row r="140" spans="1:4" x14ac:dyDescent="0.25">
      <c r="A140">
        <v>5</v>
      </c>
      <c r="B140" t="s">
        <v>96</v>
      </c>
      <c r="C140" s="2">
        <v>44868.012129629627</v>
      </c>
      <c r="D140" t="s">
        <v>81</v>
      </c>
    </row>
    <row r="141" spans="1:4" x14ac:dyDescent="0.25">
      <c r="A141">
        <v>5</v>
      </c>
      <c r="B141" t="s">
        <v>96</v>
      </c>
      <c r="C141" s="2">
        <v>44868.015381944446</v>
      </c>
      <c r="D141" t="s">
        <v>81</v>
      </c>
    </row>
    <row r="142" spans="1:4" x14ac:dyDescent="0.25">
      <c r="A142">
        <v>5</v>
      </c>
      <c r="B142" t="s">
        <v>96</v>
      </c>
      <c r="C142" s="2">
        <v>44868.018194444441</v>
      </c>
      <c r="D142" t="s">
        <v>81</v>
      </c>
    </row>
    <row r="143" spans="1:4" x14ac:dyDescent="0.25">
      <c r="A143">
        <v>5</v>
      </c>
      <c r="B143" t="s">
        <v>96</v>
      </c>
      <c r="C143" s="2">
        <v>44868.018437500003</v>
      </c>
      <c r="D143" t="s">
        <v>81</v>
      </c>
    </row>
    <row r="144" spans="1:4" x14ac:dyDescent="0.25">
      <c r="A144">
        <v>5</v>
      </c>
      <c r="B144" t="s">
        <v>96</v>
      </c>
      <c r="C144" s="2">
        <v>44868.025659722225</v>
      </c>
      <c r="D144" t="s">
        <v>81</v>
      </c>
    </row>
    <row r="145" spans="1:4" x14ac:dyDescent="0.25">
      <c r="A145">
        <v>5</v>
      </c>
      <c r="B145" t="s">
        <v>96</v>
      </c>
      <c r="C145" s="2">
        <v>44868.026875000003</v>
      </c>
      <c r="D145" t="s">
        <v>81</v>
      </c>
    </row>
    <row r="146" spans="1:4" x14ac:dyDescent="0.25">
      <c r="A146">
        <v>5</v>
      </c>
      <c r="B146" t="s">
        <v>96</v>
      </c>
      <c r="C146" s="2">
        <v>44868.028865740744</v>
      </c>
      <c r="D146" t="s">
        <v>81</v>
      </c>
    </row>
    <row r="147" spans="1:4" x14ac:dyDescent="0.25">
      <c r="A147">
        <v>5</v>
      </c>
      <c r="B147" t="s">
        <v>96</v>
      </c>
      <c r="C147" s="2">
        <v>44868.029560185183</v>
      </c>
      <c r="D147" t="s">
        <v>81</v>
      </c>
    </row>
    <row r="148" spans="1:4" x14ac:dyDescent="0.25">
      <c r="A148">
        <v>5</v>
      </c>
      <c r="B148" t="s">
        <v>96</v>
      </c>
      <c r="C148" s="2">
        <v>44868.038055555553</v>
      </c>
      <c r="D148" t="s">
        <v>81</v>
      </c>
    </row>
    <row r="149" spans="1:4" x14ac:dyDescent="0.25">
      <c r="A149">
        <v>5</v>
      </c>
      <c r="B149" t="s">
        <v>96</v>
      </c>
      <c r="C149" s="2">
        <v>44868.043703703705</v>
      </c>
      <c r="D149" t="s">
        <v>81</v>
      </c>
    </row>
    <row r="150" spans="1:4" x14ac:dyDescent="0.25">
      <c r="A150">
        <v>5</v>
      </c>
      <c r="B150" t="s">
        <v>96</v>
      </c>
      <c r="C150" s="2">
        <v>44868.42523148148</v>
      </c>
      <c r="D150" t="s">
        <v>81</v>
      </c>
    </row>
    <row r="151" spans="1:4" x14ac:dyDescent="0.25">
      <c r="A151">
        <v>5</v>
      </c>
      <c r="B151" t="s">
        <v>167</v>
      </c>
      <c r="C151" s="2">
        <v>44868.604317129626</v>
      </c>
      <c r="D151" t="s">
        <v>81</v>
      </c>
    </row>
    <row r="152" spans="1:4" x14ac:dyDescent="0.25">
      <c r="A152">
        <v>5</v>
      </c>
      <c r="B152" t="s">
        <v>167</v>
      </c>
      <c r="C152" s="2">
        <v>44868.606851851851</v>
      </c>
      <c r="D152" t="s">
        <v>81</v>
      </c>
    </row>
    <row r="153" spans="1:4" x14ac:dyDescent="0.25">
      <c r="A153">
        <v>5</v>
      </c>
      <c r="B153" t="s">
        <v>167</v>
      </c>
      <c r="C153" s="2">
        <v>44868.608773148146</v>
      </c>
      <c r="D153" t="s">
        <v>81</v>
      </c>
    </row>
    <row r="154" spans="1:4" x14ac:dyDescent="0.25">
      <c r="A154">
        <v>5</v>
      </c>
      <c r="B154" t="s">
        <v>96</v>
      </c>
      <c r="C154" s="2">
        <v>44869.014120370368</v>
      </c>
      <c r="D154" t="s">
        <v>81</v>
      </c>
    </row>
    <row r="155" spans="1:4" x14ac:dyDescent="0.25">
      <c r="A155">
        <v>5</v>
      </c>
      <c r="B155" t="s">
        <v>96</v>
      </c>
      <c r="C155" s="2">
        <v>44869.024629629632</v>
      </c>
      <c r="D155" t="s">
        <v>81</v>
      </c>
    </row>
    <row r="156" spans="1:4" x14ac:dyDescent="0.25">
      <c r="A156">
        <v>5</v>
      </c>
      <c r="B156" t="s">
        <v>96</v>
      </c>
      <c r="C156" s="2">
        <v>44869.034953703704</v>
      </c>
      <c r="D156" t="s">
        <v>81</v>
      </c>
    </row>
    <row r="157" spans="1:4" x14ac:dyDescent="0.25">
      <c r="A157">
        <v>5</v>
      </c>
      <c r="B157" t="s">
        <v>96</v>
      </c>
      <c r="C157" s="2">
        <v>44869.045358796298</v>
      </c>
      <c r="D157" t="s">
        <v>81</v>
      </c>
    </row>
    <row r="158" spans="1:4" x14ac:dyDescent="0.25">
      <c r="A158">
        <v>5</v>
      </c>
      <c r="B158" t="s">
        <v>96</v>
      </c>
      <c r="C158" s="2">
        <v>44869.055775462963</v>
      </c>
      <c r="D158" t="s">
        <v>81</v>
      </c>
    </row>
    <row r="159" spans="1:4" x14ac:dyDescent="0.25">
      <c r="A159">
        <v>5</v>
      </c>
      <c r="B159" t="s">
        <v>96</v>
      </c>
      <c r="C159" s="2">
        <v>44869.066180555557</v>
      </c>
      <c r="D159" t="s">
        <v>81</v>
      </c>
    </row>
    <row r="160" spans="1:4" x14ac:dyDescent="0.25">
      <c r="A160">
        <v>5</v>
      </c>
      <c r="B160" t="s">
        <v>96</v>
      </c>
      <c r="C160" s="2">
        <v>44869.087083333332</v>
      </c>
      <c r="D160" t="s">
        <v>81</v>
      </c>
    </row>
    <row r="161" spans="1:4" x14ac:dyDescent="0.25">
      <c r="A161">
        <v>5</v>
      </c>
      <c r="B161" t="s">
        <v>96</v>
      </c>
      <c r="C161" s="2">
        <v>44869.097430555557</v>
      </c>
      <c r="D161" t="s">
        <v>81</v>
      </c>
    </row>
    <row r="162" spans="1:4" x14ac:dyDescent="0.25">
      <c r="A162">
        <v>5</v>
      </c>
      <c r="B162" t="s">
        <v>96</v>
      </c>
      <c r="C162" s="2">
        <v>44869.107870370368</v>
      </c>
      <c r="D162" t="s">
        <v>81</v>
      </c>
    </row>
    <row r="163" spans="1:4" x14ac:dyDescent="0.25">
      <c r="A163">
        <v>5</v>
      </c>
      <c r="B163" t="s">
        <v>96</v>
      </c>
      <c r="C163" s="2">
        <v>44869.118287037039</v>
      </c>
      <c r="D163" t="s">
        <v>81</v>
      </c>
    </row>
    <row r="164" spans="1:4" x14ac:dyDescent="0.25">
      <c r="A164">
        <v>5</v>
      </c>
      <c r="B164" t="s">
        <v>96</v>
      </c>
      <c r="C164" s="2">
        <v>44869.128680555557</v>
      </c>
      <c r="D164" t="s">
        <v>81</v>
      </c>
    </row>
    <row r="165" spans="1:4" x14ac:dyDescent="0.25">
      <c r="A165">
        <v>5</v>
      </c>
      <c r="B165" t="s">
        <v>96</v>
      </c>
      <c r="C165" s="2">
        <v>44869.139097222222</v>
      </c>
      <c r="D165" t="s">
        <v>81</v>
      </c>
    </row>
    <row r="166" spans="1:4" x14ac:dyDescent="0.25">
      <c r="A166">
        <v>5</v>
      </c>
      <c r="B166" t="s">
        <v>96</v>
      </c>
      <c r="C166" s="2">
        <v>44869.149525462963</v>
      </c>
      <c r="D166" t="s">
        <v>81</v>
      </c>
    </row>
    <row r="167" spans="1:4" x14ac:dyDescent="0.25">
      <c r="A167">
        <v>5</v>
      </c>
      <c r="B167" t="s">
        <v>96</v>
      </c>
      <c r="C167" s="2">
        <v>44869.159942129627</v>
      </c>
      <c r="D167" t="s">
        <v>81</v>
      </c>
    </row>
    <row r="168" spans="1:4" x14ac:dyDescent="0.25">
      <c r="A168">
        <v>5</v>
      </c>
      <c r="B168" t="s">
        <v>96</v>
      </c>
      <c r="C168" s="2">
        <v>44869.170347222222</v>
      </c>
      <c r="D168" t="s">
        <v>81</v>
      </c>
    </row>
    <row r="169" spans="1:4" x14ac:dyDescent="0.25">
      <c r="A169">
        <v>5</v>
      </c>
      <c r="B169" t="s">
        <v>96</v>
      </c>
      <c r="C169" s="2">
        <v>44869.180763888886</v>
      </c>
      <c r="D169" t="s">
        <v>81</v>
      </c>
    </row>
    <row r="170" spans="1:4" x14ac:dyDescent="0.25">
      <c r="A170">
        <v>5</v>
      </c>
      <c r="B170" t="s">
        <v>96</v>
      </c>
      <c r="C170" s="2">
        <v>44870.014131944445</v>
      </c>
      <c r="D170" t="s">
        <v>81</v>
      </c>
    </row>
    <row r="171" spans="1:4" x14ac:dyDescent="0.25">
      <c r="A171">
        <v>5</v>
      </c>
      <c r="B171" t="s">
        <v>96</v>
      </c>
      <c r="C171" s="2">
        <v>44870.024537037039</v>
      </c>
      <c r="D171" t="s">
        <v>81</v>
      </c>
    </row>
    <row r="172" spans="1:4" x14ac:dyDescent="0.25">
      <c r="A172">
        <v>5</v>
      </c>
      <c r="B172" t="s">
        <v>96</v>
      </c>
      <c r="C172" s="2">
        <v>44870.034953703704</v>
      </c>
      <c r="D172" t="s">
        <v>81</v>
      </c>
    </row>
    <row r="173" spans="1:4" x14ac:dyDescent="0.25">
      <c r="A173">
        <v>5</v>
      </c>
      <c r="B173" t="s">
        <v>96</v>
      </c>
      <c r="C173" s="2">
        <v>44870.045358796298</v>
      </c>
      <c r="D173" t="s">
        <v>81</v>
      </c>
    </row>
    <row r="174" spans="1:4" x14ac:dyDescent="0.25">
      <c r="A174">
        <v>5</v>
      </c>
      <c r="B174" t="s">
        <v>96</v>
      </c>
      <c r="C174" s="2">
        <v>44870.055775462963</v>
      </c>
      <c r="D174" t="s">
        <v>81</v>
      </c>
    </row>
    <row r="175" spans="1:4" x14ac:dyDescent="0.25">
      <c r="A175">
        <v>5</v>
      </c>
      <c r="B175" t="s">
        <v>96</v>
      </c>
      <c r="C175" s="2">
        <v>44870.066203703704</v>
      </c>
      <c r="D175" t="s">
        <v>81</v>
      </c>
    </row>
    <row r="176" spans="1:4" x14ac:dyDescent="0.25">
      <c r="A176">
        <v>5</v>
      </c>
      <c r="B176" t="s">
        <v>96</v>
      </c>
      <c r="C176" s="2">
        <v>44870.087083333332</v>
      </c>
      <c r="D176" t="s">
        <v>81</v>
      </c>
    </row>
    <row r="177" spans="1:4" x14ac:dyDescent="0.25">
      <c r="A177">
        <v>5</v>
      </c>
      <c r="B177" t="s">
        <v>96</v>
      </c>
      <c r="C177" s="2">
        <v>44870.097453703704</v>
      </c>
      <c r="D177" t="s">
        <v>81</v>
      </c>
    </row>
    <row r="178" spans="1:4" x14ac:dyDescent="0.25">
      <c r="A178">
        <v>5</v>
      </c>
      <c r="B178" t="s">
        <v>96</v>
      </c>
      <c r="C178" s="2">
        <v>44870.107847222222</v>
      </c>
      <c r="D178" t="s">
        <v>81</v>
      </c>
    </row>
    <row r="179" spans="1:4" x14ac:dyDescent="0.25">
      <c r="A179">
        <v>5</v>
      </c>
      <c r="B179" t="s">
        <v>96</v>
      </c>
      <c r="C179" s="2">
        <v>44870.118287037039</v>
      </c>
      <c r="D179" t="s">
        <v>81</v>
      </c>
    </row>
    <row r="180" spans="1:4" x14ac:dyDescent="0.25">
      <c r="A180">
        <v>5</v>
      </c>
      <c r="B180" t="s">
        <v>96</v>
      </c>
      <c r="C180" s="2">
        <v>44870.128784722219</v>
      </c>
      <c r="D180" t="s">
        <v>81</v>
      </c>
    </row>
    <row r="181" spans="1:4" x14ac:dyDescent="0.25">
      <c r="A181">
        <v>5</v>
      </c>
      <c r="B181" t="s">
        <v>96</v>
      </c>
      <c r="C181" s="2">
        <v>44870.139097222222</v>
      </c>
      <c r="D181" t="s">
        <v>81</v>
      </c>
    </row>
    <row r="182" spans="1:4" x14ac:dyDescent="0.25">
      <c r="A182">
        <v>5</v>
      </c>
      <c r="B182" t="s">
        <v>96</v>
      </c>
      <c r="C182" s="2">
        <v>44870.149513888886</v>
      </c>
      <c r="D182" t="s">
        <v>81</v>
      </c>
    </row>
    <row r="183" spans="1:4" x14ac:dyDescent="0.25">
      <c r="A183">
        <v>5</v>
      </c>
      <c r="B183" t="s">
        <v>96</v>
      </c>
      <c r="C183" s="2">
        <v>44870.159942129627</v>
      </c>
      <c r="D183" t="s">
        <v>81</v>
      </c>
    </row>
    <row r="184" spans="1:4" x14ac:dyDescent="0.25">
      <c r="A184">
        <v>5</v>
      </c>
      <c r="B184" t="s">
        <v>96</v>
      </c>
      <c r="C184" s="2">
        <v>44870.170347222222</v>
      </c>
      <c r="D184" t="s">
        <v>81</v>
      </c>
    </row>
    <row r="185" spans="1:4" x14ac:dyDescent="0.25">
      <c r="A185">
        <v>5</v>
      </c>
      <c r="B185" t="s">
        <v>96</v>
      </c>
      <c r="C185" s="2">
        <v>44870.180763888886</v>
      </c>
      <c r="D185" t="s">
        <v>81</v>
      </c>
    </row>
    <row r="186" spans="1:4" x14ac:dyDescent="0.25">
      <c r="A186">
        <v>5</v>
      </c>
      <c r="B186" t="s">
        <v>96</v>
      </c>
      <c r="C186" s="2">
        <v>44870.32613425926</v>
      </c>
      <c r="D186" t="s">
        <v>81</v>
      </c>
    </row>
    <row r="187" spans="1:4" x14ac:dyDescent="0.25">
      <c r="A187">
        <v>5</v>
      </c>
      <c r="B187" t="s">
        <v>96</v>
      </c>
      <c r="C187" s="2">
        <v>44871.014120370368</v>
      </c>
      <c r="D187" t="s">
        <v>81</v>
      </c>
    </row>
    <row r="188" spans="1:4" x14ac:dyDescent="0.25">
      <c r="A188">
        <v>5</v>
      </c>
      <c r="B188" t="s">
        <v>96</v>
      </c>
      <c r="C188" s="2">
        <v>44871.024525462963</v>
      </c>
      <c r="D188" t="s">
        <v>81</v>
      </c>
    </row>
    <row r="189" spans="1:4" x14ac:dyDescent="0.25">
      <c r="A189">
        <v>5</v>
      </c>
      <c r="B189" t="s">
        <v>96</v>
      </c>
      <c r="C189" s="2">
        <v>44871.034942129627</v>
      </c>
      <c r="D189" t="s">
        <v>81</v>
      </c>
    </row>
    <row r="190" spans="1:4" x14ac:dyDescent="0.25">
      <c r="A190">
        <v>5</v>
      </c>
      <c r="B190" t="s">
        <v>96</v>
      </c>
      <c r="C190" s="2">
        <v>44871.045347222222</v>
      </c>
      <c r="D190" t="s">
        <v>81</v>
      </c>
    </row>
    <row r="191" spans="1:4" x14ac:dyDescent="0.25">
      <c r="A191">
        <v>5</v>
      </c>
      <c r="B191" t="s">
        <v>96</v>
      </c>
      <c r="C191" s="2">
        <v>44871.055775462963</v>
      </c>
      <c r="D191" t="s">
        <v>81</v>
      </c>
    </row>
    <row r="192" spans="1:4" x14ac:dyDescent="0.25">
      <c r="A192">
        <v>5</v>
      </c>
      <c r="B192" t="s">
        <v>96</v>
      </c>
      <c r="C192" s="2">
        <v>44871.066192129627</v>
      </c>
      <c r="D192" t="s">
        <v>81</v>
      </c>
    </row>
    <row r="193" spans="1:4" x14ac:dyDescent="0.25">
      <c r="A193">
        <v>5</v>
      </c>
      <c r="B193" t="s">
        <v>96</v>
      </c>
      <c r="C193" s="2">
        <v>44871.087083333332</v>
      </c>
      <c r="D193" t="s">
        <v>81</v>
      </c>
    </row>
    <row r="194" spans="1:4" x14ac:dyDescent="0.25">
      <c r="A194">
        <v>5</v>
      </c>
      <c r="B194" t="s">
        <v>96</v>
      </c>
      <c r="C194" s="2">
        <v>44871.097430555557</v>
      </c>
      <c r="D194" t="s">
        <v>81</v>
      </c>
    </row>
    <row r="195" spans="1:4" x14ac:dyDescent="0.25">
      <c r="A195">
        <v>5</v>
      </c>
      <c r="B195" t="s">
        <v>96</v>
      </c>
      <c r="C195" s="2">
        <v>44871.107870370368</v>
      </c>
      <c r="D195" t="s">
        <v>81</v>
      </c>
    </row>
    <row r="196" spans="1:4" x14ac:dyDescent="0.25">
      <c r="A196">
        <v>5</v>
      </c>
      <c r="B196" t="s">
        <v>96</v>
      </c>
      <c r="C196" s="2">
        <v>44871.118275462963</v>
      </c>
      <c r="D196" t="s">
        <v>81</v>
      </c>
    </row>
    <row r="197" spans="1:4" x14ac:dyDescent="0.25">
      <c r="A197">
        <v>5</v>
      </c>
      <c r="B197" t="s">
        <v>96</v>
      </c>
      <c r="C197" s="2">
        <v>44871.128680555557</v>
      </c>
      <c r="D197" t="s">
        <v>81</v>
      </c>
    </row>
    <row r="198" spans="1:4" x14ac:dyDescent="0.25">
      <c r="A198">
        <v>5</v>
      </c>
      <c r="B198" t="s">
        <v>96</v>
      </c>
      <c r="C198" s="2">
        <v>44871.139097222222</v>
      </c>
      <c r="D198" t="s">
        <v>81</v>
      </c>
    </row>
    <row r="199" spans="1:4" x14ac:dyDescent="0.25">
      <c r="A199">
        <v>5</v>
      </c>
      <c r="B199" t="s">
        <v>96</v>
      </c>
      <c r="C199" s="2">
        <v>44871.149513888886</v>
      </c>
      <c r="D199" t="s">
        <v>81</v>
      </c>
    </row>
    <row r="200" spans="1:4" x14ac:dyDescent="0.25">
      <c r="A200">
        <v>5</v>
      </c>
      <c r="B200" t="s">
        <v>96</v>
      </c>
      <c r="C200" s="2">
        <v>44871.160034722219</v>
      </c>
      <c r="D200" t="s">
        <v>81</v>
      </c>
    </row>
    <row r="201" spans="1:4" x14ac:dyDescent="0.25">
      <c r="A201">
        <v>5</v>
      </c>
      <c r="B201" t="s">
        <v>96</v>
      </c>
      <c r="C201" s="2">
        <v>44871.170347222222</v>
      </c>
      <c r="D201" t="s">
        <v>81</v>
      </c>
    </row>
    <row r="202" spans="1:4" x14ac:dyDescent="0.25">
      <c r="A202">
        <v>5</v>
      </c>
      <c r="B202" t="s">
        <v>96</v>
      </c>
      <c r="C202" s="2">
        <v>44871.180763888886</v>
      </c>
      <c r="D202" t="s">
        <v>81</v>
      </c>
    </row>
    <row r="203" spans="1:4" x14ac:dyDescent="0.25">
      <c r="A203">
        <v>5</v>
      </c>
      <c r="B203" t="s">
        <v>96</v>
      </c>
      <c r="C203" s="2">
        <v>44871.499212962961</v>
      </c>
      <c r="D203" t="s">
        <v>81</v>
      </c>
    </row>
    <row r="204" spans="1:4" x14ac:dyDescent="0.25">
      <c r="A204">
        <v>7</v>
      </c>
      <c r="B204" t="s">
        <v>59</v>
      </c>
      <c r="C204" s="2">
        <v>44871.499224537038</v>
      </c>
      <c r="D204" t="s">
        <v>81</v>
      </c>
    </row>
    <row r="205" spans="1:4" x14ac:dyDescent="0.25">
      <c r="A205">
        <v>9</v>
      </c>
      <c r="B205" t="s">
        <v>61</v>
      </c>
      <c r="C205" s="2">
        <v>44871.499224537038</v>
      </c>
      <c r="D205" t="s">
        <v>81</v>
      </c>
    </row>
    <row r="206" spans="1:4" x14ac:dyDescent="0.25">
      <c r="A206">
        <v>10</v>
      </c>
      <c r="B206" t="s">
        <v>62</v>
      </c>
      <c r="C206" s="2">
        <v>44871.499236111114</v>
      </c>
      <c r="D206" t="s">
        <v>81</v>
      </c>
    </row>
    <row r="207" spans="1:4" x14ac:dyDescent="0.25">
      <c r="A207">
        <v>11</v>
      </c>
      <c r="B207" t="s">
        <v>63</v>
      </c>
      <c r="C207" s="2">
        <v>44871.499236111114</v>
      </c>
      <c r="D207" t="s">
        <v>81</v>
      </c>
    </row>
    <row r="208" spans="1:4" x14ac:dyDescent="0.25">
      <c r="A208">
        <v>12</v>
      </c>
      <c r="B208" t="s">
        <v>64</v>
      </c>
      <c r="C208" s="2">
        <v>44871.499247685184</v>
      </c>
      <c r="D208" t="s">
        <v>81</v>
      </c>
    </row>
    <row r="209" spans="1:4" x14ac:dyDescent="0.25">
      <c r="A209">
        <v>13</v>
      </c>
      <c r="B209" t="s">
        <v>65</v>
      </c>
      <c r="C209" s="2">
        <v>44871.499247685184</v>
      </c>
      <c r="D209" t="s">
        <v>81</v>
      </c>
    </row>
    <row r="210" spans="1:4" x14ac:dyDescent="0.25">
      <c r="A210">
        <v>14</v>
      </c>
      <c r="B210" t="s">
        <v>66</v>
      </c>
      <c r="C210" s="2">
        <v>44871.499259259261</v>
      </c>
      <c r="D210" t="s">
        <v>81</v>
      </c>
    </row>
    <row r="211" spans="1:4" x14ac:dyDescent="0.25">
      <c r="A211">
        <v>16</v>
      </c>
      <c r="B211" t="s">
        <v>68</v>
      </c>
      <c r="C211" s="2">
        <v>44871.499259259261</v>
      </c>
      <c r="D211" t="s">
        <v>81</v>
      </c>
    </row>
    <row r="212" spans="1:4" x14ac:dyDescent="0.25">
      <c r="A212">
        <v>24</v>
      </c>
      <c r="B212" t="s">
        <v>28</v>
      </c>
      <c r="C212" s="2">
        <v>44871.49927083333</v>
      </c>
      <c r="D212" t="s">
        <v>81</v>
      </c>
    </row>
    <row r="213" spans="1:4" x14ac:dyDescent="0.25">
      <c r="A213">
        <v>25</v>
      </c>
      <c r="B213" t="s">
        <v>41</v>
      </c>
      <c r="C213" s="2">
        <v>44871.49927083333</v>
      </c>
      <c r="D213" t="s">
        <v>81</v>
      </c>
    </row>
    <row r="214" spans="1:4" x14ac:dyDescent="0.25">
      <c r="A214">
        <v>26</v>
      </c>
      <c r="B214" t="s">
        <v>159</v>
      </c>
      <c r="C214" s="2">
        <v>44871.499282407407</v>
      </c>
      <c r="D214" t="s">
        <v>81</v>
      </c>
    </row>
    <row r="215" spans="1:4" x14ac:dyDescent="0.25">
      <c r="A215">
        <v>27</v>
      </c>
      <c r="B215" t="s">
        <v>60</v>
      </c>
      <c r="C215" s="2">
        <v>44871.499282407407</v>
      </c>
      <c r="D215" t="s">
        <v>81</v>
      </c>
    </row>
    <row r="216" spans="1:4" x14ac:dyDescent="0.25">
      <c r="A216">
        <v>28</v>
      </c>
      <c r="B216" t="s">
        <v>160</v>
      </c>
      <c r="C216" s="2">
        <v>44871.499282407407</v>
      </c>
      <c r="D216" t="s">
        <v>81</v>
      </c>
    </row>
    <row r="217" spans="1:4" x14ac:dyDescent="0.25">
      <c r="A217">
        <v>29</v>
      </c>
      <c r="B217" t="s">
        <v>161</v>
      </c>
      <c r="C217" s="2">
        <v>44871.499293981484</v>
      </c>
      <c r="D217" t="s">
        <v>81</v>
      </c>
    </row>
    <row r="218" spans="1:4" x14ac:dyDescent="0.25">
      <c r="A218">
        <v>30</v>
      </c>
      <c r="B218" t="s">
        <v>162</v>
      </c>
      <c r="C218" s="2">
        <v>44871.499293981484</v>
      </c>
      <c r="D218" t="s">
        <v>81</v>
      </c>
    </row>
    <row r="219" spans="1:4" x14ac:dyDescent="0.25">
      <c r="A219">
        <v>31</v>
      </c>
      <c r="B219" t="s">
        <v>163</v>
      </c>
      <c r="C219" s="2">
        <v>44871.499305555553</v>
      </c>
      <c r="D219" t="s">
        <v>81</v>
      </c>
    </row>
    <row r="220" spans="1:4" x14ac:dyDescent="0.25">
      <c r="A220">
        <v>32</v>
      </c>
      <c r="B220" t="s">
        <v>164</v>
      </c>
      <c r="C220" s="2">
        <v>44871.499305555553</v>
      </c>
      <c r="D220" t="s">
        <v>81</v>
      </c>
    </row>
    <row r="221" spans="1:4" x14ac:dyDescent="0.25">
      <c r="A221">
        <v>33</v>
      </c>
      <c r="B221" t="s">
        <v>165</v>
      </c>
      <c r="C221" s="2">
        <v>44871.499305555553</v>
      </c>
      <c r="D221" t="s">
        <v>81</v>
      </c>
    </row>
    <row r="222" spans="1:4" x14ac:dyDescent="0.25">
      <c r="A222">
        <v>34</v>
      </c>
      <c r="B222" t="s">
        <v>67</v>
      </c>
      <c r="C222" s="2">
        <v>44871.49931712963</v>
      </c>
      <c r="D222" t="s">
        <v>81</v>
      </c>
    </row>
    <row r="223" spans="1:4" x14ac:dyDescent="0.25">
      <c r="A223">
        <v>35</v>
      </c>
      <c r="B223" t="s">
        <v>166</v>
      </c>
      <c r="C223" s="2">
        <v>44871.49931712963</v>
      </c>
      <c r="D223" t="s">
        <v>81</v>
      </c>
    </row>
    <row r="224" spans="1:4" x14ac:dyDescent="0.25">
      <c r="A224">
        <v>5</v>
      </c>
      <c r="B224" t="s">
        <v>96</v>
      </c>
      <c r="C224" s="2">
        <v>44872.014131944445</v>
      </c>
      <c r="D224" t="s">
        <v>81</v>
      </c>
    </row>
    <row r="225" spans="1:4" x14ac:dyDescent="0.25">
      <c r="A225">
        <v>5</v>
      </c>
      <c r="B225" t="s">
        <v>96</v>
      </c>
      <c r="C225" s="2">
        <v>44872.024537037039</v>
      </c>
      <c r="D225" t="s">
        <v>81</v>
      </c>
    </row>
    <row r="226" spans="1:4" x14ac:dyDescent="0.25">
      <c r="A226">
        <v>5</v>
      </c>
      <c r="B226" t="s">
        <v>96</v>
      </c>
      <c r="C226" s="2">
        <v>44872.035000000003</v>
      </c>
      <c r="D226" t="s">
        <v>81</v>
      </c>
    </row>
    <row r="227" spans="1:4" x14ac:dyDescent="0.25">
      <c r="A227">
        <v>5</v>
      </c>
      <c r="B227" t="s">
        <v>96</v>
      </c>
      <c r="C227" s="2">
        <v>44872.045370370368</v>
      </c>
      <c r="D227" t="s">
        <v>81</v>
      </c>
    </row>
    <row r="228" spans="1:4" x14ac:dyDescent="0.25">
      <c r="A228">
        <v>5</v>
      </c>
      <c r="B228" t="s">
        <v>96</v>
      </c>
      <c r="C228" s="2">
        <v>44872.055775462963</v>
      </c>
      <c r="D228" t="s">
        <v>81</v>
      </c>
    </row>
    <row r="229" spans="1:4" x14ac:dyDescent="0.25">
      <c r="A229">
        <v>5</v>
      </c>
      <c r="B229" t="s">
        <v>96</v>
      </c>
      <c r="C229" s="2">
        <v>44872.066203703704</v>
      </c>
      <c r="D229" t="s">
        <v>81</v>
      </c>
    </row>
    <row r="230" spans="1:4" x14ac:dyDescent="0.25">
      <c r="A230">
        <v>5</v>
      </c>
      <c r="B230" t="s">
        <v>96</v>
      </c>
      <c r="C230" s="2">
        <v>44872.087083333332</v>
      </c>
      <c r="D230" t="s">
        <v>81</v>
      </c>
    </row>
    <row r="231" spans="1:4" x14ac:dyDescent="0.25">
      <c r="A231">
        <v>5</v>
      </c>
      <c r="B231" t="s">
        <v>96</v>
      </c>
      <c r="C231" s="2">
        <v>44872.097534722219</v>
      </c>
      <c r="D231" t="s">
        <v>81</v>
      </c>
    </row>
    <row r="232" spans="1:4" x14ac:dyDescent="0.25">
      <c r="A232">
        <v>5</v>
      </c>
      <c r="B232" t="s">
        <v>96</v>
      </c>
      <c r="C232" s="2">
        <v>44872.107858796298</v>
      </c>
      <c r="D232" t="s">
        <v>81</v>
      </c>
    </row>
    <row r="233" spans="1:4" x14ac:dyDescent="0.25">
      <c r="A233">
        <v>5</v>
      </c>
      <c r="B233" t="s">
        <v>96</v>
      </c>
      <c r="C233" s="2">
        <v>44872.118287037039</v>
      </c>
      <c r="D233" t="s">
        <v>81</v>
      </c>
    </row>
    <row r="234" spans="1:4" x14ac:dyDescent="0.25">
      <c r="A234">
        <v>5</v>
      </c>
      <c r="B234" t="s">
        <v>96</v>
      </c>
      <c r="C234" s="2">
        <v>44872.128680555557</v>
      </c>
      <c r="D234" t="s">
        <v>81</v>
      </c>
    </row>
    <row r="235" spans="1:4" x14ac:dyDescent="0.25">
      <c r="A235">
        <v>5</v>
      </c>
      <c r="B235" t="s">
        <v>96</v>
      </c>
      <c r="C235" s="2">
        <v>44872.139097222222</v>
      </c>
      <c r="D235" t="s">
        <v>81</v>
      </c>
    </row>
    <row r="236" spans="1:4" x14ac:dyDescent="0.25">
      <c r="A236">
        <v>5</v>
      </c>
      <c r="B236" t="s">
        <v>96</v>
      </c>
      <c r="C236" s="2">
        <v>44872.149525462963</v>
      </c>
      <c r="D236" t="s">
        <v>81</v>
      </c>
    </row>
    <row r="237" spans="1:4" x14ac:dyDescent="0.25">
      <c r="A237">
        <v>5</v>
      </c>
      <c r="B237" t="s">
        <v>96</v>
      </c>
      <c r="C237" s="2">
        <v>44872.159942129627</v>
      </c>
      <c r="D237" t="s">
        <v>81</v>
      </c>
    </row>
    <row r="238" spans="1:4" x14ac:dyDescent="0.25">
      <c r="A238">
        <v>5</v>
      </c>
      <c r="B238" t="s">
        <v>96</v>
      </c>
      <c r="C238" s="2">
        <v>44872.170358796298</v>
      </c>
      <c r="D238" t="s">
        <v>81</v>
      </c>
    </row>
    <row r="239" spans="1:4" x14ac:dyDescent="0.25">
      <c r="A239">
        <v>5</v>
      </c>
      <c r="B239" t="s">
        <v>96</v>
      </c>
      <c r="C239" s="2">
        <v>44872.180775462963</v>
      </c>
      <c r="D239" t="s">
        <v>81</v>
      </c>
    </row>
    <row r="240" spans="1:4" x14ac:dyDescent="0.25">
      <c r="A240">
        <v>5</v>
      </c>
      <c r="B240" t="s">
        <v>96</v>
      </c>
      <c r="C240" s="2">
        <v>44873.014108796298</v>
      </c>
      <c r="D240" t="s">
        <v>81</v>
      </c>
    </row>
    <row r="241" spans="1:4" x14ac:dyDescent="0.25">
      <c r="A241">
        <v>5</v>
      </c>
      <c r="B241" t="s">
        <v>96</v>
      </c>
      <c r="C241" s="2">
        <v>44873.024525462963</v>
      </c>
      <c r="D241" t="s">
        <v>81</v>
      </c>
    </row>
    <row r="242" spans="1:4" x14ac:dyDescent="0.25">
      <c r="A242">
        <v>5</v>
      </c>
      <c r="B242" t="s">
        <v>96</v>
      </c>
      <c r="C242" s="2">
        <v>44873.035034722219</v>
      </c>
      <c r="D242" t="s">
        <v>81</v>
      </c>
    </row>
    <row r="243" spans="1:4" x14ac:dyDescent="0.25">
      <c r="A243">
        <v>5</v>
      </c>
      <c r="B243" t="s">
        <v>96</v>
      </c>
      <c r="C243" s="2">
        <v>44873.045405092591</v>
      </c>
      <c r="D243" t="s">
        <v>81</v>
      </c>
    </row>
    <row r="244" spans="1:4" x14ac:dyDescent="0.25">
      <c r="A244">
        <v>5</v>
      </c>
      <c r="B244" t="s">
        <v>96</v>
      </c>
      <c r="C244" s="2">
        <v>44873.055763888886</v>
      </c>
      <c r="D244" t="s">
        <v>81</v>
      </c>
    </row>
    <row r="245" spans="1:4" x14ac:dyDescent="0.25">
      <c r="A245">
        <v>5</v>
      </c>
      <c r="B245" t="s">
        <v>96</v>
      </c>
      <c r="C245" s="2">
        <v>44873.066192129627</v>
      </c>
      <c r="D245" t="s">
        <v>81</v>
      </c>
    </row>
    <row r="246" spans="1:4" x14ac:dyDescent="0.25">
      <c r="A246">
        <v>5</v>
      </c>
      <c r="B246" t="s">
        <v>96</v>
      </c>
      <c r="C246" s="2">
        <v>44873.087083333332</v>
      </c>
      <c r="D246" t="s">
        <v>81</v>
      </c>
    </row>
    <row r="247" spans="1:4" x14ac:dyDescent="0.25">
      <c r="A247">
        <v>5</v>
      </c>
      <c r="B247" t="s">
        <v>96</v>
      </c>
      <c r="C247" s="2">
        <v>44873.097534722219</v>
      </c>
      <c r="D247" t="s">
        <v>81</v>
      </c>
    </row>
    <row r="248" spans="1:4" x14ac:dyDescent="0.25">
      <c r="A248">
        <v>5</v>
      </c>
      <c r="B248" t="s">
        <v>96</v>
      </c>
      <c r="C248" s="2">
        <v>44873.107858796298</v>
      </c>
      <c r="D248" t="s">
        <v>81</v>
      </c>
    </row>
    <row r="249" spans="1:4" x14ac:dyDescent="0.25">
      <c r="A249">
        <v>5</v>
      </c>
      <c r="B249" t="s">
        <v>96</v>
      </c>
      <c r="C249" s="2">
        <v>44873.118263888886</v>
      </c>
      <c r="D249" t="s">
        <v>81</v>
      </c>
    </row>
    <row r="250" spans="1:4" x14ac:dyDescent="0.25">
      <c r="A250">
        <v>5</v>
      </c>
      <c r="B250" t="s">
        <v>96</v>
      </c>
      <c r="C250" s="2">
        <v>44873.128680555557</v>
      </c>
      <c r="D250" t="s">
        <v>81</v>
      </c>
    </row>
    <row r="251" spans="1:4" x14ac:dyDescent="0.25">
      <c r="A251">
        <v>5</v>
      </c>
      <c r="B251" t="s">
        <v>96</v>
      </c>
      <c r="C251" s="2">
        <v>44873.139097222222</v>
      </c>
      <c r="D251" t="s">
        <v>81</v>
      </c>
    </row>
    <row r="252" spans="1:4" x14ac:dyDescent="0.25">
      <c r="A252">
        <v>5</v>
      </c>
      <c r="B252" t="s">
        <v>96</v>
      </c>
      <c r="C252" s="2">
        <v>44873.149513888886</v>
      </c>
      <c r="D252" t="s">
        <v>81</v>
      </c>
    </row>
    <row r="253" spans="1:4" x14ac:dyDescent="0.25">
      <c r="A253">
        <v>5</v>
      </c>
      <c r="B253" t="s">
        <v>96</v>
      </c>
      <c r="C253" s="2">
        <v>44873.159942129627</v>
      </c>
      <c r="D253" t="s">
        <v>81</v>
      </c>
    </row>
    <row r="254" spans="1:4" x14ac:dyDescent="0.25">
      <c r="A254">
        <v>5</v>
      </c>
      <c r="B254" t="s">
        <v>96</v>
      </c>
      <c r="C254" s="2">
        <v>44873.170347222222</v>
      </c>
      <c r="D254" t="s">
        <v>81</v>
      </c>
    </row>
    <row r="255" spans="1:4" x14ac:dyDescent="0.25">
      <c r="A255">
        <v>5</v>
      </c>
      <c r="B255" t="s">
        <v>96</v>
      </c>
      <c r="C255" s="2">
        <v>44873.180775462963</v>
      </c>
      <c r="D255" t="s">
        <v>81</v>
      </c>
    </row>
    <row r="256" spans="1:4" x14ac:dyDescent="0.25">
      <c r="A256">
        <v>3</v>
      </c>
      <c r="B256" t="s">
        <v>39</v>
      </c>
      <c r="C256" s="2">
        <v>44873.342673611114</v>
      </c>
      <c r="D256" t="s">
        <v>81</v>
      </c>
    </row>
    <row r="257" spans="1:4" x14ac:dyDescent="0.25">
      <c r="A257">
        <v>5</v>
      </c>
      <c r="B257" t="s">
        <v>96</v>
      </c>
      <c r="C257" s="2">
        <v>44873.342673611114</v>
      </c>
      <c r="D257" t="s">
        <v>81</v>
      </c>
    </row>
    <row r="258" spans="1:4" x14ac:dyDescent="0.25">
      <c r="A258">
        <v>26</v>
      </c>
      <c r="B258" t="s">
        <v>159</v>
      </c>
      <c r="C258" s="2">
        <v>44873.342685185184</v>
      </c>
      <c r="D258" t="s">
        <v>81</v>
      </c>
    </row>
    <row r="259" spans="1:4" x14ac:dyDescent="0.25">
      <c r="A259">
        <v>28</v>
      </c>
      <c r="B259" t="s">
        <v>160</v>
      </c>
      <c r="C259" s="2">
        <v>44873.342685185184</v>
      </c>
      <c r="D259" t="s">
        <v>81</v>
      </c>
    </row>
    <row r="260" spans="1:4" x14ac:dyDescent="0.25">
      <c r="A260">
        <v>5</v>
      </c>
      <c r="B260" t="s">
        <v>96</v>
      </c>
      <c r="C260" s="2">
        <v>44873.34542824074</v>
      </c>
      <c r="D260" t="s">
        <v>81</v>
      </c>
    </row>
    <row r="261" spans="1:4" x14ac:dyDescent="0.25">
      <c r="A261">
        <v>24</v>
      </c>
      <c r="B261" t="s">
        <v>28</v>
      </c>
      <c r="C261" s="2">
        <v>44873.345451388886</v>
      </c>
      <c r="D261" t="s">
        <v>81</v>
      </c>
    </row>
    <row r="262" spans="1:4" x14ac:dyDescent="0.25">
      <c r="A262">
        <v>5</v>
      </c>
      <c r="B262" t="s">
        <v>96</v>
      </c>
      <c r="C262" s="2">
        <v>44873.400335648148</v>
      </c>
      <c r="D262" t="s">
        <v>81</v>
      </c>
    </row>
    <row r="263" spans="1:4" x14ac:dyDescent="0.25">
      <c r="A263">
        <v>25</v>
      </c>
      <c r="B263" t="s">
        <v>41</v>
      </c>
      <c r="C263" s="2">
        <v>44873.400347222225</v>
      </c>
      <c r="D263" t="s">
        <v>81</v>
      </c>
    </row>
    <row r="264" spans="1:4" x14ac:dyDescent="0.25">
      <c r="A264">
        <v>5</v>
      </c>
      <c r="B264" t="s">
        <v>96</v>
      </c>
      <c r="C264" s="2">
        <v>44873.763009259259</v>
      </c>
      <c r="D264" t="s">
        <v>81</v>
      </c>
    </row>
    <row r="265" spans="1:4" x14ac:dyDescent="0.25">
      <c r="A265">
        <v>25</v>
      </c>
      <c r="B265" t="s">
        <v>41</v>
      </c>
      <c r="C265" s="2">
        <v>44873.763020833336</v>
      </c>
      <c r="D265" t="s">
        <v>81</v>
      </c>
    </row>
    <row r="266" spans="1:4" x14ac:dyDescent="0.25">
      <c r="A266">
        <v>5</v>
      </c>
      <c r="B266" t="s">
        <v>96</v>
      </c>
      <c r="C266" s="2">
        <v>44874.284953703704</v>
      </c>
      <c r="D266" t="s">
        <v>81</v>
      </c>
    </row>
    <row r="267" spans="1:4" x14ac:dyDescent="0.25">
      <c r="A267">
        <v>24</v>
      </c>
      <c r="B267" t="s">
        <v>28</v>
      </c>
      <c r="C267" s="2">
        <v>44874.284988425927</v>
      </c>
      <c r="D267" t="s">
        <v>81</v>
      </c>
    </row>
    <row r="268" spans="1:4" x14ac:dyDescent="0.25">
      <c r="A268">
        <v>25</v>
      </c>
      <c r="B268" t="s">
        <v>41</v>
      </c>
      <c r="C268" s="2">
        <v>44874.284988425927</v>
      </c>
      <c r="D268" t="s">
        <v>81</v>
      </c>
    </row>
    <row r="269" spans="1:4" x14ac:dyDescent="0.25">
      <c r="A269">
        <v>28</v>
      </c>
      <c r="B269" t="s">
        <v>160</v>
      </c>
      <c r="C269" s="2">
        <v>44874.285000000003</v>
      </c>
      <c r="D269" t="s">
        <v>81</v>
      </c>
    </row>
    <row r="270" spans="1:4" x14ac:dyDescent="0.25">
      <c r="A270">
        <v>5</v>
      </c>
      <c r="B270" t="s">
        <v>96</v>
      </c>
      <c r="C270" s="2">
        <v>44874.295358796298</v>
      </c>
      <c r="D270" t="s">
        <v>81</v>
      </c>
    </row>
    <row r="271" spans="1:4" x14ac:dyDescent="0.25">
      <c r="A271">
        <v>7</v>
      </c>
      <c r="B271" t="s">
        <v>59</v>
      </c>
      <c r="C271" s="2">
        <v>44874.295370370368</v>
      </c>
      <c r="D271" t="s">
        <v>81</v>
      </c>
    </row>
    <row r="272" spans="1:4" x14ac:dyDescent="0.25">
      <c r="A272">
        <v>9</v>
      </c>
      <c r="B272" t="s">
        <v>61</v>
      </c>
      <c r="C272" s="2">
        <v>44874.295370370368</v>
      </c>
      <c r="D272" t="s">
        <v>81</v>
      </c>
    </row>
    <row r="273" spans="1:4" x14ac:dyDescent="0.25">
      <c r="A273">
        <v>10</v>
      </c>
      <c r="B273" t="s">
        <v>62</v>
      </c>
      <c r="C273" s="2">
        <v>44874.295381944445</v>
      </c>
      <c r="D273" t="s">
        <v>81</v>
      </c>
    </row>
    <row r="274" spans="1:4" x14ac:dyDescent="0.25">
      <c r="A274">
        <v>11</v>
      </c>
      <c r="B274" t="s">
        <v>63</v>
      </c>
      <c r="C274" s="2">
        <v>44874.295381944445</v>
      </c>
      <c r="D274" t="s">
        <v>81</v>
      </c>
    </row>
    <row r="275" spans="1:4" x14ac:dyDescent="0.25">
      <c r="A275">
        <v>12</v>
      </c>
      <c r="B275" t="s">
        <v>64</v>
      </c>
      <c r="C275" s="2">
        <v>44874.295381944445</v>
      </c>
      <c r="D275" t="s">
        <v>81</v>
      </c>
    </row>
    <row r="276" spans="1:4" x14ac:dyDescent="0.25">
      <c r="A276">
        <v>13</v>
      </c>
      <c r="B276" t="s">
        <v>65</v>
      </c>
      <c r="C276" s="2">
        <v>44874.295393518521</v>
      </c>
      <c r="D276" t="s">
        <v>81</v>
      </c>
    </row>
    <row r="277" spans="1:4" x14ac:dyDescent="0.25">
      <c r="A277">
        <v>14</v>
      </c>
      <c r="B277" t="s">
        <v>66</v>
      </c>
      <c r="C277" s="2">
        <v>44874.295393518521</v>
      </c>
      <c r="D277" t="s">
        <v>81</v>
      </c>
    </row>
    <row r="278" spans="1:4" x14ac:dyDescent="0.25">
      <c r="A278">
        <v>15</v>
      </c>
      <c r="B278" t="s">
        <v>157</v>
      </c>
      <c r="C278" s="2">
        <v>44874.295405092591</v>
      </c>
      <c r="D278" t="s">
        <v>81</v>
      </c>
    </row>
    <row r="279" spans="1:4" x14ac:dyDescent="0.25">
      <c r="A279">
        <v>16</v>
      </c>
      <c r="B279" t="s">
        <v>68</v>
      </c>
      <c r="C279" s="2">
        <v>44874.295405092591</v>
      </c>
      <c r="D279" t="s">
        <v>81</v>
      </c>
    </row>
    <row r="280" spans="1:4" x14ac:dyDescent="0.25">
      <c r="A280">
        <v>5</v>
      </c>
      <c r="B280" t="s">
        <v>96</v>
      </c>
      <c r="C280" s="2">
        <v>44874.31622685185</v>
      </c>
      <c r="D280" t="s">
        <v>81</v>
      </c>
    </row>
    <row r="281" spans="1:4" x14ac:dyDescent="0.25">
      <c r="A281">
        <v>26</v>
      </c>
      <c r="B281" t="s">
        <v>159</v>
      </c>
      <c r="C281" s="2">
        <v>44874.316250000003</v>
      </c>
      <c r="D281" t="s">
        <v>81</v>
      </c>
    </row>
    <row r="282" spans="1:4" x14ac:dyDescent="0.25">
      <c r="A282">
        <v>5</v>
      </c>
      <c r="B282" t="s">
        <v>96</v>
      </c>
      <c r="C282" s="2">
        <v>44874.330081018517</v>
      </c>
      <c r="D282" t="s">
        <v>81</v>
      </c>
    </row>
    <row r="283" spans="1:4" x14ac:dyDescent="0.25">
      <c r="A283">
        <v>24</v>
      </c>
      <c r="B283" t="s">
        <v>28</v>
      </c>
      <c r="C283" s="2">
        <v>44874.330092592594</v>
      </c>
      <c r="D283" t="s">
        <v>81</v>
      </c>
    </row>
    <row r="284" spans="1:4" x14ac:dyDescent="0.25">
      <c r="A284">
        <v>27</v>
      </c>
      <c r="B284" t="s">
        <v>60</v>
      </c>
      <c r="C284" s="2">
        <v>44874.330092592594</v>
      </c>
      <c r="D284" t="s">
        <v>81</v>
      </c>
    </row>
    <row r="285" spans="1:4" x14ac:dyDescent="0.25">
      <c r="A285">
        <v>29</v>
      </c>
      <c r="B285" t="s">
        <v>161</v>
      </c>
      <c r="C285" s="2">
        <v>44874.330104166664</v>
      </c>
      <c r="D285" t="s">
        <v>81</v>
      </c>
    </row>
    <row r="286" spans="1:4" x14ac:dyDescent="0.25">
      <c r="A286">
        <v>30</v>
      </c>
      <c r="B286" t="s">
        <v>162</v>
      </c>
      <c r="C286" s="2">
        <v>44874.330104166664</v>
      </c>
      <c r="D286" t="s">
        <v>81</v>
      </c>
    </row>
    <row r="287" spans="1:4" x14ac:dyDescent="0.25">
      <c r="A287">
        <v>32</v>
      </c>
      <c r="B287" t="s">
        <v>164</v>
      </c>
      <c r="C287" s="2">
        <v>44874.33011574074</v>
      </c>
      <c r="D287" t="s">
        <v>81</v>
      </c>
    </row>
    <row r="288" spans="1:4" x14ac:dyDescent="0.25">
      <c r="A288">
        <v>34</v>
      </c>
      <c r="B288" t="s">
        <v>67</v>
      </c>
      <c r="C288" s="2">
        <v>44874.33011574074</v>
      </c>
      <c r="D288" t="s">
        <v>81</v>
      </c>
    </row>
    <row r="289" spans="1:4" x14ac:dyDescent="0.25">
      <c r="A289">
        <v>5</v>
      </c>
      <c r="B289" t="s">
        <v>96</v>
      </c>
      <c r="C289" s="2">
        <v>44874.337025462963</v>
      </c>
      <c r="D289" t="s">
        <v>81</v>
      </c>
    </row>
    <row r="290" spans="1:4" x14ac:dyDescent="0.25">
      <c r="A290">
        <v>5</v>
      </c>
      <c r="B290" t="s">
        <v>96</v>
      </c>
      <c r="C290" s="2">
        <v>44874.347442129627</v>
      </c>
      <c r="D290" t="s">
        <v>81</v>
      </c>
    </row>
    <row r="291" spans="1:4" x14ac:dyDescent="0.25">
      <c r="A291">
        <v>5</v>
      </c>
      <c r="B291" t="s">
        <v>96</v>
      </c>
      <c r="C291" s="2">
        <v>44874.357870370368</v>
      </c>
      <c r="D291" t="s">
        <v>81</v>
      </c>
    </row>
    <row r="292" spans="1:4" x14ac:dyDescent="0.25">
      <c r="A292">
        <v>31</v>
      </c>
      <c r="B292" t="s">
        <v>163</v>
      </c>
      <c r="C292" s="2">
        <v>44874.357881944445</v>
      </c>
      <c r="D292" t="s">
        <v>81</v>
      </c>
    </row>
    <row r="293" spans="1:4" x14ac:dyDescent="0.25">
      <c r="A293">
        <v>35</v>
      </c>
      <c r="B293" t="s">
        <v>166</v>
      </c>
      <c r="C293" s="2">
        <v>44874.357881944445</v>
      </c>
      <c r="D293" t="s">
        <v>81</v>
      </c>
    </row>
    <row r="294" spans="1:4" x14ac:dyDescent="0.25">
      <c r="A294">
        <v>5</v>
      </c>
      <c r="B294" t="s">
        <v>96</v>
      </c>
      <c r="C294" s="2">
        <v>44874.368275462963</v>
      </c>
      <c r="D294" t="s">
        <v>81</v>
      </c>
    </row>
    <row r="295" spans="1:4" x14ac:dyDescent="0.25">
      <c r="A295">
        <v>33</v>
      </c>
      <c r="B295" t="s">
        <v>165</v>
      </c>
      <c r="C295" s="2">
        <v>44874.368287037039</v>
      </c>
      <c r="D295" t="s">
        <v>81</v>
      </c>
    </row>
    <row r="296" spans="1:4" x14ac:dyDescent="0.25">
      <c r="A296">
        <v>5</v>
      </c>
      <c r="B296" t="s">
        <v>96</v>
      </c>
      <c r="C296" s="2">
        <v>44874.378692129627</v>
      </c>
      <c r="D296" t="s">
        <v>81</v>
      </c>
    </row>
    <row r="297" spans="1:4" x14ac:dyDescent="0.25">
      <c r="A297">
        <v>5</v>
      </c>
      <c r="B297" t="s">
        <v>96</v>
      </c>
      <c r="C297" s="2">
        <v>44874.389120370368</v>
      </c>
      <c r="D297" t="s">
        <v>81</v>
      </c>
    </row>
    <row r="298" spans="1:4" x14ac:dyDescent="0.25">
      <c r="A298">
        <v>5</v>
      </c>
      <c r="B298" t="s">
        <v>96</v>
      </c>
      <c r="C298" s="2">
        <v>44874.399525462963</v>
      </c>
      <c r="D298" t="s">
        <v>81</v>
      </c>
    </row>
    <row r="299" spans="1:4" x14ac:dyDescent="0.25">
      <c r="A299">
        <v>5</v>
      </c>
      <c r="B299" t="s">
        <v>96</v>
      </c>
      <c r="C299" s="2">
        <v>44874.409953703704</v>
      </c>
      <c r="D299" t="s">
        <v>81</v>
      </c>
    </row>
    <row r="300" spans="1:4" x14ac:dyDescent="0.25">
      <c r="A300">
        <v>5</v>
      </c>
      <c r="B300" t="s">
        <v>96</v>
      </c>
      <c r="C300" s="2">
        <v>44874.420416666668</v>
      </c>
      <c r="D300" t="s">
        <v>81</v>
      </c>
    </row>
    <row r="301" spans="1:4" x14ac:dyDescent="0.25">
      <c r="A301">
        <v>5</v>
      </c>
      <c r="B301" t="s">
        <v>96</v>
      </c>
      <c r="C301" s="2">
        <v>44874.430775462963</v>
      </c>
      <c r="D301" t="s">
        <v>81</v>
      </c>
    </row>
    <row r="302" spans="1:4" x14ac:dyDescent="0.25">
      <c r="A302">
        <v>5</v>
      </c>
      <c r="B302" t="s">
        <v>96</v>
      </c>
      <c r="C302" s="2">
        <v>44874.441180555557</v>
      </c>
      <c r="D302" t="s">
        <v>81</v>
      </c>
    </row>
    <row r="303" spans="1:4" x14ac:dyDescent="0.25">
      <c r="A303">
        <v>5</v>
      </c>
      <c r="B303" t="s">
        <v>96</v>
      </c>
      <c r="C303" s="2">
        <v>44874.451620370368</v>
      </c>
      <c r="D303" t="s">
        <v>81</v>
      </c>
    </row>
    <row r="304" spans="1:4" x14ac:dyDescent="0.25">
      <c r="A304">
        <v>5</v>
      </c>
      <c r="B304" t="s">
        <v>96</v>
      </c>
      <c r="C304" s="2">
        <v>44875.28496527778</v>
      </c>
      <c r="D304" t="s">
        <v>81</v>
      </c>
    </row>
    <row r="305" spans="1:4" x14ac:dyDescent="0.25">
      <c r="A305">
        <v>26</v>
      </c>
      <c r="B305" t="s">
        <v>159</v>
      </c>
      <c r="C305" s="2">
        <v>44875.28497685185</v>
      </c>
      <c r="D305" t="s">
        <v>81</v>
      </c>
    </row>
    <row r="306" spans="1:4" x14ac:dyDescent="0.25">
      <c r="A306">
        <v>27</v>
      </c>
      <c r="B306" t="s">
        <v>60</v>
      </c>
      <c r="C306" s="2">
        <v>44875.28497685185</v>
      </c>
      <c r="D306" t="s">
        <v>81</v>
      </c>
    </row>
    <row r="307" spans="1:4" x14ac:dyDescent="0.25">
      <c r="A307">
        <v>31</v>
      </c>
      <c r="B307" t="s">
        <v>163</v>
      </c>
      <c r="C307" s="2">
        <v>44875.284988425927</v>
      </c>
      <c r="D307" t="s">
        <v>81</v>
      </c>
    </row>
    <row r="308" spans="1:4" x14ac:dyDescent="0.25">
      <c r="A308">
        <v>5</v>
      </c>
      <c r="B308" t="s">
        <v>96</v>
      </c>
      <c r="C308" s="2">
        <v>44875.295370370368</v>
      </c>
      <c r="D308" t="s">
        <v>81</v>
      </c>
    </row>
    <row r="309" spans="1:4" x14ac:dyDescent="0.25">
      <c r="A309">
        <v>7</v>
      </c>
      <c r="B309" t="s">
        <v>59</v>
      </c>
      <c r="C309" s="2">
        <v>44875.295370370368</v>
      </c>
      <c r="D309" t="s">
        <v>81</v>
      </c>
    </row>
    <row r="310" spans="1:4" x14ac:dyDescent="0.25">
      <c r="A310">
        <v>9</v>
      </c>
      <c r="B310" t="s">
        <v>61</v>
      </c>
      <c r="C310" s="2">
        <v>44875.295381944445</v>
      </c>
      <c r="D310" t="s">
        <v>81</v>
      </c>
    </row>
    <row r="311" spans="1:4" x14ac:dyDescent="0.25">
      <c r="A311">
        <v>10</v>
      </c>
      <c r="B311" t="s">
        <v>62</v>
      </c>
      <c r="C311" s="2">
        <v>44875.295381944445</v>
      </c>
      <c r="D311" t="s">
        <v>81</v>
      </c>
    </row>
    <row r="312" spans="1:4" x14ac:dyDescent="0.25">
      <c r="A312">
        <v>11</v>
      </c>
      <c r="B312" t="s">
        <v>63</v>
      </c>
      <c r="C312" s="2">
        <v>44875.295393518521</v>
      </c>
      <c r="D312" t="s">
        <v>81</v>
      </c>
    </row>
    <row r="313" spans="1:4" x14ac:dyDescent="0.25">
      <c r="A313">
        <v>12</v>
      </c>
      <c r="B313" t="s">
        <v>64</v>
      </c>
      <c r="C313" s="2">
        <v>44875.295393518521</v>
      </c>
      <c r="D313" t="s">
        <v>81</v>
      </c>
    </row>
    <row r="314" spans="1:4" x14ac:dyDescent="0.25">
      <c r="A314">
        <v>13</v>
      </c>
      <c r="B314" t="s">
        <v>65</v>
      </c>
      <c r="C314" s="2">
        <v>44875.295393518521</v>
      </c>
      <c r="D314" t="s">
        <v>81</v>
      </c>
    </row>
    <row r="315" spans="1:4" x14ac:dyDescent="0.25">
      <c r="A315">
        <v>14</v>
      </c>
      <c r="B315" t="s">
        <v>66</v>
      </c>
      <c r="C315" s="2">
        <v>44875.295405092591</v>
      </c>
      <c r="D315" t="s">
        <v>81</v>
      </c>
    </row>
    <row r="316" spans="1:4" x14ac:dyDescent="0.25">
      <c r="A316">
        <v>15</v>
      </c>
      <c r="B316" t="s">
        <v>157</v>
      </c>
      <c r="C316" s="2">
        <v>44875.295405092591</v>
      </c>
      <c r="D316" t="s">
        <v>81</v>
      </c>
    </row>
    <row r="317" spans="1:4" x14ac:dyDescent="0.25">
      <c r="A317">
        <v>16</v>
      </c>
      <c r="B317" t="s">
        <v>68</v>
      </c>
      <c r="C317" s="2">
        <v>44875.295405092591</v>
      </c>
      <c r="D317" t="s">
        <v>81</v>
      </c>
    </row>
    <row r="318" spans="1:4" x14ac:dyDescent="0.25">
      <c r="A318">
        <v>30</v>
      </c>
      <c r="B318" t="s">
        <v>162</v>
      </c>
      <c r="C318" s="2">
        <v>44875.295416666668</v>
      </c>
      <c r="D318" t="s">
        <v>81</v>
      </c>
    </row>
    <row r="319" spans="1:4" x14ac:dyDescent="0.25">
      <c r="A319">
        <v>33</v>
      </c>
      <c r="B319" t="s">
        <v>165</v>
      </c>
      <c r="C319" s="2">
        <v>44875.295428240737</v>
      </c>
      <c r="D319" t="s">
        <v>81</v>
      </c>
    </row>
    <row r="320" spans="1:4" x14ac:dyDescent="0.25">
      <c r="A320">
        <v>34</v>
      </c>
      <c r="B320" t="s">
        <v>67</v>
      </c>
      <c r="C320" s="2">
        <v>44875.295428240737</v>
      </c>
      <c r="D320" t="s">
        <v>81</v>
      </c>
    </row>
    <row r="321" spans="1:4" x14ac:dyDescent="0.25">
      <c r="A321">
        <v>35</v>
      </c>
      <c r="B321" t="s">
        <v>166</v>
      </c>
      <c r="C321" s="2">
        <v>44875.295439814814</v>
      </c>
      <c r="D321" t="s">
        <v>81</v>
      </c>
    </row>
    <row r="322" spans="1:4" x14ac:dyDescent="0.25">
      <c r="A322">
        <v>5</v>
      </c>
      <c r="B322" t="s">
        <v>96</v>
      </c>
      <c r="C322" s="2">
        <v>44875.305868055555</v>
      </c>
      <c r="D322" t="s">
        <v>81</v>
      </c>
    </row>
    <row r="323" spans="1:4" x14ac:dyDescent="0.25">
      <c r="A323">
        <v>5</v>
      </c>
      <c r="B323" t="s">
        <v>96</v>
      </c>
      <c r="C323" s="2">
        <v>44875.316192129627</v>
      </c>
      <c r="D323" t="s">
        <v>81</v>
      </c>
    </row>
    <row r="324" spans="1:4" x14ac:dyDescent="0.25">
      <c r="A324">
        <v>25</v>
      </c>
      <c r="B324" t="s">
        <v>41</v>
      </c>
      <c r="C324" s="2">
        <v>44875.316203703704</v>
      </c>
      <c r="D324" t="s">
        <v>81</v>
      </c>
    </row>
    <row r="325" spans="1:4" x14ac:dyDescent="0.25">
      <c r="A325">
        <v>5</v>
      </c>
      <c r="B325" t="s">
        <v>96</v>
      </c>
      <c r="C325" s="2">
        <v>44875.326643518521</v>
      </c>
      <c r="D325" t="s">
        <v>81</v>
      </c>
    </row>
    <row r="326" spans="1:4" x14ac:dyDescent="0.25">
      <c r="A326">
        <v>24</v>
      </c>
      <c r="B326" t="s">
        <v>28</v>
      </c>
      <c r="C326" s="2">
        <v>44875.326655092591</v>
      </c>
      <c r="D326" t="s">
        <v>81</v>
      </c>
    </row>
    <row r="327" spans="1:4" x14ac:dyDescent="0.25">
      <c r="A327">
        <v>29</v>
      </c>
      <c r="B327" t="s">
        <v>161</v>
      </c>
      <c r="C327" s="2">
        <v>44875.326655092591</v>
      </c>
      <c r="D327" t="s">
        <v>81</v>
      </c>
    </row>
    <row r="328" spans="1:4" x14ac:dyDescent="0.25">
      <c r="A328">
        <v>5</v>
      </c>
      <c r="B328" t="s">
        <v>96</v>
      </c>
      <c r="C328" s="2">
        <v>44875.329444444447</v>
      </c>
      <c r="D328" t="s">
        <v>81</v>
      </c>
    </row>
    <row r="329" spans="1:4" x14ac:dyDescent="0.25">
      <c r="A329">
        <v>28</v>
      </c>
      <c r="B329" t="s">
        <v>160</v>
      </c>
      <c r="C329" s="2">
        <v>44875.329456018517</v>
      </c>
      <c r="D329" t="s">
        <v>81</v>
      </c>
    </row>
    <row r="330" spans="1:4" x14ac:dyDescent="0.25">
      <c r="A330">
        <v>32</v>
      </c>
      <c r="B330" t="s">
        <v>164</v>
      </c>
      <c r="C330" s="2">
        <v>44875.329456018517</v>
      </c>
      <c r="D330" t="s">
        <v>81</v>
      </c>
    </row>
    <row r="331" spans="1:4" x14ac:dyDescent="0.25">
      <c r="A331">
        <v>5</v>
      </c>
      <c r="B331" t="s">
        <v>96</v>
      </c>
      <c r="C331" s="2">
        <v>44875.337129629632</v>
      </c>
      <c r="D331" t="s">
        <v>81</v>
      </c>
    </row>
    <row r="332" spans="1:4" x14ac:dyDescent="0.25">
      <c r="A332">
        <v>5</v>
      </c>
      <c r="B332" t="s">
        <v>96</v>
      </c>
      <c r="C332" s="2">
        <v>44875.347442129627</v>
      </c>
      <c r="D332" t="s">
        <v>81</v>
      </c>
    </row>
    <row r="333" spans="1:4" x14ac:dyDescent="0.25">
      <c r="A333">
        <v>5</v>
      </c>
      <c r="B333" t="s">
        <v>96</v>
      </c>
      <c r="C333" s="2">
        <v>44875.357858796298</v>
      </c>
      <c r="D333" t="s">
        <v>81</v>
      </c>
    </row>
    <row r="334" spans="1:4" x14ac:dyDescent="0.25">
      <c r="A334">
        <v>5</v>
      </c>
      <c r="B334" t="s">
        <v>96</v>
      </c>
      <c r="C334" s="2">
        <v>44875.368287037039</v>
      </c>
      <c r="D334" t="s">
        <v>81</v>
      </c>
    </row>
    <row r="335" spans="1:4" x14ac:dyDescent="0.25">
      <c r="A335">
        <v>5</v>
      </c>
      <c r="B335" t="s">
        <v>96</v>
      </c>
      <c r="C335" s="2">
        <v>44875.378692129627</v>
      </c>
      <c r="D335" t="s">
        <v>81</v>
      </c>
    </row>
    <row r="336" spans="1:4" x14ac:dyDescent="0.25">
      <c r="A336">
        <v>5</v>
      </c>
      <c r="B336" t="s">
        <v>96</v>
      </c>
      <c r="C336" s="2">
        <v>44875.389108796298</v>
      </c>
      <c r="D336" t="s">
        <v>81</v>
      </c>
    </row>
    <row r="337" spans="1:4" x14ac:dyDescent="0.25">
      <c r="A337">
        <v>5</v>
      </c>
      <c r="B337" t="s">
        <v>96</v>
      </c>
      <c r="C337" s="2">
        <v>44875.399525462963</v>
      </c>
      <c r="D337" t="s">
        <v>81</v>
      </c>
    </row>
    <row r="338" spans="1:4" x14ac:dyDescent="0.25">
      <c r="A338">
        <v>5</v>
      </c>
      <c r="B338" t="s">
        <v>96</v>
      </c>
      <c r="C338" s="2">
        <v>44875.409953703704</v>
      </c>
      <c r="D338" t="s">
        <v>81</v>
      </c>
    </row>
    <row r="339" spans="1:4" x14ac:dyDescent="0.25">
      <c r="A339">
        <v>5</v>
      </c>
      <c r="B339" t="s">
        <v>96</v>
      </c>
      <c r="C339" s="2">
        <v>44875.420358796298</v>
      </c>
      <c r="D339" t="s">
        <v>81</v>
      </c>
    </row>
    <row r="340" spans="1:4" x14ac:dyDescent="0.25">
      <c r="A340">
        <v>5</v>
      </c>
      <c r="B340" t="s">
        <v>96</v>
      </c>
      <c r="C340" s="2">
        <v>44875.430775462963</v>
      </c>
      <c r="D340" t="s">
        <v>81</v>
      </c>
    </row>
    <row r="341" spans="1:4" x14ac:dyDescent="0.25">
      <c r="A341">
        <v>5</v>
      </c>
      <c r="B341" t="s">
        <v>96</v>
      </c>
      <c r="C341" s="2">
        <v>44875.441203703704</v>
      </c>
      <c r="D341" t="s">
        <v>81</v>
      </c>
    </row>
    <row r="342" spans="1:4" x14ac:dyDescent="0.25">
      <c r="A342">
        <v>5</v>
      </c>
      <c r="B342" t="s">
        <v>96</v>
      </c>
      <c r="C342" s="2">
        <v>44875.451585648145</v>
      </c>
      <c r="D342" t="s">
        <v>81</v>
      </c>
    </row>
    <row r="343" spans="1:4" x14ac:dyDescent="0.25">
      <c r="A343">
        <v>5</v>
      </c>
      <c r="B343" t="s">
        <v>96</v>
      </c>
      <c r="C343" s="2">
        <v>44876.284942129627</v>
      </c>
      <c r="D343" t="s">
        <v>81</v>
      </c>
    </row>
    <row r="344" spans="1:4" x14ac:dyDescent="0.25">
      <c r="A344">
        <v>25</v>
      </c>
      <c r="B344" t="s">
        <v>41</v>
      </c>
      <c r="C344" s="2">
        <v>44876.284953703704</v>
      </c>
      <c r="D344" t="s">
        <v>81</v>
      </c>
    </row>
    <row r="345" spans="1:4" x14ac:dyDescent="0.25">
      <c r="A345">
        <v>27</v>
      </c>
      <c r="B345" t="s">
        <v>60</v>
      </c>
      <c r="C345" s="2">
        <v>44876.284953703704</v>
      </c>
      <c r="D345" t="s">
        <v>81</v>
      </c>
    </row>
    <row r="346" spans="1:4" x14ac:dyDescent="0.25">
      <c r="A346">
        <v>28</v>
      </c>
      <c r="B346" t="s">
        <v>160</v>
      </c>
      <c r="C346" s="2">
        <v>44876.284953703704</v>
      </c>
      <c r="D346" t="s">
        <v>81</v>
      </c>
    </row>
    <row r="347" spans="1:4" x14ac:dyDescent="0.25">
      <c r="A347">
        <v>29</v>
      </c>
      <c r="B347" t="s">
        <v>161</v>
      </c>
      <c r="C347" s="2">
        <v>44876.28496527778</v>
      </c>
      <c r="D347" t="s">
        <v>81</v>
      </c>
    </row>
    <row r="348" spans="1:4" x14ac:dyDescent="0.25">
      <c r="A348">
        <v>30</v>
      </c>
      <c r="B348" t="s">
        <v>162</v>
      </c>
      <c r="C348" s="2">
        <v>44876.28496527778</v>
      </c>
      <c r="D348" t="s">
        <v>81</v>
      </c>
    </row>
    <row r="349" spans="1:4" x14ac:dyDescent="0.25">
      <c r="A349">
        <v>5</v>
      </c>
      <c r="B349" t="s">
        <v>96</v>
      </c>
      <c r="C349" s="2">
        <v>44876.295358796298</v>
      </c>
      <c r="D349" t="s">
        <v>81</v>
      </c>
    </row>
    <row r="350" spans="1:4" x14ac:dyDescent="0.25">
      <c r="A350">
        <v>7</v>
      </c>
      <c r="B350" t="s">
        <v>59</v>
      </c>
      <c r="C350" s="2">
        <v>44876.295358796298</v>
      </c>
      <c r="D350" t="s">
        <v>81</v>
      </c>
    </row>
    <row r="351" spans="1:4" x14ac:dyDescent="0.25">
      <c r="A351">
        <v>9</v>
      </c>
      <c r="B351" t="s">
        <v>61</v>
      </c>
      <c r="C351" s="2">
        <v>44876.295370370368</v>
      </c>
      <c r="D351" t="s">
        <v>81</v>
      </c>
    </row>
    <row r="352" spans="1:4" x14ac:dyDescent="0.25">
      <c r="A352">
        <v>10</v>
      </c>
      <c r="B352" t="s">
        <v>62</v>
      </c>
      <c r="C352" s="2">
        <v>44876.295370370368</v>
      </c>
      <c r="D352" t="s">
        <v>81</v>
      </c>
    </row>
    <row r="353" spans="1:4" x14ac:dyDescent="0.25">
      <c r="A353">
        <v>11</v>
      </c>
      <c r="B353" t="s">
        <v>63</v>
      </c>
      <c r="C353" s="2">
        <v>44876.295370370368</v>
      </c>
      <c r="D353" t="s">
        <v>81</v>
      </c>
    </row>
    <row r="354" spans="1:4" x14ac:dyDescent="0.25">
      <c r="A354">
        <v>12</v>
      </c>
      <c r="B354" t="s">
        <v>64</v>
      </c>
      <c r="C354" s="2">
        <v>44876.295370370368</v>
      </c>
      <c r="D354" t="s">
        <v>81</v>
      </c>
    </row>
    <row r="355" spans="1:4" x14ac:dyDescent="0.25">
      <c r="A355">
        <v>13</v>
      </c>
      <c r="B355" t="s">
        <v>65</v>
      </c>
      <c r="C355" s="2">
        <v>44876.295370370368</v>
      </c>
      <c r="D355" t="s">
        <v>81</v>
      </c>
    </row>
    <row r="356" spans="1:4" x14ac:dyDescent="0.25">
      <c r="A356">
        <v>14</v>
      </c>
      <c r="B356" t="s">
        <v>66</v>
      </c>
      <c r="C356" s="2">
        <v>44876.295370370368</v>
      </c>
      <c r="D356" t="s">
        <v>81</v>
      </c>
    </row>
    <row r="357" spans="1:4" x14ac:dyDescent="0.25">
      <c r="A357">
        <v>15</v>
      </c>
      <c r="B357" t="s">
        <v>157</v>
      </c>
      <c r="C357" s="2">
        <v>44876.295381944445</v>
      </c>
      <c r="D357" t="s">
        <v>81</v>
      </c>
    </row>
    <row r="358" spans="1:4" x14ac:dyDescent="0.25">
      <c r="A358">
        <v>16</v>
      </c>
      <c r="B358" t="s">
        <v>68</v>
      </c>
      <c r="C358" s="2">
        <v>44876.295381944445</v>
      </c>
      <c r="D358" t="s">
        <v>81</v>
      </c>
    </row>
    <row r="359" spans="1:4" x14ac:dyDescent="0.25">
      <c r="A359">
        <v>32</v>
      </c>
      <c r="B359" t="s">
        <v>164</v>
      </c>
      <c r="C359" s="2">
        <v>44876.295381944445</v>
      </c>
      <c r="D359" t="s">
        <v>81</v>
      </c>
    </row>
    <row r="360" spans="1:4" x14ac:dyDescent="0.25">
      <c r="A360">
        <v>33</v>
      </c>
      <c r="B360" t="s">
        <v>165</v>
      </c>
      <c r="C360" s="2">
        <v>44876.295381944445</v>
      </c>
      <c r="D360" t="s">
        <v>81</v>
      </c>
    </row>
    <row r="361" spans="1:4" x14ac:dyDescent="0.25">
      <c r="A361">
        <v>34</v>
      </c>
      <c r="B361" t="s">
        <v>67</v>
      </c>
      <c r="C361" s="2">
        <v>44876.295393518521</v>
      </c>
      <c r="D361" t="s">
        <v>81</v>
      </c>
    </row>
    <row r="362" spans="1:4" x14ac:dyDescent="0.25">
      <c r="A362">
        <v>35</v>
      </c>
      <c r="B362" t="s">
        <v>166</v>
      </c>
      <c r="C362" s="2">
        <v>44876.295393518521</v>
      </c>
      <c r="D362" t="s">
        <v>81</v>
      </c>
    </row>
    <row r="363" spans="1:4" x14ac:dyDescent="0.25">
      <c r="A363">
        <v>5</v>
      </c>
      <c r="B363" t="s">
        <v>96</v>
      </c>
      <c r="C363" s="2">
        <v>44876.305752314816</v>
      </c>
      <c r="D363" t="s">
        <v>81</v>
      </c>
    </row>
    <row r="364" spans="1:4" x14ac:dyDescent="0.25">
      <c r="A364">
        <v>5</v>
      </c>
      <c r="B364" t="s">
        <v>96</v>
      </c>
      <c r="C364" s="2">
        <v>44876.316180555557</v>
      </c>
      <c r="D364" t="s">
        <v>81</v>
      </c>
    </row>
    <row r="365" spans="1:4" x14ac:dyDescent="0.25">
      <c r="A365">
        <v>24</v>
      </c>
      <c r="B365" t="s">
        <v>28</v>
      </c>
      <c r="C365" s="2">
        <v>44876.316192129627</v>
      </c>
      <c r="D365" t="s">
        <v>81</v>
      </c>
    </row>
    <row r="366" spans="1:4" x14ac:dyDescent="0.25">
      <c r="A366">
        <v>26</v>
      </c>
      <c r="B366" t="s">
        <v>159</v>
      </c>
      <c r="C366" s="2">
        <v>44876.316192129627</v>
      </c>
      <c r="D366" t="s">
        <v>81</v>
      </c>
    </row>
    <row r="367" spans="1:4" x14ac:dyDescent="0.25">
      <c r="A367">
        <v>31</v>
      </c>
      <c r="B367" t="s">
        <v>163</v>
      </c>
      <c r="C367" s="2">
        <v>44876.316192129627</v>
      </c>
      <c r="D367" t="s">
        <v>81</v>
      </c>
    </row>
    <row r="368" spans="1:4" x14ac:dyDescent="0.25">
      <c r="A368">
        <v>5</v>
      </c>
      <c r="B368" t="s">
        <v>96</v>
      </c>
      <c r="C368" s="2">
        <v>44876.326597222222</v>
      </c>
      <c r="D368" t="s">
        <v>81</v>
      </c>
    </row>
    <row r="369" spans="1:4" x14ac:dyDescent="0.25">
      <c r="A369">
        <v>5</v>
      </c>
      <c r="B369" t="s">
        <v>96</v>
      </c>
      <c r="C369" s="2">
        <v>44876.337025462963</v>
      </c>
      <c r="D369" t="s">
        <v>81</v>
      </c>
    </row>
    <row r="370" spans="1:4" x14ac:dyDescent="0.25">
      <c r="A370">
        <v>5</v>
      </c>
      <c r="B370" t="s">
        <v>96</v>
      </c>
      <c r="C370" s="2">
        <v>44876.347442129627</v>
      </c>
      <c r="D370" t="s">
        <v>81</v>
      </c>
    </row>
    <row r="371" spans="1:4" x14ac:dyDescent="0.25">
      <c r="A371">
        <v>5</v>
      </c>
      <c r="B371" t="s">
        <v>96</v>
      </c>
      <c r="C371" s="2">
        <v>44876.357858796298</v>
      </c>
      <c r="D371" t="s">
        <v>81</v>
      </c>
    </row>
    <row r="372" spans="1:4" x14ac:dyDescent="0.25">
      <c r="A372">
        <v>1</v>
      </c>
      <c r="B372" t="s">
        <v>6</v>
      </c>
      <c r="C372" s="2">
        <v>44876.368310185186</v>
      </c>
      <c r="D372" t="s">
        <v>81</v>
      </c>
    </row>
    <row r="373" spans="1:4" x14ac:dyDescent="0.25">
      <c r="A373">
        <v>5</v>
      </c>
      <c r="B373" t="s">
        <v>167</v>
      </c>
      <c r="C373" s="2">
        <v>44876.368321759262</v>
      </c>
      <c r="D373" t="s">
        <v>81</v>
      </c>
    </row>
    <row r="374" spans="1:4" x14ac:dyDescent="0.25">
      <c r="A374">
        <v>5</v>
      </c>
      <c r="B374" t="s">
        <v>167</v>
      </c>
      <c r="C374" s="2">
        <v>44876.378680555557</v>
      </c>
      <c r="D374" t="s">
        <v>81</v>
      </c>
    </row>
    <row r="375" spans="1:4" x14ac:dyDescent="0.25">
      <c r="A375">
        <v>5</v>
      </c>
      <c r="B375" t="s">
        <v>167</v>
      </c>
      <c r="C375" s="2">
        <v>44876.389120370368</v>
      </c>
      <c r="D375" t="s">
        <v>81</v>
      </c>
    </row>
    <row r="376" spans="1:4" x14ac:dyDescent="0.25">
      <c r="A376">
        <v>5</v>
      </c>
      <c r="B376" t="s">
        <v>167</v>
      </c>
      <c r="C376" s="2">
        <v>44876.399525462963</v>
      </c>
      <c r="D376" t="s">
        <v>81</v>
      </c>
    </row>
    <row r="377" spans="1:4" x14ac:dyDescent="0.25">
      <c r="A377">
        <v>5</v>
      </c>
      <c r="B377" t="s">
        <v>167</v>
      </c>
      <c r="C377" s="2">
        <v>44876.410069444442</v>
      </c>
      <c r="D377" t="s">
        <v>81</v>
      </c>
    </row>
    <row r="378" spans="1:4" x14ac:dyDescent="0.25">
      <c r="A378">
        <v>5</v>
      </c>
      <c r="B378" t="s">
        <v>167</v>
      </c>
      <c r="C378" s="2">
        <v>44876.420451388891</v>
      </c>
      <c r="D378" t="s">
        <v>81</v>
      </c>
    </row>
    <row r="379" spans="1:4" x14ac:dyDescent="0.25">
      <c r="A379">
        <v>5</v>
      </c>
      <c r="B379" t="s">
        <v>167</v>
      </c>
      <c r="C379" s="2">
        <v>44876.430879629632</v>
      </c>
      <c r="D379" t="s">
        <v>81</v>
      </c>
    </row>
    <row r="380" spans="1:4" x14ac:dyDescent="0.25">
      <c r="A380">
        <v>5</v>
      </c>
      <c r="B380" t="s">
        <v>167</v>
      </c>
      <c r="C380" s="2">
        <v>44876.441180555557</v>
      </c>
      <c r="D380" t="s">
        <v>81</v>
      </c>
    </row>
    <row r="381" spans="1:4" x14ac:dyDescent="0.25">
      <c r="A381">
        <v>5</v>
      </c>
      <c r="B381" t="s">
        <v>167</v>
      </c>
      <c r="C381" s="2">
        <v>44876.451620370368</v>
      </c>
      <c r="D381" t="s">
        <v>81</v>
      </c>
    </row>
    <row r="382" spans="1:4" x14ac:dyDescent="0.25">
      <c r="A382">
        <v>5</v>
      </c>
      <c r="B382" t="s">
        <v>167</v>
      </c>
      <c r="C382" s="2">
        <v>44876.784594907411</v>
      </c>
      <c r="D382" t="s">
        <v>81</v>
      </c>
    </row>
    <row r="383" spans="1:4" x14ac:dyDescent="0.25">
      <c r="A383">
        <v>5</v>
      </c>
      <c r="B383" t="s">
        <v>167</v>
      </c>
      <c r="C383" s="2">
        <v>44876.815057870372</v>
      </c>
      <c r="D383" t="s">
        <v>81</v>
      </c>
    </row>
    <row r="384" spans="1:4" x14ac:dyDescent="0.25">
      <c r="A384">
        <v>5</v>
      </c>
      <c r="B384" t="s">
        <v>167</v>
      </c>
      <c r="C384" s="2">
        <v>44876.844340277778</v>
      </c>
      <c r="D384" t="s">
        <v>81</v>
      </c>
    </row>
    <row r="385" spans="1:4" x14ac:dyDescent="0.25">
      <c r="A385">
        <v>5</v>
      </c>
      <c r="B385" t="s">
        <v>167</v>
      </c>
      <c r="C385" s="2">
        <v>44876.847800925927</v>
      </c>
      <c r="D385" t="s">
        <v>81</v>
      </c>
    </row>
    <row r="386" spans="1:4" x14ac:dyDescent="0.25">
      <c r="A386">
        <v>5</v>
      </c>
      <c r="B386" t="s">
        <v>167</v>
      </c>
      <c r="C386" s="2">
        <v>44876.851273148146</v>
      </c>
      <c r="D386" t="s">
        <v>81</v>
      </c>
    </row>
    <row r="387" spans="1:4" x14ac:dyDescent="0.25">
      <c r="A387">
        <v>5</v>
      </c>
      <c r="B387" t="s">
        <v>167</v>
      </c>
      <c r="C387" s="2">
        <v>44876.854756944442</v>
      </c>
      <c r="D387" t="s">
        <v>81</v>
      </c>
    </row>
    <row r="388" spans="1:4" x14ac:dyDescent="0.25">
      <c r="A388">
        <v>5</v>
      </c>
      <c r="B388" t="s">
        <v>167</v>
      </c>
      <c r="C388" s="2">
        <v>44876.858217592591</v>
      </c>
      <c r="D388" t="s">
        <v>81</v>
      </c>
    </row>
    <row r="389" spans="1:4" x14ac:dyDescent="0.25">
      <c r="A389">
        <v>5</v>
      </c>
      <c r="B389" t="s">
        <v>167</v>
      </c>
      <c r="C389" s="2">
        <v>44876.861689814818</v>
      </c>
      <c r="D389" t="s">
        <v>81</v>
      </c>
    </row>
    <row r="390" spans="1:4" x14ac:dyDescent="0.25">
      <c r="A390">
        <v>5</v>
      </c>
      <c r="B390" t="s">
        <v>96</v>
      </c>
      <c r="C390" s="2">
        <v>44877.284942129627</v>
      </c>
      <c r="D390" t="s">
        <v>81</v>
      </c>
    </row>
    <row r="391" spans="1:4" x14ac:dyDescent="0.25">
      <c r="A391">
        <v>24</v>
      </c>
      <c r="B391" t="s">
        <v>28</v>
      </c>
      <c r="C391" s="2">
        <v>44877.284953703704</v>
      </c>
      <c r="D391" t="s">
        <v>81</v>
      </c>
    </row>
    <row r="392" spans="1:4" x14ac:dyDescent="0.25">
      <c r="A392">
        <v>25</v>
      </c>
      <c r="B392" t="s">
        <v>41</v>
      </c>
      <c r="C392" s="2">
        <v>44877.284953703704</v>
      </c>
      <c r="D392" t="s">
        <v>81</v>
      </c>
    </row>
    <row r="393" spans="1:4" x14ac:dyDescent="0.25">
      <c r="A393">
        <v>26</v>
      </c>
      <c r="B393" t="s">
        <v>159</v>
      </c>
      <c r="C393" s="2">
        <v>44877.284953703704</v>
      </c>
      <c r="D393" t="s">
        <v>81</v>
      </c>
    </row>
    <row r="394" spans="1:4" x14ac:dyDescent="0.25">
      <c r="A394">
        <v>27</v>
      </c>
      <c r="B394" t="s">
        <v>60</v>
      </c>
      <c r="C394" s="2">
        <v>44877.284953703704</v>
      </c>
      <c r="D394" t="s">
        <v>81</v>
      </c>
    </row>
    <row r="395" spans="1:4" x14ac:dyDescent="0.25">
      <c r="A395">
        <v>28</v>
      </c>
      <c r="B395" t="s">
        <v>160</v>
      </c>
      <c r="C395" s="2">
        <v>44877.284953703704</v>
      </c>
      <c r="D395" t="s">
        <v>81</v>
      </c>
    </row>
    <row r="396" spans="1:4" x14ac:dyDescent="0.25">
      <c r="A396">
        <v>29</v>
      </c>
      <c r="B396" t="s">
        <v>161</v>
      </c>
      <c r="C396" s="2">
        <v>44877.28496527778</v>
      </c>
      <c r="D396" t="s">
        <v>81</v>
      </c>
    </row>
    <row r="397" spans="1:4" x14ac:dyDescent="0.25">
      <c r="A397">
        <v>30</v>
      </c>
      <c r="B397" t="s">
        <v>162</v>
      </c>
      <c r="C397" s="2">
        <v>44877.28496527778</v>
      </c>
      <c r="D397" t="s">
        <v>81</v>
      </c>
    </row>
    <row r="398" spans="1:4" x14ac:dyDescent="0.25">
      <c r="A398">
        <v>31</v>
      </c>
      <c r="B398" t="s">
        <v>163</v>
      </c>
      <c r="C398" s="2">
        <v>44877.28496527778</v>
      </c>
      <c r="D398" t="s">
        <v>81</v>
      </c>
    </row>
    <row r="399" spans="1:4" x14ac:dyDescent="0.25">
      <c r="A399">
        <v>5</v>
      </c>
      <c r="B399" t="s">
        <v>96</v>
      </c>
      <c r="C399" s="2">
        <v>44877.295347222222</v>
      </c>
      <c r="D399" t="s">
        <v>81</v>
      </c>
    </row>
    <row r="400" spans="1:4" x14ac:dyDescent="0.25">
      <c r="A400">
        <v>7</v>
      </c>
      <c r="B400" t="s">
        <v>59</v>
      </c>
      <c r="C400" s="2">
        <v>44877.295358796298</v>
      </c>
      <c r="D400" t="s">
        <v>81</v>
      </c>
    </row>
    <row r="401" spans="1:4" x14ac:dyDescent="0.25">
      <c r="A401">
        <v>9</v>
      </c>
      <c r="B401" t="s">
        <v>61</v>
      </c>
      <c r="C401" s="2">
        <v>44877.295358796298</v>
      </c>
      <c r="D401" t="s">
        <v>81</v>
      </c>
    </row>
    <row r="402" spans="1:4" x14ac:dyDescent="0.25">
      <c r="A402">
        <v>10</v>
      </c>
      <c r="B402" t="s">
        <v>62</v>
      </c>
      <c r="C402" s="2">
        <v>44877.295358796298</v>
      </c>
      <c r="D402" t="s">
        <v>81</v>
      </c>
    </row>
    <row r="403" spans="1:4" x14ac:dyDescent="0.25">
      <c r="A403">
        <v>11</v>
      </c>
      <c r="B403" t="s">
        <v>63</v>
      </c>
      <c r="C403" s="2">
        <v>44877.295358796298</v>
      </c>
      <c r="D403" t="s">
        <v>81</v>
      </c>
    </row>
    <row r="404" spans="1:4" x14ac:dyDescent="0.25">
      <c r="A404">
        <v>12</v>
      </c>
      <c r="B404" t="s">
        <v>64</v>
      </c>
      <c r="C404" s="2">
        <v>44877.295358796298</v>
      </c>
      <c r="D404" t="s">
        <v>81</v>
      </c>
    </row>
    <row r="405" spans="1:4" x14ac:dyDescent="0.25">
      <c r="A405">
        <v>13</v>
      </c>
      <c r="B405" t="s">
        <v>65</v>
      </c>
      <c r="C405" s="2">
        <v>44877.295358796298</v>
      </c>
      <c r="D405" t="s">
        <v>81</v>
      </c>
    </row>
    <row r="406" spans="1:4" x14ac:dyDescent="0.25">
      <c r="A406">
        <v>14</v>
      </c>
      <c r="B406" t="s">
        <v>66</v>
      </c>
      <c r="C406" s="2">
        <v>44877.295370370368</v>
      </c>
      <c r="D406" t="s">
        <v>81</v>
      </c>
    </row>
    <row r="407" spans="1:4" x14ac:dyDescent="0.25">
      <c r="A407">
        <v>15</v>
      </c>
      <c r="B407" t="s">
        <v>157</v>
      </c>
      <c r="C407" s="2">
        <v>44877.295370370368</v>
      </c>
      <c r="D407" t="s">
        <v>81</v>
      </c>
    </row>
    <row r="408" spans="1:4" x14ac:dyDescent="0.25">
      <c r="A408">
        <v>16</v>
      </c>
      <c r="B408" t="s">
        <v>68</v>
      </c>
      <c r="C408" s="2">
        <v>44877.295370370368</v>
      </c>
      <c r="D408" t="s">
        <v>81</v>
      </c>
    </row>
    <row r="409" spans="1:4" x14ac:dyDescent="0.25">
      <c r="A409">
        <v>32</v>
      </c>
      <c r="B409" t="s">
        <v>164</v>
      </c>
      <c r="C409" s="2">
        <v>44877.295370370368</v>
      </c>
      <c r="D409" t="s">
        <v>81</v>
      </c>
    </row>
    <row r="410" spans="1:4" x14ac:dyDescent="0.25">
      <c r="A410">
        <v>33</v>
      </c>
      <c r="B410" t="s">
        <v>165</v>
      </c>
      <c r="C410" s="2">
        <v>44877.295381944445</v>
      </c>
      <c r="D410" t="s">
        <v>81</v>
      </c>
    </row>
    <row r="411" spans="1:4" x14ac:dyDescent="0.25">
      <c r="A411">
        <v>34</v>
      </c>
      <c r="B411" t="s">
        <v>67</v>
      </c>
      <c r="C411" s="2">
        <v>44877.295381944445</v>
      </c>
      <c r="D411" t="s">
        <v>81</v>
      </c>
    </row>
    <row r="412" spans="1:4" x14ac:dyDescent="0.25">
      <c r="A412">
        <v>35</v>
      </c>
      <c r="B412" t="s">
        <v>166</v>
      </c>
      <c r="C412" s="2">
        <v>44877.295381944445</v>
      </c>
      <c r="D412" t="s">
        <v>81</v>
      </c>
    </row>
    <row r="413" spans="1:4" x14ac:dyDescent="0.25">
      <c r="A413">
        <v>5</v>
      </c>
      <c r="B413" t="s">
        <v>96</v>
      </c>
      <c r="C413" s="2">
        <v>44877.305810185186</v>
      </c>
      <c r="D413" t="s">
        <v>81</v>
      </c>
    </row>
    <row r="414" spans="1:4" x14ac:dyDescent="0.25">
      <c r="A414">
        <v>5</v>
      </c>
      <c r="B414" t="s">
        <v>96</v>
      </c>
      <c r="C414" s="2">
        <v>44877.316203703704</v>
      </c>
      <c r="D414" t="s">
        <v>81</v>
      </c>
    </row>
    <row r="415" spans="1:4" x14ac:dyDescent="0.25">
      <c r="A415">
        <v>5</v>
      </c>
      <c r="B415" t="s">
        <v>96</v>
      </c>
      <c r="C415" s="2">
        <v>44877.366041666668</v>
      </c>
      <c r="D415" t="s">
        <v>81</v>
      </c>
    </row>
    <row r="416" spans="1:4" x14ac:dyDescent="0.25">
      <c r="A416">
        <v>1</v>
      </c>
      <c r="B416" t="s">
        <v>6</v>
      </c>
      <c r="C416" s="2">
        <v>44877.368206018517</v>
      </c>
      <c r="D416" t="s">
        <v>81</v>
      </c>
    </row>
    <row r="417" spans="1:4" x14ac:dyDescent="0.25">
      <c r="A417">
        <v>5</v>
      </c>
      <c r="B417" t="s">
        <v>167</v>
      </c>
      <c r="C417" s="2">
        <v>44877.368217592593</v>
      </c>
      <c r="D417" t="s">
        <v>81</v>
      </c>
    </row>
    <row r="418" spans="1:4" x14ac:dyDescent="0.25">
      <c r="A418">
        <v>5</v>
      </c>
      <c r="B418" t="s">
        <v>167</v>
      </c>
      <c r="C418" s="2">
        <v>44877.378587962965</v>
      </c>
      <c r="D418" t="s">
        <v>81</v>
      </c>
    </row>
    <row r="419" spans="1:4" x14ac:dyDescent="0.25">
      <c r="A419">
        <v>5</v>
      </c>
      <c r="B419" t="s">
        <v>167</v>
      </c>
      <c r="C419" s="2">
        <v>44877.389004629629</v>
      </c>
      <c r="D419" t="s">
        <v>81</v>
      </c>
    </row>
    <row r="420" spans="1:4" x14ac:dyDescent="0.25">
      <c r="A420">
        <v>5</v>
      </c>
      <c r="B420" t="s">
        <v>167</v>
      </c>
      <c r="C420" s="2">
        <v>44877.399421296293</v>
      </c>
      <c r="D420" t="s">
        <v>81</v>
      </c>
    </row>
    <row r="421" spans="1:4" x14ac:dyDescent="0.25">
      <c r="A421">
        <v>5</v>
      </c>
      <c r="B421" t="s">
        <v>167</v>
      </c>
      <c r="C421" s="2">
        <v>44877.409837962965</v>
      </c>
      <c r="D421" t="s">
        <v>81</v>
      </c>
    </row>
    <row r="422" spans="1:4" x14ac:dyDescent="0.25">
      <c r="A422">
        <v>5</v>
      </c>
      <c r="B422" t="s">
        <v>167</v>
      </c>
      <c r="C422" s="2">
        <v>44877.420254629629</v>
      </c>
      <c r="D422" t="s">
        <v>81</v>
      </c>
    </row>
    <row r="423" spans="1:4" x14ac:dyDescent="0.25">
      <c r="A423">
        <v>5</v>
      </c>
      <c r="B423" t="s">
        <v>167</v>
      </c>
      <c r="C423" s="2">
        <v>44877.430671296293</v>
      </c>
      <c r="D423" t="s">
        <v>81</v>
      </c>
    </row>
    <row r="424" spans="1:4" x14ac:dyDescent="0.25">
      <c r="A424">
        <v>5</v>
      </c>
      <c r="B424" t="s">
        <v>167</v>
      </c>
      <c r="C424" s="2">
        <v>44877.441087962965</v>
      </c>
      <c r="D424" t="s">
        <v>81</v>
      </c>
    </row>
    <row r="425" spans="1:4" x14ac:dyDescent="0.25">
      <c r="A425">
        <v>5</v>
      </c>
      <c r="B425" t="s">
        <v>167</v>
      </c>
      <c r="C425" s="2">
        <v>44877.451504629629</v>
      </c>
      <c r="D425" t="s">
        <v>81</v>
      </c>
    </row>
    <row r="426" spans="1:4" x14ac:dyDescent="0.25">
      <c r="A426">
        <v>5</v>
      </c>
      <c r="B426" t="s">
        <v>167</v>
      </c>
      <c r="C426" s="2">
        <v>44877.844236111108</v>
      </c>
      <c r="D426" t="s">
        <v>81</v>
      </c>
    </row>
    <row r="427" spans="1:4" x14ac:dyDescent="0.25">
      <c r="A427">
        <v>5</v>
      </c>
      <c r="B427" t="s">
        <v>167</v>
      </c>
      <c r="C427" s="2">
        <v>44877.847708333335</v>
      </c>
      <c r="D427" t="s">
        <v>81</v>
      </c>
    </row>
    <row r="428" spans="1:4" x14ac:dyDescent="0.25">
      <c r="A428">
        <v>5</v>
      </c>
      <c r="B428" t="s">
        <v>167</v>
      </c>
      <c r="C428" s="2">
        <v>44877.851168981484</v>
      </c>
      <c r="D428" t="s">
        <v>81</v>
      </c>
    </row>
    <row r="429" spans="1:4" x14ac:dyDescent="0.25">
      <c r="A429">
        <v>5</v>
      </c>
      <c r="B429" t="s">
        <v>167</v>
      </c>
      <c r="C429" s="2">
        <v>44877.854641203703</v>
      </c>
      <c r="D429" t="s">
        <v>81</v>
      </c>
    </row>
    <row r="430" spans="1:4" x14ac:dyDescent="0.25">
      <c r="A430">
        <v>5</v>
      </c>
      <c r="B430" t="s">
        <v>167</v>
      </c>
      <c r="C430" s="2">
        <v>44877.858113425929</v>
      </c>
      <c r="D430" t="s">
        <v>81</v>
      </c>
    </row>
    <row r="431" spans="1:4" x14ac:dyDescent="0.25">
      <c r="A431">
        <v>5</v>
      </c>
      <c r="B431" t="s">
        <v>167</v>
      </c>
      <c r="C431" s="2">
        <v>44877.862662037034</v>
      </c>
      <c r="D431" t="s">
        <v>81</v>
      </c>
    </row>
    <row r="432" spans="1:4" x14ac:dyDescent="0.25">
      <c r="A432">
        <v>5</v>
      </c>
      <c r="B432" t="s">
        <v>96</v>
      </c>
      <c r="C432" s="2">
        <v>44878.284942129627</v>
      </c>
      <c r="D432" t="s">
        <v>81</v>
      </c>
    </row>
    <row r="433" spans="1:4" x14ac:dyDescent="0.25">
      <c r="A433">
        <v>26</v>
      </c>
      <c r="B433" t="s">
        <v>159</v>
      </c>
      <c r="C433" s="2">
        <v>44878.284953703704</v>
      </c>
      <c r="D433" t="s">
        <v>81</v>
      </c>
    </row>
    <row r="434" spans="1:4" x14ac:dyDescent="0.25">
      <c r="A434">
        <v>27</v>
      </c>
      <c r="B434" t="s">
        <v>60</v>
      </c>
      <c r="C434" s="2">
        <v>44878.284953703704</v>
      </c>
      <c r="D434" t="s">
        <v>81</v>
      </c>
    </row>
    <row r="435" spans="1:4" x14ac:dyDescent="0.25">
      <c r="A435">
        <v>28</v>
      </c>
      <c r="B435" t="s">
        <v>160</v>
      </c>
      <c r="C435" s="2">
        <v>44878.284953703704</v>
      </c>
      <c r="D435" t="s">
        <v>81</v>
      </c>
    </row>
    <row r="436" spans="1:4" x14ac:dyDescent="0.25">
      <c r="A436">
        <v>29</v>
      </c>
      <c r="B436" t="s">
        <v>161</v>
      </c>
      <c r="C436" s="2">
        <v>44878.284953703704</v>
      </c>
      <c r="D436" t="s">
        <v>81</v>
      </c>
    </row>
    <row r="437" spans="1:4" x14ac:dyDescent="0.25">
      <c r="A437">
        <v>30</v>
      </c>
      <c r="B437" t="s">
        <v>162</v>
      </c>
      <c r="C437" s="2">
        <v>44878.284953703704</v>
      </c>
      <c r="D437" t="s">
        <v>81</v>
      </c>
    </row>
    <row r="438" spans="1:4" x14ac:dyDescent="0.25">
      <c r="A438">
        <v>31</v>
      </c>
      <c r="B438" t="s">
        <v>163</v>
      </c>
      <c r="C438" s="2">
        <v>44878.28496527778</v>
      </c>
      <c r="D438" t="s">
        <v>81</v>
      </c>
    </row>
    <row r="439" spans="1:4" x14ac:dyDescent="0.25">
      <c r="A439">
        <v>5</v>
      </c>
      <c r="B439" t="s">
        <v>96</v>
      </c>
      <c r="C439" s="2">
        <v>44878.295358796298</v>
      </c>
      <c r="D439" t="s">
        <v>81</v>
      </c>
    </row>
    <row r="440" spans="1:4" x14ac:dyDescent="0.25">
      <c r="A440">
        <v>7</v>
      </c>
      <c r="B440" t="s">
        <v>59</v>
      </c>
      <c r="C440" s="2">
        <v>44878.295358796298</v>
      </c>
      <c r="D440" t="s">
        <v>81</v>
      </c>
    </row>
    <row r="441" spans="1:4" x14ac:dyDescent="0.25">
      <c r="A441">
        <v>9</v>
      </c>
      <c r="B441" t="s">
        <v>61</v>
      </c>
      <c r="C441" s="2">
        <v>44878.295358796298</v>
      </c>
      <c r="D441" t="s">
        <v>81</v>
      </c>
    </row>
    <row r="442" spans="1:4" x14ac:dyDescent="0.25">
      <c r="A442">
        <v>10</v>
      </c>
      <c r="B442" t="s">
        <v>62</v>
      </c>
      <c r="C442" s="2">
        <v>44878.295358796298</v>
      </c>
      <c r="D442" t="s">
        <v>81</v>
      </c>
    </row>
    <row r="443" spans="1:4" x14ac:dyDescent="0.25">
      <c r="A443">
        <v>11</v>
      </c>
      <c r="B443" t="s">
        <v>63</v>
      </c>
      <c r="C443" s="2">
        <v>44878.295370370368</v>
      </c>
      <c r="D443" t="s">
        <v>81</v>
      </c>
    </row>
    <row r="444" spans="1:4" x14ac:dyDescent="0.25">
      <c r="A444">
        <v>12</v>
      </c>
      <c r="B444" t="s">
        <v>64</v>
      </c>
      <c r="C444" s="2">
        <v>44878.295370370368</v>
      </c>
      <c r="D444" t="s">
        <v>81</v>
      </c>
    </row>
    <row r="445" spans="1:4" x14ac:dyDescent="0.25">
      <c r="A445">
        <v>13</v>
      </c>
      <c r="B445" t="s">
        <v>65</v>
      </c>
      <c r="C445" s="2">
        <v>44878.295370370368</v>
      </c>
      <c r="D445" t="s">
        <v>81</v>
      </c>
    </row>
    <row r="446" spans="1:4" x14ac:dyDescent="0.25">
      <c r="A446">
        <v>14</v>
      </c>
      <c r="B446" t="s">
        <v>66</v>
      </c>
      <c r="C446" s="2">
        <v>44878.295370370368</v>
      </c>
      <c r="D446" t="s">
        <v>81</v>
      </c>
    </row>
    <row r="447" spans="1:4" x14ac:dyDescent="0.25">
      <c r="A447">
        <v>15</v>
      </c>
      <c r="B447" t="s">
        <v>157</v>
      </c>
      <c r="C447" s="2">
        <v>44878.295370370368</v>
      </c>
      <c r="D447" t="s">
        <v>81</v>
      </c>
    </row>
    <row r="448" spans="1:4" x14ac:dyDescent="0.25">
      <c r="A448">
        <v>16</v>
      </c>
      <c r="B448" t="s">
        <v>68</v>
      </c>
      <c r="C448" s="2">
        <v>44878.295370370368</v>
      </c>
      <c r="D448" t="s">
        <v>81</v>
      </c>
    </row>
    <row r="449" spans="1:4" x14ac:dyDescent="0.25">
      <c r="A449">
        <v>32</v>
      </c>
      <c r="B449" t="s">
        <v>164</v>
      </c>
      <c r="C449" s="2">
        <v>44878.295381944445</v>
      </c>
      <c r="D449" t="s">
        <v>81</v>
      </c>
    </row>
    <row r="450" spans="1:4" x14ac:dyDescent="0.25">
      <c r="A450">
        <v>33</v>
      </c>
      <c r="B450" t="s">
        <v>165</v>
      </c>
      <c r="C450" s="2">
        <v>44878.295381944445</v>
      </c>
      <c r="D450" t="s">
        <v>81</v>
      </c>
    </row>
    <row r="451" spans="1:4" x14ac:dyDescent="0.25">
      <c r="A451">
        <v>35</v>
      </c>
      <c r="B451" t="s">
        <v>166</v>
      </c>
      <c r="C451" s="2">
        <v>44878.295381944445</v>
      </c>
      <c r="D451" t="s">
        <v>81</v>
      </c>
    </row>
    <row r="452" spans="1:4" x14ac:dyDescent="0.25">
      <c r="A452">
        <v>5</v>
      </c>
      <c r="B452" t="s">
        <v>96</v>
      </c>
      <c r="C452" s="2">
        <v>44878.305775462963</v>
      </c>
      <c r="D452" t="s">
        <v>81</v>
      </c>
    </row>
    <row r="453" spans="1:4" x14ac:dyDescent="0.25">
      <c r="A453">
        <v>5</v>
      </c>
      <c r="B453" t="s">
        <v>96</v>
      </c>
      <c r="C453" s="2">
        <v>44878.316550925927</v>
      </c>
      <c r="D453" t="s">
        <v>81</v>
      </c>
    </row>
    <row r="454" spans="1:4" x14ac:dyDescent="0.25">
      <c r="A454">
        <v>24</v>
      </c>
      <c r="B454" t="s">
        <v>28</v>
      </c>
      <c r="C454" s="2">
        <v>44878.316562499997</v>
      </c>
      <c r="D454" t="s">
        <v>81</v>
      </c>
    </row>
    <row r="455" spans="1:4" x14ac:dyDescent="0.25">
      <c r="A455">
        <v>25</v>
      </c>
      <c r="B455" t="s">
        <v>41</v>
      </c>
      <c r="C455" s="2">
        <v>44878.316562499997</v>
      </c>
      <c r="D455" t="s">
        <v>81</v>
      </c>
    </row>
    <row r="456" spans="1:4" x14ac:dyDescent="0.25">
      <c r="A456">
        <v>34</v>
      </c>
      <c r="B456" t="s">
        <v>67</v>
      </c>
      <c r="C456" s="2">
        <v>44878.316562499997</v>
      </c>
      <c r="D456" t="s">
        <v>81</v>
      </c>
    </row>
    <row r="457" spans="1:4" x14ac:dyDescent="0.25">
      <c r="A457">
        <v>5</v>
      </c>
      <c r="B457" t="s">
        <v>96</v>
      </c>
      <c r="C457" s="2">
        <v>44878.326574074075</v>
      </c>
      <c r="D457" t="s">
        <v>81</v>
      </c>
    </row>
    <row r="458" spans="1:4" x14ac:dyDescent="0.25">
      <c r="A458">
        <v>5</v>
      </c>
      <c r="B458" t="s">
        <v>96</v>
      </c>
      <c r="C458" s="2">
        <v>44878.336898148147</v>
      </c>
      <c r="D458" t="s">
        <v>81</v>
      </c>
    </row>
    <row r="459" spans="1:4" x14ac:dyDescent="0.25">
      <c r="A459">
        <v>5</v>
      </c>
      <c r="B459" t="s">
        <v>96</v>
      </c>
      <c r="C459" s="2">
        <v>44879.284942129627</v>
      </c>
      <c r="D459" t="s">
        <v>81</v>
      </c>
    </row>
    <row r="460" spans="1:4" x14ac:dyDescent="0.25">
      <c r="A460">
        <v>24</v>
      </c>
      <c r="B460" t="s">
        <v>28</v>
      </c>
      <c r="C460" s="2">
        <v>44879.284953703704</v>
      </c>
      <c r="D460" t="s">
        <v>81</v>
      </c>
    </row>
    <row r="461" spans="1:4" x14ac:dyDescent="0.25">
      <c r="A461">
        <v>26</v>
      </c>
      <c r="B461" t="s">
        <v>159</v>
      </c>
      <c r="C461" s="2">
        <v>44879.284953703704</v>
      </c>
      <c r="D461" t="s">
        <v>81</v>
      </c>
    </row>
    <row r="462" spans="1:4" x14ac:dyDescent="0.25">
      <c r="A462">
        <v>27</v>
      </c>
      <c r="B462" t="s">
        <v>60</v>
      </c>
      <c r="C462" s="2">
        <v>44879.284953703704</v>
      </c>
      <c r="D462" t="s">
        <v>81</v>
      </c>
    </row>
    <row r="463" spans="1:4" x14ac:dyDescent="0.25">
      <c r="A463">
        <v>29</v>
      </c>
      <c r="B463" t="s">
        <v>161</v>
      </c>
      <c r="C463" s="2">
        <v>44879.284953703704</v>
      </c>
      <c r="D463" t="s">
        <v>81</v>
      </c>
    </row>
    <row r="464" spans="1:4" x14ac:dyDescent="0.25">
      <c r="A464">
        <v>5</v>
      </c>
      <c r="B464" t="s">
        <v>96</v>
      </c>
      <c r="C464" s="2">
        <v>44879.295358796298</v>
      </c>
      <c r="D464" t="s">
        <v>81</v>
      </c>
    </row>
    <row r="465" spans="1:4" x14ac:dyDescent="0.25">
      <c r="A465">
        <v>7</v>
      </c>
      <c r="B465" t="s">
        <v>59</v>
      </c>
      <c r="C465" s="2">
        <v>44879.295358796298</v>
      </c>
      <c r="D465" t="s">
        <v>81</v>
      </c>
    </row>
    <row r="466" spans="1:4" x14ac:dyDescent="0.25">
      <c r="A466">
        <v>9</v>
      </c>
      <c r="B466" t="s">
        <v>61</v>
      </c>
      <c r="C466" s="2">
        <v>44879.295358796298</v>
      </c>
      <c r="D466" t="s">
        <v>81</v>
      </c>
    </row>
    <row r="467" spans="1:4" x14ac:dyDescent="0.25">
      <c r="A467">
        <v>10</v>
      </c>
      <c r="B467" t="s">
        <v>62</v>
      </c>
      <c r="C467" s="2">
        <v>44879.295370370368</v>
      </c>
      <c r="D467" t="s">
        <v>81</v>
      </c>
    </row>
    <row r="468" spans="1:4" x14ac:dyDescent="0.25">
      <c r="A468">
        <v>11</v>
      </c>
      <c r="B468" t="s">
        <v>63</v>
      </c>
      <c r="C468" s="2">
        <v>44879.295370370368</v>
      </c>
      <c r="D468" t="s">
        <v>81</v>
      </c>
    </row>
    <row r="469" spans="1:4" x14ac:dyDescent="0.25">
      <c r="A469">
        <v>12</v>
      </c>
      <c r="B469" t="s">
        <v>64</v>
      </c>
      <c r="C469" s="2">
        <v>44879.295370370368</v>
      </c>
      <c r="D469" t="s">
        <v>81</v>
      </c>
    </row>
    <row r="470" spans="1:4" x14ac:dyDescent="0.25">
      <c r="A470">
        <v>13</v>
      </c>
      <c r="B470" t="s">
        <v>65</v>
      </c>
      <c r="C470" s="2">
        <v>44879.295370370368</v>
      </c>
      <c r="D470" t="s">
        <v>81</v>
      </c>
    </row>
    <row r="471" spans="1:4" x14ac:dyDescent="0.25">
      <c r="A471">
        <v>14</v>
      </c>
      <c r="B471" t="s">
        <v>66</v>
      </c>
      <c r="C471" s="2">
        <v>44879.295370370368</v>
      </c>
      <c r="D471" t="s">
        <v>81</v>
      </c>
    </row>
    <row r="472" spans="1:4" x14ac:dyDescent="0.25">
      <c r="A472">
        <v>15</v>
      </c>
      <c r="B472" t="s">
        <v>157</v>
      </c>
      <c r="C472" s="2">
        <v>44879.295370370368</v>
      </c>
      <c r="D472" t="s">
        <v>81</v>
      </c>
    </row>
    <row r="473" spans="1:4" x14ac:dyDescent="0.25">
      <c r="A473">
        <v>16</v>
      </c>
      <c r="B473" t="s">
        <v>68</v>
      </c>
      <c r="C473" s="2">
        <v>44879.295370370368</v>
      </c>
      <c r="D473" t="s">
        <v>81</v>
      </c>
    </row>
    <row r="474" spans="1:4" x14ac:dyDescent="0.25">
      <c r="A474">
        <v>30</v>
      </c>
      <c r="B474" t="s">
        <v>162</v>
      </c>
      <c r="C474" s="2">
        <v>44879.295381944445</v>
      </c>
      <c r="D474" t="s">
        <v>81</v>
      </c>
    </row>
    <row r="475" spans="1:4" x14ac:dyDescent="0.25">
      <c r="A475">
        <v>32</v>
      </c>
      <c r="B475" t="s">
        <v>164</v>
      </c>
      <c r="C475" s="2">
        <v>44879.295381944445</v>
      </c>
      <c r="D475" t="s">
        <v>81</v>
      </c>
    </row>
    <row r="476" spans="1:4" x14ac:dyDescent="0.25">
      <c r="A476">
        <v>33</v>
      </c>
      <c r="B476" t="s">
        <v>165</v>
      </c>
      <c r="C476" s="2">
        <v>44879.295381944445</v>
      </c>
      <c r="D476" t="s">
        <v>81</v>
      </c>
    </row>
    <row r="477" spans="1:4" x14ac:dyDescent="0.25">
      <c r="A477">
        <v>34</v>
      </c>
      <c r="B477" t="s">
        <v>67</v>
      </c>
      <c r="C477" s="2">
        <v>44879.295381944445</v>
      </c>
      <c r="D477" t="s">
        <v>81</v>
      </c>
    </row>
    <row r="478" spans="1:4" x14ac:dyDescent="0.25">
      <c r="A478">
        <v>35</v>
      </c>
      <c r="B478" t="s">
        <v>166</v>
      </c>
      <c r="C478" s="2">
        <v>44879.295393518521</v>
      </c>
      <c r="D478" t="s">
        <v>81</v>
      </c>
    </row>
    <row r="479" spans="1:4" x14ac:dyDescent="0.25">
      <c r="A479">
        <v>5</v>
      </c>
      <c r="B479" t="s">
        <v>96</v>
      </c>
      <c r="C479" s="2">
        <v>44879.305775462963</v>
      </c>
      <c r="D479" t="s">
        <v>81</v>
      </c>
    </row>
    <row r="480" spans="1:4" x14ac:dyDescent="0.25">
      <c r="A480">
        <v>5</v>
      </c>
      <c r="B480" t="s">
        <v>96</v>
      </c>
      <c r="C480" s="2">
        <v>44879.316550925927</v>
      </c>
      <c r="D480" t="s">
        <v>81</v>
      </c>
    </row>
    <row r="481" spans="1:4" x14ac:dyDescent="0.25">
      <c r="A481">
        <v>25</v>
      </c>
      <c r="B481" t="s">
        <v>41</v>
      </c>
      <c r="C481" s="2">
        <v>44879.316550925927</v>
      </c>
      <c r="D481" t="s">
        <v>81</v>
      </c>
    </row>
    <row r="482" spans="1:4" x14ac:dyDescent="0.25">
      <c r="A482">
        <v>28</v>
      </c>
      <c r="B482" t="s">
        <v>160</v>
      </c>
      <c r="C482" s="2">
        <v>44879.316562499997</v>
      </c>
      <c r="D482" t="s">
        <v>81</v>
      </c>
    </row>
    <row r="483" spans="1:4" x14ac:dyDescent="0.25">
      <c r="A483">
        <v>31</v>
      </c>
      <c r="B483" t="s">
        <v>163</v>
      </c>
      <c r="C483" s="2">
        <v>44879.316562499997</v>
      </c>
      <c r="D483" t="s">
        <v>81</v>
      </c>
    </row>
    <row r="484" spans="1:4" x14ac:dyDescent="0.25">
      <c r="A484">
        <v>5</v>
      </c>
      <c r="B484" t="s">
        <v>96</v>
      </c>
      <c r="C484" s="2">
        <v>44879.336898148147</v>
      </c>
      <c r="D484" t="s">
        <v>81</v>
      </c>
    </row>
    <row r="485" spans="1:4" x14ac:dyDescent="0.25">
      <c r="A485">
        <v>5</v>
      </c>
      <c r="B485" t="s">
        <v>167</v>
      </c>
      <c r="C485" s="2">
        <v>44879.864039351851</v>
      </c>
      <c r="D485" t="s">
        <v>81</v>
      </c>
    </row>
    <row r="486" spans="1:4" x14ac:dyDescent="0.25">
      <c r="A486">
        <v>5</v>
      </c>
      <c r="B486" t="s">
        <v>96</v>
      </c>
      <c r="C486" s="2">
        <v>44880.284942129627</v>
      </c>
      <c r="D486" t="s">
        <v>81</v>
      </c>
    </row>
    <row r="487" spans="1:4" x14ac:dyDescent="0.25">
      <c r="A487">
        <v>24</v>
      </c>
      <c r="B487" t="s">
        <v>28</v>
      </c>
      <c r="C487" s="2">
        <v>44880.284953703704</v>
      </c>
      <c r="D487" t="s">
        <v>81</v>
      </c>
    </row>
    <row r="488" spans="1:4" x14ac:dyDescent="0.25">
      <c r="A488">
        <v>25</v>
      </c>
      <c r="B488" t="s">
        <v>41</v>
      </c>
      <c r="C488" s="2">
        <v>44880.284953703704</v>
      </c>
      <c r="D488" t="s">
        <v>81</v>
      </c>
    </row>
    <row r="489" spans="1:4" x14ac:dyDescent="0.25">
      <c r="A489">
        <v>26</v>
      </c>
      <c r="B489" t="s">
        <v>159</v>
      </c>
      <c r="C489" s="2">
        <v>44880.284953703704</v>
      </c>
      <c r="D489" t="s">
        <v>81</v>
      </c>
    </row>
    <row r="490" spans="1:4" x14ac:dyDescent="0.25">
      <c r="A490">
        <v>27</v>
      </c>
      <c r="B490" t="s">
        <v>60</v>
      </c>
      <c r="C490" s="2">
        <v>44880.284953703704</v>
      </c>
      <c r="D490" t="s">
        <v>81</v>
      </c>
    </row>
    <row r="491" spans="1:4" x14ac:dyDescent="0.25">
      <c r="A491">
        <v>28</v>
      </c>
      <c r="B491" t="s">
        <v>160</v>
      </c>
      <c r="C491" s="2">
        <v>44880.28496527778</v>
      </c>
      <c r="D491" t="s">
        <v>81</v>
      </c>
    </row>
    <row r="492" spans="1:4" x14ac:dyDescent="0.25">
      <c r="A492">
        <v>29</v>
      </c>
      <c r="B492" t="s">
        <v>161</v>
      </c>
      <c r="C492" s="2">
        <v>44880.28496527778</v>
      </c>
      <c r="D492" t="s">
        <v>81</v>
      </c>
    </row>
    <row r="493" spans="1:4" x14ac:dyDescent="0.25">
      <c r="A493">
        <v>30</v>
      </c>
      <c r="B493" t="s">
        <v>162</v>
      </c>
      <c r="C493" s="2">
        <v>44880.28496527778</v>
      </c>
      <c r="D493" t="s">
        <v>81</v>
      </c>
    </row>
    <row r="494" spans="1:4" x14ac:dyDescent="0.25">
      <c r="A494">
        <v>31</v>
      </c>
      <c r="B494" t="s">
        <v>163</v>
      </c>
      <c r="C494" s="2">
        <v>44880.28496527778</v>
      </c>
      <c r="D494" t="s">
        <v>81</v>
      </c>
    </row>
    <row r="495" spans="1:4" x14ac:dyDescent="0.25">
      <c r="A495">
        <v>35</v>
      </c>
      <c r="B495" t="s">
        <v>166</v>
      </c>
      <c r="C495" s="2">
        <v>44880.28496527778</v>
      </c>
      <c r="D495" t="s">
        <v>81</v>
      </c>
    </row>
    <row r="496" spans="1:4" x14ac:dyDescent="0.25">
      <c r="A496">
        <v>5</v>
      </c>
      <c r="B496" t="s">
        <v>96</v>
      </c>
      <c r="C496" s="2">
        <v>44880.295358796298</v>
      </c>
      <c r="D496" t="s">
        <v>81</v>
      </c>
    </row>
    <row r="497" spans="1:4" x14ac:dyDescent="0.25">
      <c r="A497">
        <v>7</v>
      </c>
      <c r="B497" t="s">
        <v>59</v>
      </c>
      <c r="C497" s="2">
        <v>44880.295358796298</v>
      </c>
      <c r="D497" t="s">
        <v>81</v>
      </c>
    </row>
    <row r="498" spans="1:4" x14ac:dyDescent="0.25">
      <c r="A498">
        <v>9</v>
      </c>
      <c r="B498" t="s">
        <v>61</v>
      </c>
      <c r="C498" s="2">
        <v>44880.295358796298</v>
      </c>
      <c r="D498" t="s">
        <v>81</v>
      </c>
    </row>
    <row r="499" spans="1:4" x14ac:dyDescent="0.25">
      <c r="A499">
        <v>10</v>
      </c>
      <c r="B499" t="s">
        <v>62</v>
      </c>
      <c r="C499" s="2">
        <v>44880.295370370368</v>
      </c>
      <c r="D499" t="s">
        <v>81</v>
      </c>
    </row>
    <row r="500" spans="1:4" x14ac:dyDescent="0.25">
      <c r="A500">
        <v>11</v>
      </c>
      <c r="B500" t="s">
        <v>63</v>
      </c>
      <c r="C500" s="2">
        <v>44880.295370370368</v>
      </c>
      <c r="D500" t="s">
        <v>81</v>
      </c>
    </row>
    <row r="501" spans="1:4" x14ac:dyDescent="0.25">
      <c r="A501">
        <v>12</v>
      </c>
      <c r="B501" t="s">
        <v>64</v>
      </c>
      <c r="C501" s="2">
        <v>44880.295370370368</v>
      </c>
      <c r="D501" t="s">
        <v>81</v>
      </c>
    </row>
    <row r="502" spans="1:4" x14ac:dyDescent="0.25">
      <c r="A502">
        <v>13</v>
      </c>
      <c r="B502" t="s">
        <v>65</v>
      </c>
      <c r="C502" s="2">
        <v>44880.295370370368</v>
      </c>
      <c r="D502" t="s">
        <v>81</v>
      </c>
    </row>
    <row r="503" spans="1:4" x14ac:dyDescent="0.25">
      <c r="A503">
        <v>14</v>
      </c>
      <c r="B503" t="s">
        <v>66</v>
      </c>
      <c r="C503" s="2">
        <v>44880.295370370368</v>
      </c>
      <c r="D503" t="s">
        <v>81</v>
      </c>
    </row>
    <row r="504" spans="1:4" x14ac:dyDescent="0.25">
      <c r="A504">
        <v>15</v>
      </c>
      <c r="B504" t="s">
        <v>157</v>
      </c>
      <c r="C504" s="2">
        <v>44880.295370370368</v>
      </c>
      <c r="D504" t="s">
        <v>81</v>
      </c>
    </row>
    <row r="505" spans="1:4" x14ac:dyDescent="0.25">
      <c r="A505">
        <v>16</v>
      </c>
      <c r="B505" t="s">
        <v>68</v>
      </c>
      <c r="C505" s="2">
        <v>44880.295381944445</v>
      </c>
      <c r="D505" t="s">
        <v>81</v>
      </c>
    </row>
    <row r="506" spans="1:4" x14ac:dyDescent="0.25">
      <c r="A506">
        <v>32</v>
      </c>
      <c r="B506" t="s">
        <v>164</v>
      </c>
      <c r="C506" s="2">
        <v>44880.295381944445</v>
      </c>
      <c r="D506" t="s">
        <v>81</v>
      </c>
    </row>
    <row r="507" spans="1:4" x14ac:dyDescent="0.25">
      <c r="A507">
        <v>33</v>
      </c>
      <c r="B507" t="s">
        <v>165</v>
      </c>
      <c r="C507" s="2">
        <v>44880.295381944445</v>
      </c>
      <c r="D507" t="s">
        <v>81</v>
      </c>
    </row>
    <row r="508" spans="1:4" x14ac:dyDescent="0.25">
      <c r="A508">
        <v>34</v>
      </c>
      <c r="B508" t="s">
        <v>67</v>
      </c>
      <c r="C508" s="2">
        <v>44880.295381944445</v>
      </c>
      <c r="D508" t="s">
        <v>81</v>
      </c>
    </row>
    <row r="509" spans="1:4" x14ac:dyDescent="0.25">
      <c r="A509">
        <v>5</v>
      </c>
      <c r="B509" t="s">
        <v>96</v>
      </c>
      <c r="C509" s="2">
        <v>44880.305798611109</v>
      </c>
      <c r="D509" t="s">
        <v>81</v>
      </c>
    </row>
    <row r="510" spans="1:4" x14ac:dyDescent="0.25">
      <c r="A510">
        <v>5</v>
      </c>
      <c r="B510" t="s">
        <v>96</v>
      </c>
      <c r="C510" s="2">
        <v>44880.316203703704</v>
      </c>
      <c r="D510" t="s">
        <v>81</v>
      </c>
    </row>
    <row r="511" spans="1:4" x14ac:dyDescent="0.25">
      <c r="A511">
        <v>5</v>
      </c>
      <c r="B511" t="s">
        <v>96</v>
      </c>
      <c r="C511" s="2">
        <v>44880.326608796298</v>
      </c>
      <c r="D511" t="s">
        <v>81</v>
      </c>
    </row>
    <row r="512" spans="1:4" x14ac:dyDescent="0.25">
      <c r="A512">
        <v>5</v>
      </c>
      <c r="B512" t="s">
        <v>96</v>
      </c>
      <c r="C512" s="2">
        <v>44880.337013888886</v>
      </c>
      <c r="D512" t="s">
        <v>81</v>
      </c>
    </row>
    <row r="513" spans="1:4" x14ac:dyDescent="0.25">
      <c r="A513">
        <v>5</v>
      </c>
      <c r="B513" t="s">
        <v>96</v>
      </c>
      <c r="C513" s="2">
        <v>44880.347534722219</v>
      </c>
      <c r="D513" t="s">
        <v>81</v>
      </c>
    </row>
    <row r="514" spans="1:4" x14ac:dyDescent="0.25">
      <c r="A514">
        <v>5</v>
      </c>
      <c r="B514" t="s">
        <v>96</v>
      </c>
      <c r="C514" s="2">
        <v>44880.357847222222</v>
      </c>
      <c r="D514" t="s">
        <v>81</v>
      </c>
    </row>
    <row r="515" spans="1:4" x14ac:dyDescent="0.25">
      <c r="A515">
        <v>1</v>
      </c>
      <c r="B515" t="s">
        <v>6</v>
      </c>
      <c r="C515" s="2">
        <v>44880.368437500001</v>
      </c>
      <c r="D515" t="s">
        <v>81</v>
      </c>
    </row>
    <row r="516" spans="1:4" x14ac:dyDescent="0.25">
      <c r="A516">
        <v>5</v>
      </c>
      <c r="B516" t="s">
        <v>167</v>
      </c>
      <c r="C516" s="2">
        <v>44880.368437500001</v>
      </c>
      <c r="D516" t="s">
        <v>81</v>
      </c>
    </row>
    <row r="517" spans="1:4" x14ac:dyDescent="0.25">
      <c r="A517">
        <v>5</v>
      </c>
      <c r="B517" t="s">
        <v>167</v>
      </c>
      <c r="C517" s="2">
        <v>44880.378692129627</v>
      </c>
      <c r="D517" t="s">
        <v>81</v>
      </c>
    </row>
    <row r="518" spans="1:4" x14ac:dyDescent="0.25">
      <c r="A518">
        <v>5</v>
      </c>
      <c r="B518" t="s">
        <v>167</v>
      </c>
      <c r="C518" s="2">
        <v>44880.389097222222</v>
      </c>
      <c r="D518" t="s">
        <v>81</v>
      </c>
    </row>
    <row r="519" spans="1:4" x14ac:dyDescent="0.25">
      <c r="A519">
        <v>5</v>
      </c>
      <c r="B519" t="s">
        <v>167</v>
      </c>
      <c r="C519" s="2">
        <v>44880.399513888886</v>
      </c>
      <c r="D519" t="s">
        <v>81</v>
      </c>
    </row>
    <row r="520" spans="1:4" x14ac:dyDescent="0.25">
      <c r="A520">
        <v>5</v>
      </c>
      <c r="B520" t="s">
        <v>167</v>
      </c>
      <c r="C520" s="2">
        <v>44880.410034722219</v>
      </c>
      <c r="D520" t="s">
        <v>81</v>
      </c>
    </row>
    <row r="521" spans="1:4" x14ac:dyDescent="0.25">
      <c r="A521">
        <v>5</v>
      </c>
      <c r="B521" t="s">
        <v>167</v>
      </c>
      <c r="C521" s="2">
        <v>44880.428101851852</v>
      </c>
      <c r="D521" t="s">
        <v>81</v>
      </c>
    </row>
    <row r="522" spans="1:4" x14ac:dyDescent="0.25">
      <c r="A522">
        <v>5</v>
      </c>
      <c r="B522" t="s">
        <v>167</v>
      </c>
      <c r="C522" s="2">
        <v>44880.430671296293</v>
      </c>
      <c r="D522" t="s">
        <v>81</v>
      </c>
    </row>
    <row r="523" spans="1:4" x14ac:dyDescent="0.25">
      <c r="A523">
        <v>5</v>
      </c>
      <c r="B523" t="s">
        <v>167</v>
      </c>
      <c r="C523" s="2">
        <v>44880.441307870373</v>
      </c>
      <c r="D523" t="s">
        <v>81</v>
      </c>
    </row>
    <row r="524" spans="1:4" x14ac:dyDescent="0.25">
      <c r="A524">
        <v>5</v>
      </c>
      <c r="B524" t="s">
        <v>167</v>
      </c>
      <c r="C524" s="2">
        <v>44880.451608796298</v>
      </c>
      <c r="D524" t="s">
        <v>81</v>
      </c>
    </row>
    <row r="525" spans="1:4" x14ac:dyDescent="0.25">
      <c r="A525">
        <v>5</v>
      </c>
      <c r="B525" t="s">
        <v>96</v>
      </c>
      <c r="C525" s="2">
        <v>44881.284953703704</v>
      </c>
      <c r="D525" t="s">
        <v>81</v>
      </c>
    </row>
    <row r="526" spans="1:4" x14ac:dyDescent="0.25">
      <c r="A526">
        <v>26</v>
      </c>
      <c r="B526" t="s">
        <v>159</v>
      </c>
      <c r="C526" s="2">
        <v>44881.28496527778</v>
      </c>
      <c r="D526" t="s">
        <v>81</v>
      </c>
    </row>
    <row r="527" spans="1:4" x14ac:dyDescent="0.25">
      <c r="A527">
        <v>27</v>
      </c>
      <c r="B527" t="s">
        <v>60</v>
      </c>
      <c r="C527" s="2">
        <v>44881.28496527778</v>
      </c>
      <c r="D527" t="s">
        <v>81</v>
      </c>
    </row>
    <row r="528" spans="1:4" x14ac:dyDescent="0.25">
      <c r="A528">
        <v>28</v>
      </c>
      <c r="B528" t="s">
        <v>160</v>
      </c>
      <c r="C528" s="2">
        <v>44881.28496527778</v>
      </c>
      <c r="D528" t="s">
        <v>81</v>
      </c>
    </row>
    <row r="529" spans="1:4" x14ac:dyDescent="0.25">
      <c r="A529">
        <v>29</v>
      </c>
      <c r="B529" t="s">
        <v>161</v>
      </c>
      <c r="C529" s="2">
        <v>44881.28496527778</v>
      </c>
      <c r="D529" t="s">
        <v>81</v>
      </c>
    </row>
    <row r="530" spans="1:4" x14ac:dyDescent="0.25">
      <c r="A530">
        <v>31</v>
      </c>
      <c r="B530" t="s">
        <v>163</v>
      </c>
      <c r="C530" s="2">
        <v>44881.28496527778</v>
      </c>
      <c r="D530" t="s">
        <v>81</v>
      </c>
    </row>
    <row r="531" spans="1:4" x14ac:dyDescent="0.25">
      <c r="A531">
        <v>5</v>
      </c>
      <c r="B531" t="s">
        <v>96</v>
      </c>
      <c r="C531" s="2">
        <v>44881.295370370368</v>
      </c>
      <c r="D531" t="s">
        <v>81</v>
      </c>
    </row>
    <row r="532" spans="1:4" x14ac:dyDescent="0.25">
      <c r="A532">
        <v>7</v>
      </c>
      <c r="B532" t="s">
        <v>59</v>
      </c>
      <c r="C532" s="2">
        <v>44881.295381944445</v>
      </c>
      <c r="D532" t="s">
        <v>81</v>
      </c>
    </row>
    <row r="533" spans="1:4" x14ac:dyDescent="0.25">
      <c r="A533">
        <v>9</v>
      </c>
      <c r="B533" t="s">
        <v>61</v>
      </c>
      <c r="C533" s="2">
        <v>44881.295381944445</v>
      </c>
      <c r="D533" t="s">
        <v>81</v>
      </c>
    </row>
    <row r="534" spans="1:4" x14ac:dyDescent="0.25">
      <c r="A534">
        <v>10</v>
      </c>
      <c r="B534" t="s">
        <v>62</v>
      </c>
      <c r="C534" s="2">
        <v>44881.295381944445</v>
      </c>
      <c r="D534" t="s">
        <v>81</v>
      </c>
    </row>
    <row r="535" spans="1:4" x14ac:dyDescent="0.25">
      <c r="A535">
        <v>11</v>
      </c>
      <c r="B535" t="s">
        <v>63</v>
      </c>
      <c r="C535" s="2">
        <v>44881.295381944445</v>
      </c>
      <c r="D535" t="s">
        <v>81</v>
      </c>
    </row>
    <row r="536" spans="1:4" x14ac:dyDescent="0.25">
      <c r="A536">
        <v>12</v>
      </c>
      <c r="B536" t="s">
        <v>64</v>
      </c>
      <c r="C536" s="2">
        <v>44881.295381944445</v>
      </c>
      <c r="D536" t="s">
        <v>81</v>
      </c>
    </row>
    <row r="537" spans="1:4" x14ac:dyDescent="0.25">
      <c r="A537">
        <v>13</v>
      </c>
      <c r="B537" t="s">
        <v>65</v>
      </c>
      <c r="C537" s="2">
        <v>44881.295381944445</v>
      </c>
      <c r="D537" t="s">
        <v>81</v>
      </c>
    </row>
    <row r="538" spans="1:4" x14ac:dyDescent="0.25">
      <c r="A538">
        <v>14</v>
      </c>
      <c r="B538" t="s">
        <v>66</v>
      </c>
      <c r="C538" s="2">
        <v>44881.295393518521</v>
      </c>
      <c r="D538" t="s">
        <v>81</v>
      </c>
    </row>
    <row r="539" spans="1:4" x14ac:dyDescent="0.25">
      <c r="A539">
        <v>15</v>
      </c>
      <c r="B539" t="s">
        <v>157</v>
      </c>
      <c r="C539" s="2">
        <v>44881.295393518521</v>
      </c>
      <c r="D539" t="s">
        <v>81</v>
      </c>
    </row>
    <row r="540" spans="1:4" x14ac:dyDescent="0.25">
      <c r="A540">
        <v>16</v>
      </c>
      <c r="B540" t="s">
        <v>68</v>
      </c>
      <c r="C540" s="2">
        <v>44881.295393518521</v>
      </c>
      <c r="D540" t="s">
        <v>81</v>
      </c>
    </row>
    <row r="541" spans="1:4" x14ac:dyDescent="0.25">
      <c r="A541">
        <v>33</v>
      </c>
      <c r="B541" t="s">
        <v>165</v>
      </c>
      <c r="C541" s="2">
        <v>44881.295393518521</v>
      </c>
      <c r="D541" t="s">
        <v>81</v>
      </c>
    </row>
    <row r="542" spans="1:4" x14ac:dyDescent="0.25">
      <c r="A542">
        <v>34</v>
      </c>
      <c r="B542" t="s">
        <v>67</v>
      </c>
      <c r="C542" s="2">
        <v>44881.295405092591</v>
      </c>
      <c r="D542" t="s">
        <v>81</v>
      </c>
    </row>
    <row r="543" spans="1:4" x14ac:dyDescent="0.25">
      <c r="A543">
        <v>35</v>
      </c>
      <c r="B543" t="s">
        <v>166</v>
      </c>
      <c r="C543" s="2">
        <v>44881.295405092591</v>
      </c>
      <c r="D543" t="s">
        <v>81</v>
      </c>
    </row>
    <row r="544" spans="1:4" x14ac:dyDescent="0.25">
      <c r="A544">
        <v>3</v>
      </c>
      <c r="B544" t="s">
        <v>39</v>
      </c>
      <c r="C544" s="2">
        <v>44881.305810185186</v>
      </c>
      <c r="D544" t="s">
        <v>81</v>
      </c>
    </row>
    <row r="545" spans="1:4" x14ac:dyDescent="0.25">
      <c r="A545">
        <v>5</v>
      </c>
      <c r="B545" t="s">
        <v>96</v>
      </c>
      <c r="C545" s="2">
        <v>44881.305810185186</v>
      </c>
      <c r="D545" t="s">
        <v>81</v>
      </c>
    </row>
    <row r="546" spans="1:4" x14ac:dyDescent="0.25">
      <c r="A546">
        <v>17</v>
      </c>
      <c r="B546" t="s">
        <v>105</v>
      </c>
      <c r="C546" s="2">
        <v>44881.305810185186</v>
      </c>
      <c r="D546" t="s">
        <v>81</v>
      </c>
    </row>
    <row r="547" spans="1:4" x14ac:dyDescent="0.25">
      <c r="A547">
        <v>18</v>
      </c>
      <c r="B547" t="s">
        <v>106</v>
      </c>
      <c r="C547" s="2">
        <v>44881.305810185186</v>
      </c>
      <c r="D547" t="s">
        <v>81</v>
      </c>
    </row>
    <row r="548" spans="1:4" x14ac:dyDescent="0.25">
      <c r="A548">
        <v>19</v>
      </c>
      <c r="B548" t="s">
        <v>107</v>
      </c>
      <c r="C548" s="2">
        <v>44881.305821759262</v>
      </c>
      <c r="D548" t="s">
        <v>81</v>
      </c>
    </row>
    <row r="549" spans="1:4" x14ac:dyDescent="0.25">
      <c r="A549">
        <v>20</v>
      </c>
      <c r="B549" t="s">
        <v>108</v>
      </c>
      <c r="C549" s="2">
        <v>44881.305821759262</v>
      </c>
      <c r="D549" t="s">
        <v>81</v>
      </c>
    </row>
    <row r="550" spans="1:4" x14ac:dyDescent="0.25">
      <c r="A550">
        <v>21</v>
      </c>
      <c r="B550" t="s">
        <v>109</v>
      </c>
      <c r="C550" s="2">
        <v>44881.305821759262</v>
      </c>
      <c r="D550" t="s">
        <v>81</v>
      </c>
    </row>
    <row r="551" spans="1:4" x14ac:dyDescent="0.25">
      <c r="A551">
        <v>22</v>
      </c>
      <c r="B551" t="s">
        <v>110</v>
      </c>
      <c r="C551" s="2">
        <v>44881.305821759262</v>
      </c>
      <c r="D551" t="s">
        <v>81</v>
      </c>
    </row>
    <row r="552" spans="1:4" x14ac:dyDescent="0.25">
      <c r="A552">
        <v>23</v>
      </c>
      <c r="B552" t="s">
        <v>111</v>
      </c>
      <c r="C552" s="2">
        <v>44881.305821759262</v>
      </c>
      <c r="D552" t="s">
        <v>81</v>
      </c>
    </row>
    <row r="553" spans="1:4" x14ac:dyDescent="0.25">
      <c r="A553">
        <v>5</v>
      </c>
      <c r="B553" t="s">
        <v>96</v>
      </c>
      <c r="C553" s="2">
        <v>44881.316180555557</v>
      </c>
      <c r="D553" t="s">
        <v>81</v>
      </c>
    </row>
    <row r="554" spans="1:4" x14ac:dyDescent="0.25">
      <c r="A554">
        <v>5</v>
      </c>
      <c r="B554" t="s">
        <v>96</v>
      </c>
      <c r="C554" s="2">
        <v>44881.326620370368</v>
      </c>
      <c r="D554" t="s">
        <v>81</v>
      </c>
    </row>
    <row r="555" spans="1:4" x14ac:dyDescent="0.25">
      <c r="A555">
        <v>24</v>
      </c>
      <c r="B555" t="s">
        <v>28</v>
      </c>
      <c r="C555" s="2">
        <v>44881.326620370368</v>
      </c>
      <c r="D555" t="s">
        <v>81</v>
      </c>
    </row>
    <row r="556" spans="1:4" x14ac:dyDescent="0.25">
      <c r="A556">
        <v>25</v>
      </c>
      <c r="B556" t="s">
        <v>41</v>
      </c>
      <c r="C556" s="2">
        <v>44881.326631944445</v>
      </c>
      <c r="D556" t="s">
        <v>81</v>
      </c>
    </row>
    <row r="557" spans="1:4" x14ac:dyDescent="0.25">
      <c r="A557">
        <v>30</v>
      </c>
      <c r="B557" t="s">
        <v>162</v>
      </c>
      <c r="C557" s="2">
        <v>44881.326631944445</v>
      </c>
      <c r="D557" t="s">
        <v>81</v>
      </c>
    </row>
    <row r="558" spans="1:4" x14ac:dyDescent="0.25">
      <c r="A558">
        <v>32</v>
      </c>
      <c r="B558" t="s">
        <v>164</v>
      </c>
      <c r="C558" s="2">
        <v>44881.326631944445</v>
      </c>
      <c r="D558" t="s">
        <v>81</v>
      </c>
    </row>
    <row r="559" spans="1:4" x14ac:dyDescent="0.25">
      <c r="A559">
        <v>5</v>
      </c>
      <c r="B559" t="s">
        <v>96</v>
      </c>
      <c r="C559" s="2">
        <v>44881.337025462963</v>
      </c>
      <c r="D559" t="s">
        <v>81</v>
      </c>
    </row>
    <row r="560" spans="1:4" x14ac:dyDescent="0.25">
      <c r="A560">
        <v>5</v>
      </c>
      <c r="B560" t="s">
        <v>96</v>
      </c>
      <c r="C560" s="2">
        <v>44881.347442129627</v>
      </c>
      <c r="D560" t="s">
        <v>81</v>
      </c>
    </row>
    <row r="561" spans="1:4" x14ac:dyDescent="0.25">
      <c r="A561">
        <v>5</v>
      </c>
      <c r="B561" t="s">
        <v>96</v>
      </c>
      <c r="C561" s="2">
        <v>44881.357858796298</v>
      </c>
      <c r="D561" t="s">
        <v>81</v>
      </c>
    </row>
    <row r="562" spans="1:4" x14ac:dyDescent="0.25">
      <c r="A562">
        <v>5</v>
      </c>
      <c r="B562" t="s">
        <v>96</v>
      </c>
      <c r="C562" s="2">
        <v>44881.368287037039</v>
      </c>
      <c r="D562" t="s">
        <v>81</v>
      </c>
    </row>
    <row r="563" spans="1:4" x14ac:dyDescent="0.25">
      <c r="A563">
        <v>5</v>
      </c>
      <c r="B563" t="s">
        <v>96</v>
      </c>
      <c r="C563" s="2">
        <v>44881.378692129627</v>
      </c>
      <c r="D563" t="s">
        <v>81</v>
      </c>
    </row>
    <row r="564" spans="1:4" x14ac:dyDescent="0.25">
      <c r="A564">
        <v>5</v>
      </c>
      <c r="B564" t="s">
        <v>96</v>
      </c>
      <c r="C564" s="2">
        <v>44881.389108796298</v>
      </c>
      <c r="D564" t="s">
        <v>81</v>
      </c>
    </row>
    <row r="565" spans="1:4" x14ac:dyDescent="0.25">
      <c r="A565">
        <v>5</v>
      </c>
      <c r="B565" t="s">
        <v>96</v>
      </c>
      <c r="C565" s="2">
        <v>44881.399548611109</v>
      </c>
      <c r="D565" t="s">
        <v>81</v>
      </c>
    </row>
    <row r="566" spans="1:4" x14ac:dyDescent="0.25">
      <c r="A566">
        <v>5</v>
      </c>
      <c r="B566" t="s">
        <v>96</v>
      </c>
      <c r="C566" s="2">
        <v>44881.410034722219</v>
      </c>
      <c r="D566" t="s">
        <v>81</v>
      </c>
    </row>
    <row r="567" spans="1:4" x14ac:dyDescent="0.25">
      <c r="A567">
        <v>5</v>
      </c>
      <c r="B567" t="s">
        <v>96</v>
      </c>
      <c r="C567" s="2">
        <v>44881.420358796298</v>
      </c>
      <c r="D567" t="s">
        <v>81</v>
      </c>
    </row>
    <row r="568" spans="1:4" x14ac:dyDescent="0.25">
      <c r="A568">
        <v>5</v>
      </c>
      <c r="B568" t="s">
        <v>96</v>
      </c>
      <c r="C568" s="2">
        <v>44881.430879629632</v>
      </c>
      <c r="D568" t="s">
        <v>81</v>
      </c>
    </row>
    <row r="569" spans="1:4" x14ac:dyDescent="0.25">
      <c r="A569">
        <v>5</v>
      </c>
      <c r="B569" t="s">
        <v>96</v>
      </c>
      <c r="C569" s="2">
        <v>44881.441296296296</v>
      </c>
      <c r="D569" t="s">
        <v>81</v>
      </c>
    </row>
    <row r="570" spans="1:4" x14ac:dyDescent="0.25">
      <c r="A570">
        <v>5</v>
      </c>
      <c r="B570" t="s">
        <v>96</v>
      </c>
      <c r="C570" s="2">
        <v>44881.451620370368</v>
      </c>
      <c r="D570" t="s">
        <v>81</v>
      </c>
    </row>
    <row r="571" spans="1:4" x14ac:dyDescent="0.25">
      <c r="A571">
        <v>5</v>
      </c>
      <c r="B571" t="s">
        <v>96</v>
      </c>
      <c r="C571" s="2">
        <v>44882.398912037039</v>
      </c>
      <c r="D571" t="s">
        <v>81</v>
      </c>
    </row>
    <row r="572" spans="1:4" x14ac:dyDescent="0.25">
      <c r="A572">
        <v>7</v>
      </c>
      <c r="B572" t="s">
        <v>59</v>
      </c>
      <c r="C572" s="2">
        <v>44882.399375000001</v>
      </c>
      <c r="D572" t="s">
        <v>81</v>
      </c>
    </row>
    <row r="573" spans="1:4" x14ac:dyDescent="0.25">
      <c r="A573">
        <v>9</v>
      </c>
      <c r="B573" t="s">
        <v>61</v>
      </c>
      <c r="C573" s="2">
        <v>44882.39947916667</v>
      </c>
      <c r="D573" t="s">
        <v>81</v>
      </c>
    </row>
    <row r="574" spans="1:4" x14ac:dyDescent="0.25">
      <c r="A574">
        <v>10</v>
      </c>
      <c r="B574" t="s">
        <v>62</v>
      </c>
      <c r="C574" s="2">
        <v>44882.399502314816</v>
      </c>
      <c r="D574" t="s">
        <v>81</v>
      </c>
    </row>
    <row r="575" spans="1:4" x14ac:dyDescent="0.25">
      <c r="A575">
        <v>11</v>
      </c>
      <c r="B575" t="s">
        <v>63</v>
      </c>
      <c r="C575" s="2">
        <v>44882.399560185186</v>
      </c>
      <c r="D575" t="s">
        <v>81</v>
      </c>
    </row>
    <row r="576" spans="1:4" x14ac:dyDescent="0.25">
      <c r="A576">
        <v>12</v>
      </c>
      <c r="B576" t="s">
        <v>64</v>
      </c>
      <c r="C576" s="2">
        <v>44882.401018518518</v>
      </c>
      <c r="D576" t="s">
        <v>81</v>
      </c>
    </row>
    <row r="577" spans="1:4" x14ac:dyDescent="0.25">
      <c r="A577">
        <v>13</v>
      </c>
      <c r="B577" t="s">
        <v>65</v>
      </c>
      <c r="C577" s="2">
        <v>44882.401030092595</v>
      </c>
      <c r="D577" t="s">
        <v>81</v>
      </c>
    </row>
    <row r="578" spans="1:4" x14ac:dyDescent="0.25">
      <c r="A578">
        <v>14</v>
      </c>
      <c r="B578" t="s">
        <v>66</v>
      </c>
      <c r="C578" s="2">
        <v>44882.401041666664</v>
      </c>
      <c r="D578" t="s">
        <v>81</v>
      </c>
    </row>
    <row r="579" spans="1:4" x14ac:dyDescent="0.25">
      <c r="A579">
        <v>15</v>
      </c>
      <c r="B579" t="s">
        <v>157</v>
      </c>
      <c r="C579" s="2">
        <v>44882.401053240741</v>
      </c>
      <c r="D579" t="s">
        <v>81</v>
      </c>
    </row>
    <row r="580" spans="1:4" x14ac:dyDescent="0.25">
      <c r="A580">
        <v>16</v>
      </c>
      <c r="B580" t="s">
        <v>68</v>
      </c>
      <c r="C580" s="2">
        <v>44882.401087962964</v>
      </c>
      <c r="D580" t="s">
        <v>81</v>
      </c>
    </row>
    <row r="581" spans="1:4" x14ac:dyDescent="0.25">
      <c r="A581">
        <v>17</v>
      </c>
      <c r="B581" t="s">
        <v>105</v>
      </c>
      <c r="C581" s="2">
        <v>44882.40111111111</v>
      </c>
      <c r="D581" t="s">
        <v>81</v>
      </c>
    </row>
    <row r="582" spans="1:4" x14ac:dyDescent="0.25">
      <c r="A582">
        <v>18</v>
      </c>
      <c r="B582" t="s">
        <v>106</v>
      </c>
      <c r="C582" s="2">
        <v>44882.401122685187</v>
      </c>
      <c r="D582" t="s">
        <v>81</v>
      </c>
    </row>
    <row r="583" spans="1:4" x14ac:dyDescent="0.25">
      <c r="A583">
        <v>19</v>
      </c>
      <c r="B583" t="s">
        <v>107</v>
      </c>
      <c r="C583" s="2">
        <v>44882.401134259257</v>
      </c>
      <c r="D583" t="s">
        <v>81</v>
      </c>
    </row>
    <row r="584" spans="1:4" x14ac:dyDescent="0.25">
      <c r="A584">
        <v>20</v>
      </c>
      <c r="B584" t="s">
        <v>108</v>
      </c>
      <c r="C584" s="2">
        <v>44882.401296296295</v>
      </c>
      <c r="D584" t="s">
        <v>81</v>
      </c>
    </row>
    <row r="585" spans="1:4" x14ac:dyDescent="0.25">
      <c r="A585">
        <v>21</v>
      </c>
      <c r="B585" t="s">
        <v>109</v>
      </c>
      <c r="C585" s="2">
        <v>44882.401307870372</v>
      </c>
      <c r="D585" t="s">
        <v>81</v>
      </c>
    </row>
    <row r="586" spans="1:4" x14ac:dyDescent="0.25">
      <c r="A586">
        <v>22</v>
      </c>
      <c r="B586" t="s">
        <v>110</v>
      </c>
      <c r="C586" s="2">
        <v>44882.401331018518</v>
      </c>
      <c r="D586" t="s">
        <v>81</v>
      </c>
    </row>
    <row r="587" spans="1:4" x14ac:dyDescent="0.25">
      <c r="A587">
        <v>23</v>
      </c>
      <c r="B587" t="s">
        <v>111</v>
      </c>
      <c r="C587" s="2">
        <v>44882.401342592595</v>
      </c>
      <c r="D587" t="s">
        <v>81</v>
      </c>
    </row>
    <row r="588" spans="1:4" x14ac:dyDescent="0.25">
      <c r="A588">
        <v>24</v>
      </c>
      <c r="B588" t="s">
        <v>28</v>
      </c>
      <c r="C588" s="2">
        <v>44882.40148148148</v>
      </c>
      <c r="D588" t="s">
        <v>81</v>
      </c>
    </row>
    <row r="589" spans="1:4" x14ac:dyDescent="0.25">
      <c r="A589">
        <v>25</v>
      </c>
      <c r="B589" t="s">
        <v>41</v>
      </c>
      <c r="C589" s="2">
        <v>44882.401493055557</v>
      </c>
      <c r="D589" t="s">
        <v>81</v>
      </c>
    </row>
    <row r="590" spans="1:4" x14ac:dyDescent="0.25">
      <c r="A590">
        <v>26</v>
      </c>
      <c r="B590" t="s">
        <v>159</v>
      </c>
      <c r="C590" s="2">
        <v>44882.401504629626</v>
      </c>
      <c r="D590" t="s">
        <v>81</v>
      </c>
    </row>
    <row r="591" spans="1:4" x14ac:dyDescent="0.25">
      <c r="A591">
        <v>27</v>
      </c>
      <c r="B591" t="s">
        <v>60</v>
      </c>
      <c r="C591" s="2">
        <v>44882.401516203703</v>
      </c>
      <c r="D591" t="s">
        <v>81</v>
      </c>
    </row>
    <row r="592" spans="1:4" x14ac:dyDescent="0.25">
      <c r="A592">
        <v>28</v>
      </c>
      <c r="B592" t="s">
        <v>160</v>
      </c>
      <c r="C592" s="2">
        <v>44882.40152777778</v>
      </c>
      <c r="D592" t="s">
        <v>81</v>
      </c>
    </row>
    <row r="593" spans="1:4" x14ac:dyDescent="0.25">
      <c r="A593">
        <v>29</v>
      </c>
      <c r="B593" t="s">
        <v>161</v>
      </c>
      <c r="C593" s="2">
        <v>44882.401539351849</v>
      </c>
      <c r="D593" t="s">
        <v>81</v>
      </c>
    </row>
    <row r="594" spans="1:4" x14ac:dyDescent="0.25">
      <c r="A594">
        <v>30</v>
      </c>
      <c r="B594" t="s">
        <v>162</v>
      </c>
      <c r="C594" s="2">
        <v>44882.401550925926</v>
      </c>
      <c r="D594" t="s">
        <v>81</v>
      </c>
    </row>
    <row r="595" spans="1:4" x14ac:dyDescent="0.25">
      <c r="A595">
        <v>31</v>
      </c>
      <c r="B595" t="s">
        <v>163</v>
      </c>
      <c r="C595" s="2">
        <v>44882.401550925926</v>
      </c>
      <c r="D595" t="s">
        <v>81</v>
      </c>
    </row>
    <row r="596" spans="1:4" x14ac:dyDescent="0.25">
      <c r="A596">
        <v>32</v>
      </c>
      <c r="B596" t="s">
        <v>164</v>
      </c>
      <c r="C596" s="2">
        <v>44882.401562500003</v>
      </c>
      <c r="D596" t="s">
        <v>81</v>
      </c>
    </row>
    <row r="597" spans="1:4" x14ac:dyDescent="0.25">
      <c r="A597">
        <v>33</v>
      </c>
      <c r="B597" t="s">
        <v>165</v>
      </c>
      <c r="C597" s="2">
        <v>44882.401574074072</v>
      </c>
      <c r="D597" t="s">
        <v>81</v>
      </c>
    </row>
    <row r="598" spans="1:4" x14ac:dyDescent="0.25">
      <c r="A598">
        <v>34</v>
      </c>
      <c r="B598" t="s">
        <v>67</v>
      </c>
      <c r="C598" s="2">
        <v>44882.401574074072</v>
      </c>
      <c r="D598" t="s">
        <v>81</v>
      </c>
    </row>
    <row r="599" spans="1:4" x14ac:dyDescent="0.25">
      <c r="A599">
        <v>35</v>
      </c>
      <c r="B599" t="s">
        <v>166</v>
      </c>
      <c r="C599" s="2">
        <v>44882.401585648149</v>
      </c>
      <c r="D599" t="s">
        <v>81</v>
      </c>
    </row>
    <row r="600" spans="1:4" x14ac:dyDescent="0.25">
      <c r="A600">
        <v>5</v>
      </c>
      <c r="B600" t="s">
        <v>167</v>
      </c>
      <c r="C600" s="2">
        <v>44882.406006944446</v>
      </c>
      <c r="D600" t="s">
        <v>81</v>
      </c>
    </row>
    <row r="601" spans="1:4" x14ac:dyDescent="0.25">
      <c r="A601">
        <v>5</v>
      </c>
      <c r="B601" t="s">
        <v>167</v>
      </c>
      <c r="C601" s="2">
        <v>44882.409942129627</v>
      </c>
      <c r="D601" t="s">
        <v>81</v>
      </c>
    </row>
    <row r="602" spans="1:4" x14ac:dyDescent="0.25">
      <c r="A602">
        <v>5</v>
      </c>
      <c r="B602" t="s">
        <v>167</v>
      </c>
      <c r="C602" s="2">
        <v>44882.420370370368</v>
      </c>
      <c r="D602" t="s">
        <v>81</v>
      </c>
    </row>
    <row r="603" spans="1:4" x14ac:dyDescent="0.25">
      <c r="A603">
        <v>5</v>
      </c>
      <c r="B603" t="s">
        <v>167</v>
      </c>
      <c r="C603" s="2">
        <v>44882.430787037039</v>
      </c>
      <c r="D603" t="s">
        <v>81</v>
      </c>
    </row>
    <row r="604" spans="1:4" x14ac:dyDescent="0.25">
      <c r="A604">
        <v>5</v>
      </c>
      <c r="B604" t="s">
        <v>167</v>
      </c>
      <c r="C604" s="2">
        <v>44882.441203703704</v>
      </c>
      <c r="D604" t="s">
        <v>81</v>
      </c>
    </row>
    <row r="605" spans="1:4" x14ac:dyDescent="0.25">
      <c r="A605">
        <v>5</v>
      </c>
      <c r="B605" t="s">
        <v>167</v>
      </c>
      <c r="C605" s="2">
        <v>44882.451631944445</v>
      </c>
      <c r="D605" t="s">
        <v>81</v>
      </c>
    </row>
    <row r="606" spans="1:4" x14ac:dyDescent="0.25">
      <c r="A606">
        <v>5</v>
      </c>
      <c r="B606" t="s">
        <v>96</v>
      </c>
      <c r="C606" s="2">
        <v>44883.284953703704</v>
      </c>
      <c r="D606" t="s">
        <v>81</v>
      </c>
    </row>
    <row r="607" spans="1:4" x14ac:dyDescent="0.25">
      <c r="A607">
        <v>24</v>
      </c>
      <c r="B607" t="s">
        <v>28</v>
      </c>
      <c r="C607" s="2">
        <v>44883.284953703704</v>
      </c>
      <c r="D607" t="s">
        <v>81</v>
      </c>
    </row>
    <row r="608" spans="1:4" x14ac:dyDescent="0.25">
      <c r="A608">
        <v>26</v>
      </c>
      <c r="B608" t="s">
        <v>159</v>
      </c>
      <c r="C608" s="2">
        <v>44883.28496527778</v>
      </c>
      <c r="D608" t="s">
        <v>81</v>
      </c>
    </row>
    <row r="609" spans="1:4" x14ac:dyDescent="0.25">
      <c r="A609">
        <v>27</v>
      </c>
      <c r="B609" t="s">
        <v>60</v>
      </c>
      <c r="C609" s="2">
        <v>44883.28496527778</v>
      </c>
      <c r="D609" t="s">
        <v>81</v>
      </c>
    </row>
    <row r="610" spans="1:4" x14ac:dyDescent="0.25">
      <c r="A610">
        <v>28</v>
      </c>
      <c r="B610" t="s">
        <v>160</v>
      </c>
      <c r="C610" s="2">
        <v>44883.28496527778</v>
      </c>
      <c r="D610" t="s">
        <v>81</v>
      </c>
    </row>
    <row r="611" spans="1:4" x14ac:dyDescent="0.25">
      <c r="A611">
        <v>29</v>
      </c>
      <c r="B611" t="s">
        <v>161</v>
      </c>
      <c r="C611" s="2">
        <v>44883.28496527778</v>
      </c>
      <c r="D611" t="s">
        <v>81</v>
      </c>
    </row>
    <row r="612" spans="1:4" x14ac:dyDescent="0.25">
      <c r="A612">
        <v>30</v>
      </c>
      <c r="B612" t="s">
        <v>162</v>
      </c>
      <c r="C612" s="2">
        <v>44883.28496527778</v>
      </c>
      <c r="D612" t="s">
        <v>81</v>
      </c>
    </row>
    <row r="613" spans="1:4" x14ac:dyDescent="0.25">
      <c r="A613">
        <v>31</v>
      </c>
      <c r="B613" t="s">
        <v>163</v>
      </c>
      <c r="C613" s="2">
        <v>44883.28496527778</v>
      </c>
      <c r="D613" t="s">
        <v>81</v>
      </c>
    </row>
    <row r="614" spans="1:4" x14ac:dyDescent="0.25">
      <c r="A614">
        <v>5</v>
      </c>
      <c r="B614" t="s">
        <v>96</v>
      </c>
      <c r="C614" s="2">
        <v>44883.295370370368</v>
      </c>
      <c r="D614" t="s">
        <v>81</v>
      </c>
    </row>
    <row r="615" spans="1:4" x14ac:dyDescent="0.25">
      <c r="A615">
        <v>7</v>
      </c>
      <c r="B615" t="s">
        <v>59</v>
      </c>
      <c r="C615" s="2">
        <v>44883.295370370368</v>
      </c>
      <c r="D615" t="s">
        <v>81</v>
      </c>
    </row>
    <row r="616" spans="1:4" x14ac:dyDescent="0.25">
      <c r="A616">
        <v>9</v>
      </c>
      <c r="B616" t="s">
        <v>61</v>
      </c>
      <c r="C616" s="2">
        <v>44883.295370370368</v>
      </c>
      <c r="D616" t="s">
        <v>81</v>
      </c>
    </row>
    <row r="617" spans="1:4" x14ac:dyDescent="0.25">
      <c r="A617">
        <v>10</v>
      </c>
      <c r="B617" t="s">
        <v>62</v>
      </c>
      <c r="C617" s="2">
        <v>44883.295370370368</v>
      </c>
      <c r="D617" t="s">
        <v>81</v>
      </c>
    </row>
    <row r="618" spans="1:4" x14ac:dyDescent="0.25">
      <c r="A618">
        <v>11</v>
      </c>
      <c r="B618" t="s">
        <v>63</v>
      </c>
      <c r="C618" s="2">
        <v>44883.295370370368</v>
      </c>
      <c r="D618" t="s">
        <v>81</v>
      </c>
    </row>
    <row r="619" spans="1:4" x14ac:dyDescent="0.25">
      <c r="A619">
        <v>12</v>
      </c>
      <c r="B619" t="s">
        <v>64</v>
      </c>
      <c r="C619" s="2">
        <v>44883.295381944445</v>
      </c>
      <c r="D619" t="s">
        <v>81</v>
      </c>
    </row>
    <row r="620" spans="1:4" x14ac:dyDescent="0.25">
      <c r="A620">
        <v>13</v>
      </c>
      <c r="B620" t="s">
        <v>65</v>
      </c>
      <c r="C620" s="2">
        <v>44883.295381944445</v>
      </c>
      <c r="D620" t="s">
        <v>81</v>
      </c>
    </row>
    <row r="621" spans="1:4" x14ac:dyDescent="0.25">
      <c r="A621">
        <v>14</v>
      </c>
      <c r="B621" t="s">
        <v>66</v>
      </c>
      <c r="C621" s="2">
        <v>44883.295381944445</v>
      </c>
      <c r="D621" t="s">
        <v>81</v>
      </c>
    </row>
    <row r="622" spans="1:4" x14ac:dyDescent="0.25">
      <c r="A622">
        <v>15</v>
      </c>
      <c r="B622" t="s">
        <v>157</v>
      </c>
      <c r="C622" s="2">
        <v>44883.295381944445</v>
      </c>
      <c r="D622" t="s">
        <v>81</v>
      </c>
    </row>
    <row r="623" spans="1:4" x14ac:dyDescent="0.25">
      <c r="A623">
        <v>16</v>
      </c>
      <c r="B623" t="s">
        <v>68</v>
      </c>
      <c r="C623" s="2">
        <v>44883.295381944445</v>
      </c>
      <c r="D623" t="s">
        <v>81</v>
      </c>
    </row>
    <row r="624" spans="1:4" x14ac:dyDescent="0.25">
      <c r="A624">
        <v>32</v>
      </c>
      <c r="B624" t="s">
        <v>164</v>
      </c>
      <c r="C624" s="2">
        <v>44883.295393518521</v>
      </c>
      <c r="D624" t="s">
        <v>81</v>
      </c>
    </row>
    <row r="625" spans="1:4" x14ac:dyDescent="0.25">
      <c r="A625">
        <v>33</v>
      </c>
      <c r="B625" t="s">
        <v>165</v>
      </c>
      <c r="C625" s="2">
        <v>44883.295393518521</v>
      </c>
      <c r="D625" t="s">
        <v>81</v>
      </c>
    </row>
    <row r="626" spans="1:4" x14ac:dyDescent="0.25">
      <c r="A626">
        <v>5</v>
      </c>
      <c r="B626" t="s">
        <v>96</v>
      </c>
      <c r="C626" s="2">
        <v>44883.305775462963</v>
      </c>
      <c r="D626" t="s">
        <v>81</v>
      </c>
    </row>
    <row r="627" spans="1:4" x14ac:dyDescent="0.25">
      <c r="A627">
        <v>5</v>
      </c>
      <c r="B627" t="s">
        <v>96</v>
      </c>
      <c r="C627" s="2">
        <v>44883.316192129627</v>
      </c>
      <c r="D627" t="s">
        <v>81</v>
      </c>
    </row>
    <row r="628" spans="1:4" x14ac:dyDescent="0.25">
      <c r="A628">
        <v>25</v>
      </c>
      <c r="B628" t="s">
        <v>41</v>
      </c>
      <c r="C628" s="2">
        <v>44883.316203703704</v>
      </c>
      <c r="D628" t="s">
        <v>81</v>
      </c>
    </row>
    <row r="629" spans="1:4" x14ac:dyDescent="0.25">
      <c r="A629">
        <v>34</v>
      </c>
      <c r="B629" t="s">
        <v>67</v>
      </c>
      <c r="C629" s="2">
        <v>44883.316203703704</v>
      </c>
      <c r="D629" t="s">
        <v>81</v>
      </c>
    </row>
    <row r="630" spans="1:4" x14ac:dyDescent="0.25">
      <c r="A630">
        <v>35</v>
      </c>
      <c r="B630" t="s">
        <v>166</v>
      </c>
      <c r="C630" s="2">
        <v>44883.316203703704</v>
      </c>
      <c r="D630" t="s">
        <v>81</v>
      </c>
    </row>
    <row r="631" spans="1:4" x14ac:dyDescent="0.25">
      <c r="A631">
        <v>5</v>
      </c>
      <c r="B631" t="s">
        <v>96</v>
      </c>
      <c r="C631" s="2">
        <v>44883.326608796298</v>
      </c>
      <c r="D631" t="s">
        <v>81</v>
      </c>
    </row>
    <row r="632" spans="1:4" x14ac:dyDescent="0.25">
      <c r="A632">
        <v>5</v>
      </c>
      <c r="B632" t="s">
        <v>96</v>
      </c>
      <c r="C632" s="2">
        <v>44883.337013888886</v>
      </c>
      <c r="D632" t="s">
        <v>81</v>
      </c>
    </row>
    <row r="633" spans="1:4" x14ac:dyDescent="0.25">
      <c r="A633">
        <v>5</v>
      </c>
      <c r="B633" t="s">
        <v>96</v>
      </c>
      <c r="C633" s="2">
        <v>44883.347453703704</v>
      </c>
      <c r="D633" t="s">
        <v>81</v>
      </c>
    </row>
    <row r="634" spans="1:4" x14ac:dyDescent="0.25">
      <c r="A634">
        <v>5</v>
      </c>
      <c r="B634" t="s">
        <v>96</v>
      </c>
      <c r="C634" s="2">
        <v>44883.357858796298</v>
      </c>
      <c r="D634" t="s">
        <v>81</v>
      </c>
    </row>
    <row r="635" spans="1:4" x14ac:dyDescent="0.25">
      <c r="A635">
        <v>1</v>
      </c>
      <c r="B635" t="s">
        <v>6</v>
      </c>
      <c r="C635" s="2">
        <v>44883.368310185186</v>
      </c>
      <c r="D635" t="s">
        <v>81</v>
      </c>
    </row>
    <row r="636" spans="1:4" x14ac:dyDescent="0.25">
      <c r="A636">
        <v>5</v>
      </c>
      <c r="B636" t="s">
        <v>167</v>
      </c>
      <c r="C636" s="2">
        <v>44883.368310185186</v>
      </c>
      <c r="D636" t="s">
        <v>81</v>
      </c>
    </row>
    <row r="637" spans="1:4" x14ac:dyDescent="0.25">
      <c r="A637">
        <v>5</v>
      </c>
      <c r="B637" t="s">
        <v>167</v>
      </c>
      <c r="C637" s="2">
        <v>44883.378692129627</v>
      </c>
      <c r="D637" t="s">
        <v>81</v>
      </c>
    </row>
    <row r="638" spans="1:4" x14ac:dyDescent="0.25">
      <c r="A638">
        <v>5</v>
      </c>
      <c r="B638" t="s">
        <v>167</v>
      </c>
      <c r="C638" s="2">
        <v>44883.389097222222</v>
      </c>
      <c r="D638" t="s">
        <v>81</v>
      </c>
    </row>
    <row r="639" spans="1:4" x14ac:dyDescent="0.25">
      <c r="A639">
        <v>5</v>
      </c>
      <c r="B639" t="s">
        <v>167</v>
      </c>
      <c r="C639" s="2">
        <v>44883.399618055555</v>
      </c>
      <c r="D639" t="s">
        <v>81</v>
      </c>
    </row>
    <row r="640" spans="1:4" x14ac:dyDescent="0.25">
      <c r="A640">
        <v>5</v>
      </c>
      <c r="B640" t="s">
        <v>167</v>
      </c>
      <c r="C640" s="2">
        <v>44883.409942129627</v>
      </c>
      <c r="D640" t="s">
        <v>81</v>
      </c>
    </row>
    <row r="641" spans="1:4" x14ac:dyDescent="0.25">
      <c r="A641">
        <v>5</v>
      </c>
      <c r="B641" t="s">
        <v>167</v>
      </c>
      <c r="C641" s="2">
        <v>44883.420358796298</v>
      </c>
      <c r="D641" t="s">
        <v>81</v>
      </c>
    </row>
    <row r="642" spans="1:4" x14ac:dyDescent="0.25">
      <c r="A642">
        <v>5</v>
      </c>
      <c r="B642" t="s">
        <v>167</v>
      </c>
      <c r="C642" s="2">
        <v>44883.430763888886</v>
      </c>
      <c r="D642" t="s">
        <v>81</v>
      </c>
    </row>
    <row r="643" spans="1:4" x14ac:dyDescent="0.25">
      <c r="A643">
        <v>5</v>
      </c>
      <c r="B643" t="s">
        <v>167</v>
      </c>
      <c r="C643" s="2">
        <v>44883.441192129627</v>
      </c>
      <c r="D643" t="s">
        <v>81</v>
      </c>
    </row>
    <row r="644" spans="1:4" x14ac:dyDescent="0.25">
      <c r="A644">
        <v>5</v>
      </c>
      <c r="B644" t="s">
        <v>167</v>
      </c>
      <c r="C644" s="2">
        <v>44883.451608796298</v>
      </c>
      <c r="D644" t="s">
        <v>81</v>
      </c>
    </row>
    <row r="645" spans="1:4" x14ac:dyDescent="0.25">
      <c r="A645">
        <v>5</v>
      </c>
      <c r="B645" t="s">
        <v>96</v>
      </c>
      <c r="C645" s="2">
        <v>44884.015740740739</v>
      </c>
      <c r="D645" t="s">
        <v>81</v>
      </c>
    </row>
    <row r="646" spans="1:4" x14ac:dyDescent="0.25">
      <c r="A646">
        <v>5</v>
      </c>
      <c r="B646" t="s">
        <v>96</v>
      </c>
      <c r="C646" s="2">
        <v>44884.284953703704</v>
      </c>
      <c r="D646" t="s">
        <v>81</v>
      </c>
    </row>
    <row r="647" spans="1:4" x14ac:dyDescent="0.25">
      <c r="A647">
        <v>25</v>
      </c>
      <c r="B647" t="s">
        <v>41</v>
      </c>
      <c r="C647" s="2">
        <v>44884.28496527778</v>
      </c>
      <c r="D647" t="s">
        <v>81</v>
      </c>
    </row>
    <row r="648" spans="1:4" x14ac:dyDescent="0.25">
      <c r="A648">
        <v>26</v>
      </c>
      <c r="B648" t="s">
        <v>159</v>
      </c>
      <c r="C648" s="2">
        <v>44884.28496527778</v>
      </c>
      <c r="D648" t="s">
        <v>81</v>
      </c>
    </row>
    <row r="649" spans="1:4" x14ac:dyDescent="0.25">
      <c r="A649">
        <v>27</v>
      </c>
      <c r="B649" t="s">
        <v>60</v>
      </c>
      <c r="C649" s="2">
        <v>44884.28496527778</v>
      </c>
      <c r="D649" t="s">
        <v>81</v>
      </c>
    </row>
    <row r="650" spans="1:4" x14ac:dyDescent="0.25">
      <c r="A650">
        <v>28</v>
      </c>
      <c r="B650" t="s">
        <v>160</v>
      </c>
      <c r="C650" s="2">
        <v>44884.28497685185</v>
      </c>
      <c r="D650" t="s">
        <v>81</v>
      </c>
    </row>
    <row r="651" spans="1:4" x14ac:dyDescent="0.25">
      <c r="A651">
        <v>29</v>
      </c>
      <c r="B651" t="s">
        <v>161</v>
      </c>
      <c r="C651" s="2">
        <v>44884.28497685185</v>
      </c>
      <c r="D651" t="s">
        <v>81</v>
      </c>
    </row>
    <row r="652" spans="1:4" x14ac:dyDescent="0.25">
      <c r="A652">
        <v>5</v>
      </c>
      <c r="B652" t="s">
        <v>96</v>
      </c>
      <c r="C652" s="2">
        <v>44884.295358796298</v>
      </c>
      <c r="D652" t="s">
        <v>81</v>
      </c>
    </row>
    <row r="653" spans="1:4" x14ac:dyDescent="0.25">
      <c r="A653">
        <v>7</v>
      </c>
      <c r="B653" t="s">
        <v>59</v>
      </c>
      <c r="C653" s="2">
        <v>44884.295358796298</v>
      </c>
      <c r="D653" t="s">
        <v>81</v>
      </c>
    </row>
    <row r="654" spans="1:4" x14ac:dyDescent="0.25">
      <c r="A654">
        <v>9</v>
      </c>
      <c r="B654" t="s">
        <v>61</v>
      </c>
      <c r="C654" s="2">
        <v>44884.295358796298</v>
      </c>
      <c r="D654" t="s">
        <v>81</v>
      </c>
    </row>
    <row r="655" spans="1:4" x14ac:dyDescent="0.25">
      <c r="A655">
        <v>10</v>
      </c>
      <c r="B655" t="s">
        <v>62</v>
      </c>
      <c r="C655" s="2">
        <v>44884.295370370368</v>
      </c>
      <c r="D655" t="s">
        <v>81</v>
      </c>
    </row>
    <row r="656" spans="1:4" x14ac:dyDescent="0.25">
      <c r="A656">
        <v>11</v>
      </c>
      <c r="B656" t="s">
        <v>63</v>
      </c>
      <c r="C656" s="2">
        <v>44884.295370370368</v>
      </c>
      <c r="D656" t="s">
        <v>81</v>
      </c>
    </row>
    <row r="657" spans="1:4" x14ac:dyDescent="0.25">
      <c r="A657">
        <v>12</v>
      </c>
      <c r="B657" t="s">
        <v>64</v>
      </c>
      <c r="C657" s="2">
        <v>44884.295370370368</v>
      </c>
      <c r="D657" t="s">
        <v>81</v>
      </c>
    </row>
    <row r="658" spans="1:4" x14ac:dyDescent="0.25">
      <c r="A658">
        <v>13</v>
      </c>
      <c r="B658" t="s">
        <v>65</v>
      </c>
      <c r="C658" s="2">
        <v>44884.295370370368</v>
      </c>
      <c r="D658" t="s">
        <v>81</v>
      </c>
    </row>
    <row r="659" spans="1:4" x14ac:dyDescent="0.25">
      <c r="A659">
        <v>14</v>
      </c>
      <c r="B659" t="s">
        <v>66</v>
      </c>
      <c r="C659" s="2">
        <v>44884.295370370368</v>
      </c>
      <c r="D659" t="s">
        <v>81</v>
      </c>
    </row>
    <row r="660" spans="1:4" x14ac:dyDescent="0.25">
      <c r="A660">
        <v>15</v>
      </c>
      <c r="B660" t="s">
        <v>157</v>
      </c>
      <c r="C660" s="2">
        <v>44884.295370370368</v>
      </c>
      <c r="D660" t="s">
        <v>81</v>
      </c>
    </row>
    <row r="661" spans="1:4" x14ac:dyDescent="0.25">
      <c r="A661">
        <v>16</v>
      </c>
      <c r="B661" t="s">
        <v>68</v>
      </c>
      <c r="C661" s="2">
        <v>44884.295381944445</v>
      </c>
      <c r="D661" t="s">
        <v>81</v>
      </c>
    </row>
    <row r="662" spans="1:4" x14ac:dyDescent="0.25">
      <c r="A662">
        <v>33</v>
      </c>
      <c r="B662" t="s">
        <v>165</v>
      </c>
      <c r="C662" s="2">
        <v>44884.295381944445</v>
      </c>
      <c r="D662" t="s">
        <v>81</v>
      </c>
    </row>
    <row r="663" spans="1:4" x14ac:dyDescent="0.25">
      <c r="A663">
        <v>34</v>
      </c>
      <c r="B663" t="s">
        <v>67</v>
      </c>
      <c r="C663" s="2">
        <v>44884.295381944445</v>
      </c>
      <c r="D663" t="s">
        <v>81</v>
      </c>
    </row>
    <row r="664" spans="1:4" x14ac:dyDescent="0.25">
      <c r="A664">
        <v>35</v>
      </c>
      <c r="B664" t="s">
        <v>166</v>
      </c>
      <c r="C664" s="2">
        <v>44884.295381944445</v>
      </c>
      <c r="D664" t="s">
        <v>81</v>
      </c>
    </row>
    <row r="665" spans="1:4" x14ac:dyDescent="0.25">
      <c r="A665">
        <v>5</v>
      </c>
      <c r="B665" t="s">
        <v>96</v>
      </c>
      <c r="C665" s="2">
        <v>44884.305775462963</v>
      </c>
      <c r="D665" t="s">
        <v>81</v>
      </c>
    </row>
    <row r="666" spans="1:4" x14ac:dyDescent="0.25">
      <c r="A666">
        <v>5</v>
      </c>
      <c r="B666" t="s">
        <v>96</v>
      </c>
      <c r="C666" s="2">
        <v>44884.316192129627</v>
      </c>
      <c r="D666" t="s">
        <v>81</v>
      </c>
    </row>
    <row r="667" spans="1:4" x14ac:dyDescent="0.25">
      <c r="A667">
        <v>24</v>
      </c>
      <c r="B667" t="s">
        <v>28</v>
      </c>
      <c r="C667" s="2">
        <v>44884.316203703704</v>
      </c>
      <c r="D667" t="s">
        <v>81</v>
      </c>
    </row>
    <row r="668" spans="1:4" x14ac:dyDescent="0.25">
      <c r="A668">
        <v>30</v>
      </c>
      <c r="B668" t="s">
        <v>162</v>
      </c>
      <c r="C668" s="2">
        <v>44884.316203703704</v>
      </c>
      <c r="D668" t="s">
        <v>81</v>
      </c>
    </row>
    <row r="669" spans="1:4" x14ac:dyDescent="0.25">
      <c r="A669">
        <v>31</v>
      </c>
      <c r="B669" t="s">
        <v>163</v>
      </c>
      <c r="C669" s="2">
        <v>44884.316203703704</v>
      </c>
      <c r="D669" t="s">
        <v>81</v>
      </c>
    </row>
    <row r="670" spans="1:4" x14ac:dyDescent="0.25">
      <c r="A670">
        <v>32</v>
      </c>
      <c r="B670" t="s">
        <v>164</v>
      </c>
      <c r="C670" s="2">
        <v>44884.31621527778</v>
      </c>
      <c r="D670" t="s">
        <v>81</v>
      </c>
    </row>
    <row r="671" spans="1:4" x14ac:dyDescent="0.25">
      <c r="A671">
        <v>5</v>
      </c>
      <c r="B671" t="s">
        <v>96</v>
      </c>
      <c r="C671" s="2">
        <v>44884.326608796298</v>
      </c>
      <c r="D671" t="s">
        <v>81</v>
      </c>
    </row>
    <row r="672" spans="1:4" x14ac:dyDescent="0.25">
      <c r="A672">
        <v>5</v>
      </c>
      <c r="B672" t="s">
        <v>96</v>
      </c>
      <c r="C672" s="2">
        <v>44884.337025462963</v>
      </c>
      <c r="D672" t="s">
        <v>81</v>
      </c>
    </row>
    <row r="673" spans="1:4" x14ac:dyDescent="0.25">
      <c r="A673">
        <v>5</v>
      </c>
      <c r="B673" t="s">
        <v>96</v>
      </c>
      <c r="C673" s="2">
        <v>44884.347442129627</v>
      </c>
      <c r="D673" t="s">
        <v>81</v>
      </c>
    </row>
    <row r="674" spans="1:4" x14ac:dyDescent="0.25">
      <c r="A674">
        <v>5</v>
      </c>
      <c r="B674" t="s">
        <v>96</v>
      </c>
      <c r="C674" s="2">
        <v>44884.357858796298</v>
      </c>
      <c r="D674" t="s">
        <v>81</v>
      </c>
    </row>
    <row r="675" spans="1:4" x14ac:dyDescent="0.25">
      <c r="A675">
        <v>1</v>
      </c>
      <c r="B675" t="s">
        <v>6</v>
      </c>
      <c r="C675" s="2">
        <v>44884.368298611109</v>
      </c>
      <c r="D675" t="s">
        <v>81</v>
      </c>
    </row>
    <row r="676" spans="1:4" x14ac:dyDescent="0.25">
      <c r="A676">
        <v>5</v>
      </c>
      <c r="B676" t="s">
        <v>167</v>
      </c>
      <c r="C676" s="2">
        <v>44884.368298611109</v>
      </c>
      <c r="D676" t="s">
        <v>81</v>
      </c>
    </row>
    <row r="677" spans="1:4" x14ac:dyDescent="0.25">
      <c r="A677">
        <v>5</v>
      </c>
      <c r="B677" t="s">
        <v>167</v>
      </c>
      <c r="C677" s="2">
        <v>44884.378692129627</v>
      </c>
      <c r="D677" t="s">
        <v>81</v>
      </c>
    </row>
    <row r="678" spans="1:4" x14ac:dyDescent="0.25">
      <c r="A678">
        <v>5</v>
      </c>
      <c r="B678" t="s">
        <v>167</v>
      </c>
      <c r="C678" s="2">
        <v>44884.389097222222</v>
      </c>
      <c r="D678" t="s">
        <v>81</v>
      </c>
    </row>
    <row r="679" spans="1:4" x14ac:dyDescent="0.25">
      <c r="A679">
        <v>5</v>
      </c>
      <c r="B679" t="s">
        <v>167</v>
      </c>
      <c r="C679" s="2">
        <v>44884.399525462963</v>
      </c>
      <c r="D679" t="s">
        <v>81</v>
      </c>
    </row>
    <row r="680" spans="1:4" x14ac:dyDescent="0.25">
      <c r="A680">
        <v>5</v>
      </c>
      <c r="B680" t="s">
        <v>167</v>
      </c>
      <c r="C680" s="2">
        <v>44884.409942129627</v>
      </c>
      <c r="D680" t="s">
        <v>81</v>
      </c>
    </row>
    <row r="681" spans="1:4" x14ac:dyDescent="0.25">
      <c r="A681">
        <v>5</v>
      </c>
      <c r="B681" t="s">
        <v>167</v>
      </c>
      <c r="C681" s="2">
        <v>44884.420381944445</v>
      </c>
      <c r="D681" t="s">
        <v>81</v>
      </c>
    </row>
    <row r="682" spans="1:4" x14ac:dyDescent="0.25">
      <c r="A682">
        <v>5</v>
      </c>
      <c r="B682" t="s">
        <v>167</v>
      </c>
      <c r="C682" s="2">
        <v>44884.430775462963</v>
      </c>
      <c r="D682" t="s">
        <v>81</v>
      </c>
    </row>
    <row r="683" spans="1:4" x14ac:dyDescent="0.25">
      <c r="A683">
        <v>5</v>
      </c>
      <c r="B683" t="s">
        <v>167</v>
      </c>
      <c r="C683" s="2">
        <v>44884.441180555557</v>
      </c>
      <c r="D683" t="s">
        <v>81</v>
      </c>
    </row>
    <row r="684" spans="1:4" x14ac:dyDescent="0.25">
      <c r="A684">
        <v>5</v>
      </c>
      <c r="B684" t="s">
        <v>167</v>
      </c>
      <c r="C684" s="2">
        <v>44884.451608796298</v>
      </c>
      <c r="D684" t="s">
        <v>81</v>
      </c>
    </row>
    <row r="685" spans="1:4" x14ac:dyDescent="0.25">
      <c r="A685">
        <v>5</v>
      </c>
      <c r="B685" t="s">
        <v>167</v>
      </c>
      <c r="C685" s="2">
        <v>44884.772546296299</v>
      </c>
      <c r="D685" t="s">
        <v>81</v>
      </c>
    </row>
    <row r="686" spans="1:4" x14ac:dyDescent="0.25">
      <c r="A686">
        <v>5</v>
      </c>
      <c r="B686" t="s">
        <v>96</v>
      </c>
      <c r="C686" s="2">
        <v>44885.28496527778</v>
      </c>
      <c r="D686" t="s">
        <v>81</v>
      </c>
    </row>
    <row r="687" spans="1:4" x14ac:dyDescent="0.25">
      <c r="A687">
        <v>24</v>
      </c>
      <c r="B687" t="s">
        <v>28</v>
      </c>
      <c r="C687" s="2">
        <v>44885.28497685185</v>
      </c>
      <c r="D687" t="s">
        <v>81</v>
      </c>
    </row>
    <row r="688" spans="1:4" x14ac:dyDescent="0.25">
      <c r="A688">
        <v>25</v>
      </c>
      <c r="B688" t="s">
        <v>41</v>
      </c>
      <c r="C688" s="2">
        <v>44885.28497685185</v>
      </c>
      <c r="D688" t="s">
        <v>81</v>
      </c>
    </row>
    <row r="689" spans="1:4" x14ac:dyDescent="0.25">
      <c r="A689">
        <v>27</v>
      </c>
      <c r="B689" t="s">
        <v>60</v>
      </c>
      <c r="C689" s="2">
        <v>44885.28497685185</v>
      </c>
      <c r="D689" t="s">
        <v>81</v>
      </c>
    </row>
    <row r="690" spans="1:4" x14ac:dyDescent="0.25">
      <c r="A690">
        <v>28</v>
      </c>
      <c r="B690" t="s">
        <v>160</v>
      </c>
      <c r="C690" s="2">
        <v>44885.284988425927</v>
      </c>
      <c r="D690" t="s">
        <v>81</v>
      </c>
    </row>
    <row r="691" spans="1:4" x14ac:dyDescent="0.25">
      <c r="A691">
        <v>30</v>
      </c>
      <c r="B691" t="s">
        <v>162</v>
      </c>
      <c r="C691" s="2">
        <v>44885.284988425927</v>
      </c>
      <c r="D691" t="s">
        <v>81</v>
      </c>
    </row>
    <row r="692" spans="1:4" x14ac:dyDescent="0.25">
      <c r="A692">
        <v>31</v>
      </c>
      <c r="B692" t="s">
        <v>163</v>
      </c>
      <c r="C692" s="2">
        <v>44885.284988425927</v>
      </c>
      <c r="D692" t="s">
        <v>81</v>
      </c>
    </row>
    <row r="693" spans="1:4" x14ac:dyDescent="0.25">
      <c r="A693">
        <v>5</v>
      </c>
      <c r="B693" t="s">
        <v>96</v>
      </c>
      <c r="C693" s="2">
        <v>44885.295358796298</v>
      </c>
      <c r="D693" t="s">
        <v>81</v>
      </c>
    </row>
    <row r="694" spans="1:4" x14ac:dyDescent="0.25">
      <c r="A694">
        <v>32</v>
      </c>
      <c r="B694" t="s">
        <v>164</v>
      </c>
      <c r="C694" s="2">
        <v>44885.295370370368</v>
      </c>
      <c r="D694" t="s">
        <v>81</v>
      </c>
    </row>
    <row r="695" spans="1:4" x14ac:dyDescent="0.25">
      <c r="A695">
        <v>33</v>
      </c>
      <c r="B695" t="s">
        <v>165</v>
      </c>
      <c r="C695" s="2">
        <v>44885.295370370368</v>
      </c>
      <c r="D695" t="s">
        <v>81</v>
      </c>
    </row>
    <row r="696" spans="1:4" x14ac:dyDescent="0.25">
      <c r="A696">
        <v>34</v>
      </c>
      <c r="B696" t="s">
        <v>67</v>
      </c>
      <c r="C696" s="2">
        <v>44885.295381944445</v>
      </c>
      <c r="D696" t="s">
        <v>81</v>
      </c>
    </row>
    <row r="697" spans="1:4" x14ac:dyDescent="0.25">
      <c r="A697">
        <v>35</v>
      </c>
      <c r="B697" t="s">
        <v>166</v>
      </c>
      <c r="C697" s="2">
        <v>44885.295381944445</v>
      </c>
      <c r="D697" t="s">
        <v>81</v>
      </c>
    </row>
    <row r="698" spans="1:4" x14ac:dyDescent="0.25">
      <c r="A698">
        <v>5</v>
      </c>
      <c r="B698" t="s">
        <v>96</v>
      </c>
      <c r="C698" s="2">
        <v>44885.305787037039</v>
      </c>
      <c r="D698" t="s">
        <v>81</v>
      </c>
    </row>
    <row r="699" spans="1:4" x14ac:dyDescent="0.25">
      <c r="A699">
        <v>5</v>
      </c>
      <c r="B699" t="s">
        <v>96</v>
      </c>
      <c r="C699" s="2">
        <v>44885.31622685185</v>
      </c>
      <c r="D699" t="s">
        <v>81</v>
      </c>
    </row>
    <row r="700" spans="1:4" x14ac:dyDescent="0.25">
      <c r="A700">
        <v>15</v>
      </c>
      <c r="B700" t="s">
        <v>157</v>
      </c>
      <c r="C700" s="2">
        <v>44885.31622685185</v>
      </c>
      <c r="D700" t="s">
        <v>81</v>
      </c>
    </row>
    <row r="701" spans="1:4" x14ac:dyDescent="0.25">
      <c r="A701">
        <v>26</v>
      </c>
      <c r="B701" t="s">
        <v>159</v>
      </c>
      <c r="C701" s="2">
        <v>44885.31622685185</v>
      </c>
      <c r="D701" t="s">
        <v>81</v>
      </c>
    </row>
    <row r="702" spans="1:4" x14ac:dyDescent="0.25">
      <c r="A702">
        <v>29</v>
      </c>
      <c r="B702" t="s">
        <v>161</v>
      </c>
      <c r="C702" s="2">
        <v>44885.316238425927</v>
      </c>
      <c r="D702" t="s">
        <v>81</v>
      </c>
    </row>
    <row r="703" spans="1:4" x14ac:dyDescent="0.25">
      <c r="A703">
        <v>5</v>
      </c>
      <c r="B703" t="s">
        <v>96</v>
      </c>
      <c r="C703" s="2">
        <v>44885.326620370368</v>
      </c>
      <c r="D703" t="s">
        <v>81</v>
      </c>
    </row>
    <row r="704" spans="1:4" x14ac:dyDescent="0.25">
      <c r="A704">
        <v>5</v>
      </c>
      <c r="B704" t="s">
        <v>96</v>
      </c>
      <c r="C704" s="2">
        <v>44885.337025462963</v>
      </c>
      <c r="D704" t="s">
        <v>81</v>
      </c>
    </row>
    <row r="705" spans="1:4" x14ac:dyDescent="0.25">
      <c r="A705">
        <v>5</v>
      </c>
      <c r="B705" t="s">
        <v>96</v>
      </c>
      <c r="C705" s="2">
        <v>44885.347442129627</v>
      </c>
      <c r="D705" t="s">
        <v>81</v>
      </c>
    </row>
    <row r="706" spans="1:4" x14ac:dyDescent="0.25">
      <c r="A706">
        <v>5</v>
      </c>
      <c r="B706" t="s">
        <v>96</v>
      </c>
      <c r="C706" s="2">
        <v>44885.357858796298</v>
      </c>
      <c r="D706" t="s">
        <v>81</v>
      </c>
    </row>
    <row r="707" spans="1:4" x14ac:dyDescent="0.25">
      <c r="A707">
        <v>5</v>
      </c>
      <c r="B707" t="s">
        <v>96</v>
      </c>
      <c r="C707" s="2">
        <v>44885.368275462963</v>
      </c>
      <c r="D707" t="s">
        <v>81</v>
      </c>
    </row>
    <row r="708" spans="1:4" x14ac:dyDescent="0.25">
      <c r="A708">
        <v>5</v>
      </c>
      <c r="B708" t="s">
        <v>96</v>
      </c>
      <c r="C708" s="2">
        <v>44885.378703703704</v>
      </c>
      <c r="D708" t="s">
        <v>81</v>
      </c>
    </row>
    <row r="709" spans="1:4" x14ac:dyDescent="0.25">
      <c r="A709">
        <v>5</v>
      </c>
      <c r="B709" t="s">
        <v>96</v>
      </c>
      <c r="C709" s="2">
        <v>44885.389108796298</v>
      </c>
      <c r="D709" t="s">
        <v>81</v>
      </c>
    </row>
    <row r="710" spans="1:4" x14ac:dyDescent="0.25">
      <c r="A710">
        <v>5</v>
      </c>
      <c r="B710" t="s">
        <v>96</v>
      </c>
      <c r="C710" s="2">
        <v>44885.399525462963</v>
      </c>
      <c r="D710" t="s">
        <v>81</v>
      </c>
    </row>
    <row r="711" spans="1:4" x14ac:dyDescent="0.25">
      <c r="A711">
        <v>5</v>
      </c>
      <c r="B711" t="s">
        <v>96</v>
      </c>
      <c r="C711" s="2">
        <v>44885.409953703704</v>
      </c>
      <c r="D711" t="s">
        <v>81</v>
      </c>
    </row>
    <row r="712" spans="1:4" x14ac:dyDescent="0.25">
      <c r="A712">
        <v>5</v>
      </c>
      <c r="B712" t="s">
        <v>96</v>
      </c>
      <c r="C712" s="2">
        <v>44885.420370370368</v>
      </c>
      <c r="D712" t="s">
        <v>81</v>
      </c>
    </row>
    <row r="713" spans="1:4" x14ac:dyDescent="0.25">
      <c r="A713">
        <v>5</v>
      </c>
      <c r="B713" t="s">
        <v>96</v>
      </c>
      <c r="C713" s="2">
        <v>44885.430775462963</v>
      </c>
      <c r="D713" t="s">
        <v>81</v>
      </c>
    </row>
    <row r="714" spans="1:4" x14ac:dyDescent="0.25">
      <c r="A714">
        <v>5</v>
      </c>
      <c r="B714" t="s">
        <v>96</v>
      </c>
      <c r="C714" s="2">
        <v>44885.441192129627</v>
      </c>
      <c r="D714" t="s">
        <v>81</v>
      </c>
    </row>
    <row r="715" spans="1:4" x14ac:dyDescent="0.25">
      <c r="A715">
        <v>5</v>
      </c>
      <c r="B715" t="s">
        <v>96</v>
      </c>
      <c r="C715" s="2">
        <v>44885.451608796298</v>
      </c>
      <c r="D715" t="s">
        <v>81</v>
      </c>
    </row>
    <row r="716" spans="1:4" x14ac:dyDescent="0.25">
      <c r="A716">
        <v>5</v>
      </c>
      <c r="B716" t="s">
        <v>96</v>
      </c>
      <c r="C716" s="2">
        <v>44886.28497685185</v>
      </c>
      <c r="D716" t="s">
        <v>81</v>
      </c>
    </row>
    <row r="717" spans="1:4" x14ac:dyDescent="0.25">
      <c r="A717">
        <v>24</v>
      </c>
      <c r="B717" t="s">
        <v>28</v>
      </c>
      <c r="C717" s="2">
        <v>44886.284988425927</v>
      </c>
      <c r="D717" t="s">
        <v>81</v>
      </c>
    </row>
    <row r="718" spans="1:4" x14ac:dyDescent="0.25">
      <c r="A718">
        <v>25</v>
      </c>
      <c r="B718" t="s">
        <v>41</v>
      </c>
      <c r="C718" s="2">
        <v>44886.284988425927</v>
      </c>
      <c r="D718" t="s">
        <v>81</v>
      </c>
    </row>
    <row r="719" spans="1:4" x14ac:dyDescent="0.25">
      <c r="A719">
        <v>28</v>
      </c>
      <c r="B719" t="s">
        <v>160</v>
      </c>
      <c r="C719" s="2">
        <v>44886.284988425927</v>
      </c>
      <c r="D719" t="s">
        <v>81</v>
      </c>
    </row>
    <row r="720" spans="1:4" x14ac:dyDescent="0.25">
      <c r="A720">
        <v>29</v>
      </c>
      <c r="B720" t="s">
        <v>161</v>
      </c>
      <c r="C720" s="2">
        <v>44886.284988425927</v>
      </c>
      <c r="D720" t="s">
        <v>81</v>
      </c>
    </row>
    <row r="721" spans="1:4" x14ac:dyDescent="0.25">
      <c r="A721">
        <v>30</v>
      </c>
      <c r="B721" t="s">
        <v>162</v>
      </c>
      <c r="C721" s="2">
        <v>44886.285000000003</v>
      </c>
      <c r="D721" t="s">
        <v>81</v>
      </c>
    </row>
    <row r="722" spans="1:4" x14ac:dyDescent="0.25">
      <c r="A722">
        <v>31</v>
      </c>
      <c r="B722" t="s">
        <v>163</v>
      </c>
      <c r="C722" s="2">
        <v>44886.285000000003</v>
      </c>
      <c r="D722" t="s">
        <v>81</v>
      </c>
    </row>
    <row r="723" spans="1:4" x14ac:dyDescent="0.25">
      <c r="A723">
        <v>5</v>
      </c>
      <c r="B723" t="s">
        <v>96</v>
      </c>
      <c r="C723" s="2">
        <v>44886.295358796298</v>
      </c>
      <c r="D723" t="s">
        <v>81</v>
      </c>
    </row>
    <row r="724" spans="1:4" x14ac:dyDescent="0.25">
      <c r="A724">
        <v>7</v>
      </c>
      <c r="B724" t="s">
        <v>59</v>
      </c>
      <c r="C724" s="2">
        <v>44886.295370370368</v>
      </c>
      <c r="D724" t="s">
        <v>81</v>
      </c>
    </row>
    <row r="725" spans="1:4" x14ac:dyDescent="0.25">
      <c r="A725">
        <v>9</v>
      </c>
      <c r="B725" t="s">
        <v>61</v>
      </c>
      <c r="C725" s="2">
        <v>44886.295370370368</v>
      </c>
      <c r="D725" t="s">
        <v>81</v>
      </c>
    </row>
    <row r="726" spans="1:4" x14ac:dyDescent="0.25">
      <c r="A726">
        <v>10</v>
      </c>
      <c r="B726" t="s">
        <v>62</v>
      </c>
      <c r="C726" s="2">
        <v>44886.295370370368</v>
      </c>
      <c r="D726" t="s">
        <v>81</v>
      </c>
    </row>
    <row r="727" spans="1:4" x14ac:dyDescent="0.25">
      <c r="A727">
        <v>11</v>
      </c>
      <c r="B727" t="s">
        <v>63</v>
      </c>
      <c r="C727" s="2">
        <v>44886.295370370368</v>
      </c>
      <c r="D727" t="s">
        <v>81</v>
      </c>
    </row>
    <row r="728" spans="1:4" x14ac:dyDescent="0.25">
      <c r="A728">
        <v>12</v>
      </c>
      <c r="B728" t="s">
        <v>64</v>
      </c>
      <c r="C728" s="2">
        <v>44886.295370370368</v>
      </c>
      <c r="D728" t="s">
        <v>81</v>
      </c>
    </row>
    <row r="729" spans="1:4" x14ac:dyDescent="0.25">
      <c r="A729">
        <v>13</v>
      </c>
      <c r="B729" t="s">
        <v>65</v>
      </c>
      <c r="C729" s="2">
        <v>44886.295370370368</v>
      </c>
      <c r="D729" t="s">
        <v>81</v>
      </c>
    </row>
    <row r="730" spans="1:4" x14ac:dyDescent="0.25">
      <c r="A730">
        <v>14</v>
      </c>
      <c r="B730" t="s">
        <v>66</v>
      </c>
      <c r="C730" s="2">
        <v>44886.295370370368</v>
      </c>
      <c r="D730" t="s">
        <v>81</v>
      </c>
    </row>
    <row r="731" spans="1:4" x14ac:dyDescent="0.25">
      <c r="A731">
        <v>15</v>
      </c>
      <c r="B731" t="s">
        <v>157</v>
      </c>
      <c r="C731" s="2">
        <v>44886.295381944445</v>
      </c>
      <c r="D731" t="s">
        <v>81</v>
      </c>
    </row>
    <row r="732" spans="1:4" x14ac:dyDescent="0.25">
      <c r="A732">
        <v>16</v>
      </c>
      <c r="B732" t="s">
        <v>68</v>
      </c>
      <c r="C732" s="2">
        <v>44886.295381944445</v>
      </c>
      <c r="D732" t="s">
        <v>81</v>
      </c>
    </row>
    <row r="733" spans="1:4" x14ac:dyDescent="0.25">
      <c r="A733">
        <v>32</v>
      </c>
      <c r="B733" t="s">
        <v>164</v>
      </c>
      <c r="C733" s="2">
        <v>44886.295381944445</v>
      </c>
      <c r="D733" t="s">
        <v>81</v>
      </c>
    </row>
    <row r="734" spans="1:4" x14ac:dyDescent="0.25">
      <c r="A734">
        <v>33</v>
      </c>
      <c r="B734" t="s">
        <v>165</v>
      </c>
      <c r="C734" s="2">
        <v>44886.295381944445</v>
      </c>
      <c r="D734" t="s">
        <v>81</v>
      </c>
    </row>
    <row r="735" spans="1:4" x14ac:dyDescent="0.25">
      <c r="A735">
        <v>34</v>
      </c>
      <c r="B735" t="s">
        <v>67</v>
      </c>
      <c r="C735" s="2">
        <v>44886.295393518521</v>
      </c>
      <c r="D735" t="s">
        <v>81</v>
      </c>
    </row>
    <row r="736" spans="1:4" x14ac:dyDescent="0.25">
      <c r="A736">
        <v>35</v>
      </c>
      <c r="B736" t="s">
        <v>166</v>
      </c>
      <c r="C736" s="2">
        <v>44886.295393518521</v>
      </c>
      <c r="D736" t="s">
        <v>81</v>
      </c>
    </row>
    <row r="737" spans="1:4" x14ac:dyDescent="0.25">
      <c r="A737">
        <v>5</v>
      </c>
      <c r="B737" t="s">
        <v>96</v>
      </c>
      <c r="C737" s="2">
        <v>44886.305787037039</v>
      </c>
      <c r="D737" t="s">
        <v>81</v>
      </c>
    </row>
    <row r="738" spans="1:4" x14ac:dyDescent="0.25">
      <c r="A738">
        <v>5</v>
      </c>
      <c r="B738" t="s">
        <v>96</v>
      </c>
      <c r="C738" s="2">
        <v>44886.316203703704</v>
      </c>
      <c r="D738" t="s">
        <v>81</v>
      </c>
    </row>
    <row r="739" spans="1:4" x14ac:dyDescent="0.25">
      <c r="A739">
        <v>26</v>
      </c>
      <c r="B739" t="s">
        <v>159</v>
      </c>
      <c r="C739" s="2">
        <v>44886.31621527778</v>
      </c>
      <c r="D739" t="s">
        <v>81</v>
      </c>
    </row>
    <row r="740" spans="1:4" x14ac:dyDescent="0.25">
      <c r="A740">
        <v>27</v>
      </c>
      <c r="B740" t="s">
        <v>60</v>
      </c>
      <c r="C740" s="2">
        <v>44886.31621527778</v>
      </c>
      <c r="D740" t="s">
        <v>81</v>
      </c>
    </row>
    <row r="741" spans="1:4" x14ac:dyDescent="0.25">
      <c r="A741">
        <v>5</v>
      </c>
      <c r="B741" t="s">
        <v>96</v>
      </c>
      <c r="C741" s="2">
        <v>44886.326620370368</v>
      </c>
      <c r="D741" t="s">
        <v>81</v>
      </c>
    </row>
    <row r="742" spans="1:4" x14ac:dyDescent="0.25">
      <c r="A742">
        <v>5</v>
      </c>
      <c r="B742" t="s">
        <v>96</v>
      </c>
      <c r="C742" s="2">
        <v>44886.337025462963</v>
      </c>
      <c r="D742" t="s">
        <v>81</v>
      </c>
    </row>
    <row r="743" spans="1:4" x14ac:dyDescent="0.25">
      <c r="A743">
        <v>5</v>
      </c>
      <c r="B743" t="s">
        <v>96</v>
      </c>
      <c r="C743" s="2">
        <v>44886.347442129627</v>
      </c>
      <c r="D743" t="s">
        <v>81</v>
      </c>
    </row>
    <row r="744" spans="1:4" x14ac:dyDescent="0.25">
      <c r="A744">
        <v>5</v>
      </c>
      <c r="B744" t="s">
        <v>96</v>
      </c>
      <c r="C744" s="2">
        <v>44886.357858796298</v>
      </c>
      <c r="D744" t="s">
        <v>81</v>
      </c>
    </row>
    <row r="745" spans="1:4" x14ac:dyDescent="0.25">
      <c r="A745">
        <v>1</v>
      </c>
      <c r="B745" t="s">
        <v>6</v>
      </c>
      <c r="C745" s="2">
        <v>44886.368298611109</v>
      </c>
      <c r="D745" t="s">
        <v>81</v>
      </c>
    </row>
    <row r="746" spans="1:4" x14ac:dyDescent="0.25">
      <c r="A746">
        <v>5</v>
      </c>
      <c r="B746" t="s">
        <v>167</v>
      </c>
      <c r="C746" s="2">
        <v>44886.368310185186</v>
      </c>
      <c r="D746" t="s">
        <v>81</v>
      </c>
    </row>
    <row r="747" spans="1:4" x14ac:dyDescent="0.25">
      <c r="A747">
        <v>5</v>
      </c>
      <c r="B747" t="s">
        <v>167</v>
      </c>
      <c r="C747" s="2">
        <v>44886.378692129627</v>
      </c>
      <c r="D747" t="s">
        <v>81</v>
      </c>
    </row>
    <row r="748" spans="1:4" x14ac:dyDescent="0.25">
      <c r="A748">
        <v>5</v>
      </c>
      <c r="B748" t="s">
        <v>167</v>
      </c>
      <c r="C748" s="2">
        <v>44886.389108796298</v>
      </c>
      <c r="D748" t="s">
        <v>81</v>
      </c>
    </row>
    <row r="749" spans="1:4" x14ac:dyDescent="0.25">
      <c r="A749">
        <v>5</v>
      </c>
      <c r="B749" t="s">
        <v>167</v>
      </c>
      <c r="C749" s="2">
        <v>44886.399525462963</v>
      </c>
      <c r="D749" t="s">
        <v>81</v>
      </c>
    </row>
    <row r="750" spans="1:4" x14ac:dyDescent="0.25">
      <c r="A750">
        <v>5</v>
      </c>
      <c r="B750" t="s">
        <v>167</v>
      </c>
      <c r="C750" s="2">
        <v>44886.409942129627</v>
      </c>
      <c r="D750" t="s">
        <v>81</v>
      </c>
    </row>
    <row r="751" spans="1:4" x14ac:dyDescent="0.25">
      <c r="A751">
        <v>5</v>
      </c>
      <c r="B751" t="s">
        <v>167</v>
      </c>
      <c r="C751" s="2">
        <v>44886.420370370368</v>
      </c>
      <c r="D751" t="s">
        <v>81</v>
      </c>
    </row>
    <row r="752" spans="1:4" x14ac:dyDescent="0.25">
      <c r="A752">
        <v>5</v>
      </c>
      <c r="B752" t="s">
        <v>167</v>
      </c>
      <c r="C752" s="2">
        <v>44886.430775462963</v>
      </c>
      <c r="D752" t="s">
        <v>81</v>
      </c>
    </row>
    <row r="753" spans="1:4" x14ac:dyDescent="0.25">
      <c r="A753">
        <v>5</v>
      </c>
      <c r="B753" t="s">
        <v>167</v>
      </c>
      <c r="C753" s="2">
        <v>44886.441192129627</v>
      </c>
      <c r="D753" t="s">
        <v>81</v>
      </c>
    </row>
    <row r="754" spans="1:4" x14ac:dyDescent="0.25">
      <c r="A754">
        <v>5</v>
      </c>
      <c r="B754" t="s">
        <v>167</v>
      </c>
      <c r="C754" s="2">
        <v>44886.451620370368</v>
      </c>
      <c r="D754" t="s">
        <v>81</v>
      </c>
    </row>
    <row r="755" spans="1:4" x14ac:dyDescent="0.25">
      <c r="A755">
        <v>5</v>
      </c>
      <c r="B755" t="s">
        <v>167</v>
      </c>
      <c r="C755" s="2">
        <v>44886.89565972222</v>
      </c>
      <c r="D755" t="s">
        <v>81</v>
      </c>
    </row>
    <row r="756" spans="1:4" x14ac:dyDescent="0.25">
      <c r="A756">
        <v>5</v>
      </c>
      <c r="B756" t="s">
        <v>167</v>
      </c>
      <c r="C756" s="2">
        <v>44886.910150462965</v>
      </c>
      <c r="D756" t="s">
        <v>81</v>
      </c>
    </row>
    <row r="757" spans="1:4" x14ac:dyDescent="0.25">
      <c r="A757">
        <v>5</v>
      </c>
      <c r="B757" t="s">
        <v>167</v>
      </c>
      <c r="C757" s="2">
        <v>44886.911747685182</v>
      </c>
      <c r="D757" t="s">
        <v>81</v>
      </c>
    </row>
    <row r="758" spans="1:4" x14ac:dyDescent="0.25">
      <c r="A758">
        <v>5</v>
      </c>
      <c r="B758" t="s">
        <v>167</v>
      </c>
      <c r="C758" s="2">
        <v>44886.912743055553</v>
      </c>
      <c r="D758" t="s">
        <v>81</v>
      </c>
    </row>
    <row r="759" spans="1:4" x14ac:dyDescent="0.25">
      <c r="A759">
        <v>5</v>
      </c>
      <c r="B759" t="s">
        <v>167</v>
      </c>
      <c r="C759" s="2">
        <v>44886.923611111109</v>
      </c>
      <c r="D759" t="s">
        <v>81</v>
      </c>
    </row>
    <row r="760" spans="1:4" x14ac:dyDescent="0.25">
      <c r="A760">
        <v>5</v>
      </c>
      <c r="B760" t="s">
        <v>96</v>
      </c>
      <c r="C760" s="2">
        <v>44887.285000000003</v>
      </c>
      <c r="D760" t="s">
        <v>81</v>
      </c>
    </row>
    <row r="761" spans="1:4" x14ac:dyDescent="0.25">
      <c r="A761">
        <v>24</v>
      </c>
      <c r="B761" t="s">
        <v>28</v>
      </c>
      <c r="C761" s="2">
        <v>44887.28502314815</v>
      </c>
      <c r="D761" t="s">
        <v>81</v>
      </c>
    </row>
    <row r="762" spans="1:4" x14ac:dyDescent="0.25">
      <c r="A762">
        <v>25</v>
      </c>
      <c r="B762" t="s">
        <v>41</v>
      </c>
      <c r="C762" s="2">
        <v>44887.28502314815</v>
      </c>
      <c r="D762" t="s">
        <v>81</v>
      </c>
    </row>
    <row r="763" spans="1:4" x14ac:dyDescent="0.25">
      <c r="A763">
        <v>26</v>
      </c>
      <c r="B763" t="s">
        <v>159</v>
      </c>
      <c r="C763" s="2">
        <v>44887.28502314815</v>
      </c>
      <c r="D763" t="s">
        <v>81</v>
      </c>
    </row>
    <row r="764" spans="1:4" x14ac:dyDescent="0.25">
      <c r="A764">
        <v>27</v>
      </c>
      <c r="B764" t="s">
        <v>60</v>
      </c>
      <c r="C764" s="2">
        <v>44887.28502314815</v>
      </c>
      <c r="D764" t="s">
        <v>81</v>
      </c>
    </row>
    <row r="765" spans="1:4" x14ac:dyDescent="0.25">
      <c r="A765">
        <v>28</v>
      </c>
      <c r="B765" t="s">
        <v>160</v>
      </c>
      <c r="C765" s="2">
        <v>44887.285034722219</v>
      </c>
      <c r="D765" t="s">
        <v>81</v>
      </c>
    </row>
    <row r="766" spans="1:4" x14ac:dyDescent="0.25">
      <c r="A766">
        <v>29</v>
      </c>
      <c r="B766" t="s">
        <v>161</v>
      </c>
      <c r="C766" s="2">
        <v>44887.285034722219</v>
      </c>
      <c r="D766" t="s">
        <v>81</v>
      </c>
    </row>
    <row r="767" spans="1:4" x14ac:dyDescent="0.25">
      <c r="A767">
        <v>30</v>
      </c>
      <c r="B767" t="s">
        <v>162</v>
      </c>
      <c r="C767" s="2">
        <v>44887.285034722219</v>
      </c>
      <c r="D767" t="s">
        <v>81</v>
      </c>
    </row>
    <row r="768" spans="1:4" x14ac:dyDescent="0.25">
      <c r="A768">
        <v>31</v>
      </c>
      <c r="B768" t="s">
        <v>163</v>
      </c>
      <c r="C768" s="2">
        <v>44887.285034722219</v>
      </c>
      <c r="D768" t="s">
        <v>81</v>
      </c>
    </row>
    <row r="769" spans="1:4" x14ac:dyDescent="0.25">
      <c r="A769">
        <v>5</v>
      </c>
      <c r="B769" t="s">
        <v>96</v>
      </c>
      <c r="C769" s="2">
        <v>44887.295347222222</v>
      </c>
      <c r="D769" t="s">
        <v>81</v>
      </c>
    </row>
    <row r="770" spans="1:4" x14ac:dyDescent="0.25">
      <c r="A770">
        <v>7</v>
      </c>
      <c r="B770" t="s">
        <v>59</v>
      </c>
      <c r="C770" s="2">
        <v>44887.295358796298</v>
      </c>
      <c r="D770" t="s">
        <v>81</v>
      </c>
    </row>
    <row r="771" spans="1:4" x14ac:dyDescent="0.25">
      <c r="A771">
        <v>9</v>
      </c>
      <c r="B771" t="s">
        <v>61</v>
      </c>
      <c r="C771" s="2">
        <v>44887.295358796298</v>
      </c>
      <c r="D771" t="s">
        <v>81</v>
      </c>
    </row>
    <row r="772" spans="1:4" x14ac:dyDescent="0.25">
      <c r="A772">
        <v>10</v>
      </c>
      <c r="B772" t="s">
        <v>62</v>
      </c>
      <c r="C772" s="2">
        <v>44887.295370370368</v>
      </c>
      <c r="D772" t="s">
        <v>81</v>
      </c>
    </row>
    <row r="773" spans="1:4" x14ac:dyDescent="0.25">
      <c r="A773">
        <v>11</v>
      </c>
      <c r="B773" t="s">
        <v>63</v>
      </c>
      <c r="C773" s="2">
        <v>44887.295370370368</v>
      </c>
      <c r="D773" t="s">
        <v>81</v>
      </c>
    </row>
    <row r="774" spans="1:4" x14ac:dyDescent="0.25">
      <c r="A774">
        <v>12</v>
      </c>
      <c r="B774" t="s">
        <v>64</v>
      </c>
      <c r="C774" s="2">
        <v>44887.295370370368</v>
      </c>
      <c r="D774" t="s">
        <v>81</v>
      </c>
    </row>
    <row r="775" spans="1:4" x14ac:dyDescent="0.25">
      <c r="A775">
        <v>13</v>
      </c>
      <c r="B775" t="s">
        <v>65</v>
      </c>
      <c r="C775" s="2">
        <v>44887.295370370368</v>
      </c>
      <c r="D775" t="s">
        <v>81</v>
      </c>
    </row>
    <row r="776" spans="1:4" x14ac:dyDescent="0.25">
      <c r="A776">
        <v>14</v>
      </c>
      <c r="B776" t="s">
        <v>66</v>
      </c>
      <c r="C776" s="2">
        <v>44887.295381944445</v>
      </c>
      <c r="D776" t="s">
        <v>81</v>
      </c>
    </row>
    <row r="777" spans="1:4" x14ac:dyDescent="0.25">
      <c r="A777">
        <v>15</v>
      </c>
      <c r="B777" t="s">
        <v>157</v>
      </c>
      <c r="C777" s="2">
        <v>44887.295381944445</v>
      </c>
      <c r="D777" t="s">
        <v>81</v>
      </c>
    </row>
    <row r="778" spans="1:4" x14ac:dyDescent="0.25">
      <c r="A778">
        <v>16</v>
      </c>
      <c r="B778" t="s">
        <v>68</v>
      </c>
      <c r="C778" s="2">
        <v>44887.295381944445</v>
      </c>
      <c r="D778" t="s">
        <v>81</v>
      </c>
    </row>
    <row r="779" spans="1:4" x14ac:dyDescent="0.25">
      <c r="A779">
        <v>32</v>
      </c>
      <c r="B779" t="s">
        <v>164</v>
      </c>
      <c r="C779" s="2">
        <v>44887.295381944445</v>
      </c>
      <c r="D779" t="s">
        <v>81</v>
      </c>
    </row>
    <row r="780" spans="1:4" x14ac:dyDescent="0.25">
      <c r="A780">
        <v>33</v>
      </c>
      <c r="B780" t="s">
        <v>165</v>
      </c>
      <c r="C780" s="2">
        <v>44887.295393518521</v>
      </c>
      <c r="D780" t="s">
        <v>81</v>
      </c>
    </row>
    <row r="781" spans="1:4" x14ac:dyDescent="0.25">
      <c r="A781">
        <v>34</v>
      </c>
      <c r="B781" t="s">
        <v>67</v>
      </c>
      <c r="C781" s="2">
        <v>44887.295393518521</v>
      </c>
      <c r="D781" t="s">
        <v>81</v>
      </c>
    </row>
    <row r="782" spans="1:4" x14ac:dyDescent="0.25">
      <c r="A782">
        <v>35</v>
      </c>
      <c r="B782" t="s">
        <v>166</v>
      </c>
      <c r="C782" s="2">
        <v>44887.295393518521</v>
      </c>
      <c r="D782" t="s">
        <v>81</v>
      </c>
    </row>
    <row r="783" spans="1:4" x14ac:dyDescent="0.25">
      <c r="A783">
        <v>5</v>
      </c>
      <c r="B783" t="s">
        <v>96</v>
      </c>
      <c r="C783" s="2">
        <v>44887.305787037039</v>
      </c>
      <c r="D783" t="s">
        <v>81</v>
      </c>
    </row>
    <row r="784" spans="1:4" x14ac:dyDescent="0.25">
      <c r="A784">
        <v>5</v>
      </c>
      <c r="B784" t="s">
        <v>96</v>
      </c>
      <c r="C784" s="2">
        <v>44887.316192129627</v>
      </c>
      <c r="D784" t="s">
        <v>81</v>
      </c>
    </row>
    <row r="785" spans="1:4" x14ac:dyDescent="0.25">
      <c r="A785">
        <v>5</v>
      </c>
      <c r="B785" t="s">
        <v>96</v>
      </c>
      <c r="C785" s="2">
        <v>44887.326597222222</v>
      </c>
      <c r="D785" t="s">
        <v>81</v>
      </c>
    </row>
    <row r="786" spans="1:4" x14ac:dyDescent="0.25">
      <c r="A786">
        <v>5</v>
      </c>
      <c r="B786" t="s">
        <v>96</v>
      </c>
      <c r="C786" s="2">
        <v>44887.337025462963</v>
      </c>
      <c r="D786" t="s">
        <v>81</v>
      </c>
    </row>
    <row r="787" spans="1:4" x14ac:dyDescent="0.25">
      <c r="A787">
        <v>5</v>
      </c>
      <c r="B787" t="s">
        <v>96</v>
      </c>
      <c r="C787" s="2">
        <v>44887.347442129627</v>
      </c>
      <c r="D787" t="s">
        <v>81</v>
      </c>
    </row>
    <row r="788" spans="1:4" x14ac:dyDescent="0.25">
      <c r="A788">
        <v>5</v>
      </c>
      <c r="B788" t="s">
        <v>96</v>
      </c>
      <c r="C788" s="2">
        <v>44887.357858796298</v>
      </c>
      <c r="D788" t="s">
        <v>81</v>
      </c>
    </row>
    <row r="789" spans="1:4" x14ac:dyDescent="0.25">
      <c r="A789">
        <v>1</v>
      </c>
      <c r="B789" t="s">
        <v>6</v>
      </c>
      <c r="C789" s="2">
        <v>44887.368287037039</v>
      </c>
      <c r="D789" t="s">
        <v>81</v>
      </c>
    </row>
    <row r="790" spans="1:4" x14ac:dyDescent="0.25">
      <c r="A790">
        <v>5</v>
      </c>
      <c r="B790" t="s">
        <v>167</v>
      </c>
      <c r="C790" s="2">
        <v>44887.368298611109</v>
      </c>
      <c r="D790" t="s">
        <v>81</v>
      </c>
    </row>
    <row r="791" spans="1:4" x14ac:dyDescent="0.25">
      <c r="A791">
        <v>5</v>
      </c>
      <c r="B791" t="s">
        <v>167</v>
      </c>
      <c r="C791" s="2">
        <v>44887.378692129627</v>
      </c>
      <c r="D791" t="s">
        <v>81</v>
      </c>
    </row>
    <row r="792" spans="1:4" x14ac:dyDescent="0.25">
      <c r="A792">
        <v>5</v>
      </c>
      <c r="B792" t="s">
        <v>167</v>
      </c>
      <c r="C792" s="2">
        <v>44887.389108796298</v>
      </c>
      <c r="D792" t="s">
        <v>81</v>
      </c>
    </row>
    <row r="793" spans="1:4" x14ac:dyDescent="0.25">
      <c r="A793">
        <v>5</v>
      </c>
      <c r="B793" t="s">
        <v>167</v>
      </c>
      <c r="C793" s="2">
        <v>44887.399525462963</v>
      </c>
      <c r="D793" t="s">
        <v>81</v>
      </c>
    </row>
    <row r="794" spans="1:4" x14ac:dyDescent="0.25">
      <c r="A794">
        <v>5</v>
      </c>
      <c r="B794" t="s">
        <v>167</v>
      </c>
      <c r="C794" s="2">
        <v>44887.409942129627</v>
      </c>
      <c r="D794" t="s">
        <v>81</v>
      </c>
    </row>
    <row r="795" spans="1:4" x14ac:dyDescent="0.25">
      <c r="A795">
        <v>5</v>
      </c>
      <c r="B795" t="s">
        <v>167</v>
      </c>
      <c r="C795" s="2">
        <v>44887.420358796298</v>
      </c>
      <c r="D795" t="s">
        <v>81</v>
      </c>
    </row>
    <row r="796" spans="1:4" x14ac:dyDescent="0.25">
      <c r="A796">
        <v>5</v>
      </c>
      <c r="B796" t="s">
        <v>167</v>
      </c>
      <c r="C796" s="2">
        <v>44887.430775462963</v>
      </c>
      <c r="D796" t="s">
        <v>81</v>
      </c>
    </row>
    <row r="797" spans="1:4" x14ac:dyDescent="0.25">
      <c r="A797">
        <v>5</v>
      </c>
      <c r="B797" t="s">
        <v>167</v>
      </c>
      <c r="C797" s="2">
        <v>44887.441192129627</v>
      </c>
      <c r="D797" t="s">
        <v>81</v>
      </c>
    </row>
    <row r="798" spans="1:4" x14ac:dyDescent="0.25">
      <c r="A798">
        <v>5</v>
      </c>
      <c r="B798" t="s">
        <v>167</v>
      </c>
      <c r="C798" s="2">
        <v>44887.451608796298</v>
      </c>
      <c r="D798" t="s">
        <v>81</v>
      </c>
    </row>
    <row r="799" spans="1:4" x14ac:dyDescent="0.25">
      <c r="A799">
        <v>5</v>
      </c>
      <c r="B799" t="s">
        <v>96</v>
      </c>
      <c r="C799" s="2">
        <v>44888.28496527778</v>
      </c>
      <c r="D799" t="s">
        <v>81</v>
      </c>
    </row>
    <row r="800" spans="1:4" x14ac:dyDescent="0.25">
      <c r="A800">
        <v>25</v>
      </c>
      <c r="B800" t="s">
        <v>41</v>
      </c>
      <c r="C800" s="2">
        <v>44888.28497685185</v>
      </c>
      <c r="D800" t="s">
        <v>81</v>
      </c>
    </row>
    <row r="801" spans="1:4" x14ac:dyDescent="0.25">
      <c r="A801">
        <v>26</v>
      </c>
      <c r="B801" t="s">
        <v>159</v>
      </c>
      <c r="C801" s="2">
        <v>44888.28497685185</v>
      </c>
      <c r="D801" t="s">
        <v>81</v>
      </c>
    </row>
    <row r="802" spans="1:4" x14ac:dyDescent="0.25">
      <c r="A802">
        <v>28</v>
      </c>
      <c r="B802" t="s">
        <v>160</v>
      </c>
      <c r="C802" s="2">
        <v>44888.28497685185</v>
      </c>
      <c r="D802" t="s">
        <v>81</v>
      </c>
    </row>
    <row r="803" spans="1:4" x14ac:dyDescent="0.25">
      <c r="A803">
        <v>31</v>
      </c>
      <c r="B803" t="s">
        <v>163</v>
      </c>
      <c r="C803" s="2">
        <v>44888.284988425927</v>
      </c>
      <c r="D803" t="s">
        <v>81</v>
      </c>
    </row>
    <row r="804" spans="1:4" x14ac:dyDescent="0.25">
      <c r="A804">
        <v>5</v>
      </c>
      <c r="B804" t="s">
        <v>96</v>
      </c>
      <c r="C804" s="2">
        <v>44888.295358796298</v>
      </c>
      <c r="D804" t="s">
        <v>81</v>
      </c>
    </row>
    <row r="805" spans="1:4" x14ac:dyDescent="0.25">
      <c r="A805">
        <v>7</v>
      </c>
      <c r="B805" t="s">
        <v>59</v>
      </c>
      <c r="C805" s="2">
        <v>44888.295370370368</v>
      </c>
      <c r="D805" t="s">
        <v>81</v>
      </c>
    </row>
    <row r="806" spans="1:4" x14ac:dyDescent="0.25">
      <c r="A806">
        <v>9</v>
      </c>
      <c r="B806" t="s">
        <v>61</v>
      </c>
      <c r="C806" s="2">
        <v>44888.295370370368</v>
      </c>
      <c r="D806" t="s">
        <v>81</v>
      </c>
    </row>
    <row r="807" spans="1:4" x14ac:dyDescent="0.25">
      <c r="A807">
        <v>10</v>
      </c>
      <c r="B807" t="s">
        <v>62</v>
      </c>
      <c r="C807" s="2">
        <v>44888.295370370368</v>
      </c>
      <c r="D807" t="s">
        <v>81</v>
      </c>
    </row>
    <row r="808" spans="1:4" x14ac:dyDescent="0.25">
      <c r="A808">
        <v>11</v>
      </c>
      <c r="B808" t="s">
        <v>63</v>
      </c>
      <c r="C808" s="2">
        <v>44888.295370370368</v>
      </c>
      <c r="D808" t="s">
        <v>81</v>
      </c>
    </row>
    <row r="809" spans="1:4" x14ac:dyDescent="0.25">
      <c r="A809">
        <v>12</v>
      </c>
      <c r="B809" t="s">
        <v>64</v>
      </c>
      <c r="C809" s="2">
        <v>44888.295370370368</v>
      </c>
      <c r="D809" t="s">
        <v>81</v>
      </c>
    </row>
    <row r="810" spans="1:4" x14ac:dyDescent="0.25">
      <c r="A810">
        <v>13</v>
      </c>
      <c r="B810" t="s">
        <v>65</v>
      </c>
      <c r="C810" s="2">
        <v>44888.295381944445</v>
      </c>
      <c r="D810" t="s">
        <v>81</v>
      </c>
    </row>
    <row r="811" spans="1:4" x14ac:dyDescent="0.25">
      <c r="A811">
        <v>14</v>
      </c>
      <c r="B811" t="s">
        <v>66</v>
      </c>
      <c r="C811" s="2">
        <v>44888.295381944445</v>
      </c>
      <c r="D811" t="s">
        <v>81</v>
      </c>
    </row>
    <row r="812" spans="1:4" x14ac:dyDescent="0.25">
      <c r="A812">
        <v>15</v>
      </c>
      <c r="B812" t="s">
        <v>157</v>
      </c>
      <c r="C812" s="2">
        <v>44888.295381944445</v>
      </c>
      <c r="D812" t="s">
        <v>81</v>
      </c>
    </row>
    <row r="813" spans="1:4" x14ac:dyDescent="0.25">
      <c r="A813">
        <v>16</v>
      </c>
      <c r="B813" t="s">
        <v>68</v>
      </c>
      <c r="C813" s="2">
        <v>44888.295381944445</v>
      </c>
      <c r="D813" t="s">
        <v>81</v>
      </c>
    </row>
    <row r="814" spans="1:4" x14ac:dyDescent="0.25">
      <c r="A814">
        <v>32</v>
      </c>
      <c r="B814" t="s">
        <v>164</v>
      </c>
      <c r="C814" s="2">
        <v>44888.295393518521</v>
      </c>
      <c r="D814" t="s">
        <v>81</v>
      </c>
    </row>
    <row r="815" spans="1:4" x14ac:dyDescent="0.25">
      <c r="A815">
        <v>33</v>
      </c>
      <c r="B815" t="s">
        <v>165</v>
      </c>
      <c r="C815" s="2">
        <v>44888.295393518521</v>
      </c>
      <c r="D815" t="s">
        <v>81</v>
      </c>
    </row>
    <row r="816" spans="1:4" x14ac:dyDescent="0.25">
      <c r="A816">
        <v>34</v>
      </c>
      <c r="B816" t="s">
        <v>67</v>
      </c>
      <c r="C816" s="2">
        <v>44888.295393518521</v>
      </c>
      <c r="D816" t="s">
        <v>81</v>
      </c>
    </row>
    <row r="817" spans="1:4" x14ac:dyDescent="0.25">
      <c r="A817">
        <v>5</v>
      </c>
      <c r="B817" t="s">
        <v>96</v>
      </c>
      <c r="C817" s="2">
        <v>44888.305787037039</v>
      </c>
      <c r="D817" t="s">
        <v>81</v>
      </c>
    </row>
    <row r="818" spans="1:4" x14ac:dyDescent="0.25">
      <c r="A818">
        <v>5</v>
      </c>
      <c r="B818" t="s">
        <v>96</v>
      </c>
      <c r="C818" s="2">
        <v>44888.316203703704</v>
      </c>
      <c r="D818" t="s">
        <v>81</v>
      </c>
    </row>
    <row r="819" spans="1:4" x14ac:dyDescent="0.25">
      <c r="A819">
        <v>5</v>
      </c>
      <c r="B819" t="s">
        <v>96</v>
      </c>
      <c r="C819" s="2">
        <v>44888.326620370368</v>
      </c>
      <c r="D819" t="s">
        <v>81</v>
      </c>
    </row>
    <row r="820" spans="1:4" x14ac:dyDescent="0.25">
      <c r="A820">
        <v>24</v>
      </c>
      <c r="B820" t="s">
        <v>28</v>
      </c>
      <c r="C820" s="2">
        <v>44888.326620370368</v>
      </c>
      <c r="D820" t="s">
        <v>81</v>
      </c>
    </row>
    <row r="821" spans="1:4" x14ac:dyDescent="0.25">
      <c r="A821">
        <v>27</v>
      </c>
      <c r="B821" t="s">
        <v>60</v>
      </c>
      <c r="C821" s="2">
        <v>44888.326631944445</v>
      </c>
      <c r="D821" t="s">
        <v>81</v>
      </c>
    </row>
    <row r="822" spans="1:4" x14ac:dyDescent="0.25">
      <c r="A822">
        <v>29</v>
      </c>
      <c r="B822" t="s">
        <v>161</v>
      </c>
      <c r="C822" s="2">
        <v>44888.326631944445</v>
      </c>
      <c r="D822" t="s">
        <v>81</v>
      </c>
    </row>
    <row r="823" spans="1:4" x14ac:dyDescent="0.25">
      <c r="A823">
        <v>30</v>
      </c>
      <c r="B823" t="s">
        <v>162</v>
      </c>
      <c r="C823" s="2">
        <v>44888.326631944445</v>
      </c>
      <c r="D823" t="s">
        <v>81</v>
      </c>
    </row>
    <row r="824" spans="1:4" x14ac:dyDescent="0.25">
      <c r="A824">
        <v>35</v>
      </c>
      <c r="B824" t="s">
        <v>166</v>
      </c>
      <c r="C824" s="2">
        <v>44888.326631944445</v>
      </c>
      <c r="D824" t="s">
        <v>81</v>
      </c>
    </row>
    <row r="825" spans="1:4" x14ac:dyDescent="0.25">
      <c r="A825">
        <v>5</v>
      </c>
      <c r="B825" t="s">
        <v>96</v>
      </c>
      <c r="C825" s="2">
        <v>44888.337037037039</v>
      </c>
      <c r="D825" t="s">
        <v>81</v>
      </c>
    </row>
    <row r="826" spans="1:4" x14ac:dyDescent="0.25">
      <c r="A826">
        <v>5</v>
      </c>
      <c r="B826" t="s">
        <v>96</v>
      </c>
      <c r="C826" s="2">
        <v>44888.347453703704</v>
      </c>
      <c r="D826" t="s">
        <v>81</v>
      </c>
    </row>
    <row r="827" spans="1:4" x14ac:dyDescent="0.25">
      <c r="A827">
        <v>5</v>
      </c>
      <c r="B827" t="s">
        <v>96</v>
      </c>
      <c r="C827" s="2">
        <v>44888.357870370368</v>
      </c>
      <c r="D827" t="s">
        <v>81</v>
      </c>
    </row>
    <row r="828" spans="1:4" x14ac:dyDescent="0.25">
      <c r="A828">
        <v>5</v>
      </c>
      <c r="B828" t="s">
        <v>96</v>
      </c>
      <c r="C828" s="2">
        <v>44888.368287037039</v>
      </c>
      <c r="D828" t="s">
        <v>81</v>
      </c>
    </row>
    <row r="829" spans="1:4" x14ac:dyDescent="0.25">
      <c r="A829">
        <v>5</v>
      </c>
      <c r="B829" t="s">
        <v>96</v>
      </c>
      <c r="C829" s="2">
        <v>44888.378703703704</v>
      </c>
      <c r="D829" t="s">
        <v>81</v>
      </c>
    </row>
    <row r="830" spans="1:4" x14ac:dyDescent="0.25">
      <c r="A830">
        <v>5</v>
      </c>
      <c r="B830" t="s">
        <v>96</v>
      </c>
      <c r="C830" s="2">
        <v>44888.389120370368</v>
      </c>
      <c r="D830" t="s">
        <v>81</v>
      </c>
    </row>
    <row r="831" spans="1:4" x14ac:dyDescent="0.25">
      <c r="A831">
        <v>5</v>
      </c>
      <c r="B831" t="s">
        <v>96</v>
      </c>
      <c r="C831" s="2">
        <v>44888.399537037039</v>
      </c>
      <c r="D831" t="s">
        <v>81</v>
      </c>
    </row>
    <row r="832" spans="1:4" x14ac:dyDescent="0.25">
      <c r="A832">
        <v>5</v>
      </c>
      <c r="B832" t="s">
        <v>96</v>
      </c>
      <c r="C832" s="2">
        <v>44888.409953703704</v>
      </c>
      <c r="D832" t="s">
        <v>81</v>
      </c>
    </row>
    <row r="833" spans="1:4" x14ac:dyDescent="0.25">
      <c r="A833">
        <v>5</v>
      </c>
      <c r="B833" t="s">
        <v>96</v>
      </c>
      <c r="C833" s="2">
        <v>44888.420370370368</v>
      </c>
      <c r="D833" t="s">
        <v>81</v>
      </c>
    </row>
    <row r="834" spans="1:4" x14ac:dyDescent="0.25">
      <c r="A834">
        <v>5</v>
      </c>
      <c r="B834" t="s">
        <v>96</v>
      </c>
      <c r="C834" s="2">
        <v>44888.430787037039</v>
      </c>
      <c r="D834" t="s">
        <v>81</v>
      </c>
    </row>
    <row r="835" spans="1:4" x14ac:dyDescent="0.25">
      <c r="A835">
        <v>5</v>
      </c>
      <c r="B835" t="s">
        <v>96</v>
      </c>
      <c r="C835" s="2">
        <v>44888.441192129627</v>
      </c>
      <c r="D835" t="s">
        <v>81</v>
      </c>
    </row>
    <row r="836" spans="1:4" x14ac:dyDescent="0.25">
      <c r="A836">
        <v>5</v>
      </c>
      <c r="B836" t="s">
        <v>96</v>
      </c>
      <c r="C836" s="2">
        <v>44888.451620370368</v>
      </c>
      <c r="D836" t="s">
        <v>81</v>
      </c>
    </row>
    <row r="837" spans="1:4" x14ac:dyDescent="0.25">
      <c r="A837">
        <v>5</v>
      </c>
      <c r="B837" t="s">
        <v>96</v>
      </c>
      <c r="C837" s="2">
        <v>44889.28497685185</v>
      </c>
      <c r="D837" t="s">
        <v>81</v>
      </c>
    </row>
    <row r="838" spans="1:4" x14ac:dyDescent="0.25">
      <c r="A838">
        <v>25</v>
      </c>
      <c r="B838" t="s">
        <v>41</v>
      </c>
      <c r="C838" s="2">
        <v>44889.284988425927</v>
      </c>
      <c r="D838" t="s">
        <v>81</v>
      </c>
    </row>
    <row r="839" spans="1:4" x14ac:dyDescent="0.25">
      <c r="A839">
        <v>26</v>
      </c>
      <c r="B839" t="s">
        <v>159</v>
      </c>
      <c r="C839" s="2">
        <v>44889.284988425927</v>
      </c>
      <c r="D839" t="s">
        <v>81</v>
      </c>
    </row>
    <row r="840" spans="1:4" x14ac:dyDescent="0.25">
      <c r="A840">
        <v>27</v>
      </c>
      <c r="B840" t="s">
        <v>60</v>
      </c>
      <c r="C840" s="2">
        <v>44889.284988425927</v>
      </c>
      <c r="D840" t="s">
        <v>81</v>
      </c>
    </row>
    <row r="841" spans="1:4" x14ac:dyDescent="0.25">
      <c r="A841">
        <v>29</v>
      </c>
      <c r="B841" t="s">
        <v>161</v>
      </c>
      <c r="C841" s="2">
        <v>44889.285000000003</v>
      </c>
      <c r="D841" t="s">
        <v>81</v>
      </c>
    </row>
    <row r="842" spans="1:4" x14ac:dyDescent="0.25">
      <c r="A842">
        <v>30</v>
      </c>
      <c r="B842" t="s">
        <v>162</v>
      </c>
      <c r="C842" s="2">
        <v>44889.285000000003</v>
      </c>
      <c r="D842" t="s">
        <v>81</v>
      </c>
    </row>
    <row r="843" spans="1:4" x14ac:dyDescent="0.25">
      <c r="A843">
        <v>31</v>
      </c>
      <c r="B843" t="s">
        <v>163</v>
      </c>
      <c r="C843" s="2">
        <v>44889.285000000003</v>
      </c>
      <c r="D843" t="s">
        <v>81</v>
      </c>
    </row>
    <row r="844" spans="1:4" x14ac:dyDescent="0.25">
      <c r="A844">
        <v>5</v>
      </c>
      <c r="B844" t="s">
        <v>96</v>
      </c>
      <c r="C844" s="2">
        <v>44889.295370370368</v>
      </c>
      <c r="D844" t="s">
        <v>81</v>
      </c>
    </row>
    <row r="845" spans="1:4" x14ac:dyDescent="0.25">
      <c r="A845">
        <v>7</v>
      </c>
      <c r="B845" t="s">
        <v>59</v>
      </c>
      <c r="C845" s="2">
        <v>44889.295370370368</v>
      </c>
      <c r="D845" t="s">
        <v>81</v>
      </c>
    </row>
    <row r="846" spans="1:4" x14ac:dyDescent="0.25">
      <c r="A846">
        <v>9</v>
      </c>
      <c r="B846" t="s">
        <v>61</v>
      </c>
      <c r="C846" s="2">
        <v>44889.295370370368</v>
      </c>
      <c r="D846" t="s">
        <v>81</v>
      </c>
    </row>
    <row r="847" spans="1:4" x14ac:dyDescent="0.25">
      <c r="A847">
        <v>10</v>
      </c>
      <c r="B847" t="s">
        <v>62</v>
      </c>
      <c r="C847" s="2">
        <v>44889.295370370368</v>
      </c>
      <c r="D847" t="s">
        <v>81</v>
      </c>
    </row>
    <row r="848" spans="1:4" x14ac:dyDescent="0.25">
      <c r="A848">
        <v>11</v>
      </c>
      <c r="B848" t="s">
        <v>63</v>
      </c>
      <c r="C848" s="2">
        <v>44889.295381944445</v>
      </c>
      <c r="D848" t="s">
        <v>81</v>
      </c>
    </row>
    <row r="849" spans="1:4" x14ac:dyDescent="0.25">
      <c r="A849">
        <v>12</v>
      </c>
      <c r="B849" t="s">
        <v>64</v>
      </c>
      <c r="C849" s="2">
        <v>44889.295381944445</v>
      </c>
      <c r="D849" t="s">
        <v>81</v>
      </c>
    </row>
    <row r="850" spans="1:4" x14ac:dyDescent="0.25">
      <c r="A850">
        <v>13</v>
      </c>
      <c r="B850" t="s">
        <v>65</v>
      </c>
      <c r="C850" s="2">
        <v>44889.295381944445</v>
      </c>
      <c r="D850" t="s">
        <v>81</v>
      </c>
    </row>
    <row r="851" spans="1:4" x14ac:dyDescent="0.25">
      <c r="A851">
        <v>14</v>
      </c>
      <c r="B851" t="s">
        <v>66</v>
      </c>
      <c r="C851" s="2">
        <v>44889.295381944445</v>
      </c>
      <c r="D851" t="s">
        <v>81</v>
      </c>
    </row>
    <row r="852" spans="1:4" x14ac:dyDescent="0.25">
      <c r="A852">
        <v>15</v>
      </c>
      <c r="B852" t="s">
        <v>157</v>
      </c>
      <c r="C852" s="2">
        <v>44889.295381944445</v>
      </c>
      <c r="D852" t="s">
        <v>81</v>
      </c>
    </row>
    <row r="853" spans="1:4" x14ac:dyDescent="0.25">
      <c r="A853">
        <v>16</v>
      </c>
      <c r="B853" t="s">
        <v>68</v>
      </c>
      <c r="C853" s="2">
        <v>44889.295381944445</v>
      </c>
      <c r="D853" t="s">
        <v>81</v>
      </c>
    </row>
    <row r="854" spans="1:4" x14ac:dyDescent="0.25">
      <c r="A854">
        <v>32</v>
      </c>
      <c r="B854" t="s">
        <v>164</v>
      </c>
      <c r="C854" s="2">
        <v>44889.295393518521</v>
      </c>
      <c r="D854" t="s">
        <v>81</v>
      </c>
    </row>
    <row r="855" spans="1:4" x14ac:dyDescent="0.25">
      <c r="A855">
        <v>34</v>
      </c>
      <c r="B855" t="s">
        <v>67</v>
      </c>
      <c r="C855" s="2">
        <v>44889.295393518521</v>
      </c>
      <c r="D855" t="s">
        <v>81</v>
      </c>
    </row>
    <row r="856" spans="1:4" x14ac:dyDescent="0.25">
      <c r="A856">
        <v>35</v>
      </c>
      <c r="B856" t="s">
        <v>166</v>
      </c>
      <c r="C856" s="2">
        <v>44889.295393518521</v>
      </c>
      <c r="D856" t="s">
        <v>81</v>
      </c>
    </row>
    <row r="857" spans="1:4" x14ac:dyDescent="0.25">
      <c r="A857">
        <v>5</v>
      </c>
      <c r="B857" t="s">
        <v>96</v>
      </c>
      <c r="C857" s="2">
        <v>44889.305787037039</v>
      </c>
      <c r="D857" t="s">
        <v>81</v>
      </c>
    </row>
    <row r="858" spans="1:4" x14ac:dyDescent="0.25">
      <c r="A858">
        <v>5</v>
      </c>
      <c r="B858" t="s">
        <v>96</v>
      </c>
      <c r="C858" s="2">
        <v>44889.316203703704</v>
      </c>
      <c r="D858" t="s">
        <v>81</v>
      </c>
    </row>
    <row r="859" spans="1:4" x14ac:dyDescent="0.25">
      <c r="A859">
        <v>24</v>
      </c>
      <c r="B859" t="s">
        <v>28</v>
      </c>
      <c r="C859" s="2">
        <v>44889.31621527778</v>
      </c>
      <c r="D859" t="s">
        <v>81</v>
      </c>
    </row>
    <row r="860" spans="1:4" x14ac:dyDescent="0.25">
      <c r="A860">
        <v>28</v>
      </c>
      <c r="B860" t="s">
        <v>160</v>
      </c>
      <c r="C860" s="2">
        <v>44889.31621527778</v>
      </c>
      <c r="D860" t="s">
        <v>81</v>
      </c>
    </row>
    <row r="861" spans="1:4" x14ac:dyDescent="0.25">
      <c r="A861">
        <v>33</v>
      </c>
      <c r="B861" t="s">
        <v>165</v>
      </c>
      <c r="C861" s="2">
        <v>44889.31622685185</v>
      </c>
      <c r="D861" t="s">
        <v>81</v>
      </c>
    </row>
    <row r="862" spans="1:4" x14ac:dyDescent="0.25">
      <c r="A862">
        <v>5</v>
      </c>
      <c r="B862" t="s">
        <v>96</v>
      </c>
      <c r="C862" s="2">
        <v>44889.326608796298</v>
      </c>
      <c r="D862" t="s">
        <v>81</v>
      </c>
    </row>
    <row r="863" spans="1:4" x14ac:dyDescent="0.25">
      <c r="A863">
        <v>5</v>
      </c>
      <c r="B863" t="s">
        <v>96</v>
      </c>
      <c r="C863" s="2">
        <v>44889.337025462963</v>
      </c>
      <c r="D863" t="s">
        <v>81</v>
      </c>
    </row>
    <row r="864" spans="1:4" x14ac:dyDescent="0.25">
      <c r="A864">
        <v>5</v>
      </c>
      <c r="B864" t="s">
        <v>96</v>
      </c>
      <c r="C864" s="2">
        <v>44889.347442129627</v>
      </c>
      <c r="D864" t="s">
        <v>81</v>
      </c>
    </row>
    <row r="865" spans="1:4" x14ac:dyDescent="0.25">
      <c r="A865">
        <v>5</v>
      </c>
      <c r="B865" t="s">
        <v>96</v>
      </c>
      <c r="C865" s="2">
        <v>44889.357858796298</v>
      </c>
      <c r="D865" t="s">
        <v>81</v>
      </c>
    </row>
    <row r="866" spans="1:4" x14ac:dyDescent="0.25">
      <c r="A866">
        <v>1</v>
      </c>
      <c r="B866" t="s">
        <v>6</v>
      </c>
      <c r="C866" s="2">
        <v>44889.368298611109</v>
      </c>
      <c r="D866" t="s">
        <v>81</v>
      </c>
    </row>
    <row r="867" spans="1:4" x14ac:dyDescent="0.25">
      <c r="A867">
        <v>5</v>
      </c>
      <c r="B867" t="s">
        <v>167</v>
      </c>
      <c r="C867" s="2">
        <v>44889.368298611109</v>
      </c>
      <c r="D867" t="s">
        <v>81</v>
      </c>
    </row>
    <row r="868" spans="1:4" x14ac:dyDescent="0.25">
      <c r="A868">
        <v>5</v>
      </c>
      <c r="B868" t="s">
        <v>167</v>
      </c>
      <c r="C868" s="2">
        <v>44889.378692129627</v>
      </c>
      <c r="D868" t="s">
        <v>81</v>
      </c>
    </row>
    <row r="869" spans="1:4" x14ac:dyDescent="0.25">
      <c r="A869">
        <v>5</v>
      </c>
      <c r="B869" t="s">
        <v>167</v>
      </c>
      <c r="C869" s="2">
        <v>44889.389108796298</v>
      </c>
      <c r="D869" t="s">
        <v>81</v>
      </c>
    </row>
    <row r="870" spans="1:4" x14ac:dyDescent="0.25">
      <c r="A870">
        <v>5</v>
      </c>
      <c r="B870" t="s">
        <v>167</v>
      </c>
      <c r="C870" s="2">
        <v>44889.399525462963</v>
      </c>
      <c r="D870" t="s">
        <v>81</v>
      </c>
    </row>
    <row r="871" spans="1:4" x14ac:dyDescent="0.25">
      <c r="A871">
        <v>5</v>
      </c>
      <c r="B871" t="s">
        <v>167</v>
      </c>
      <c r="C871" s="2">
        <v>44889.409942129627</v>
      </c>
      <c r="D871" t="s">
        <v>81</v>
      </c>
    </row>
    <row r="872" spans="1:4" x14ac:dyDescent="0.25">
      <c r="A872">
        <v>5</v>
      </c>
      <c r="B872" t="s">
        <v>167</v>
      </c>
      <c r="C872" s="2">
        <v>44889.420370370368</v>
      </c>
      <c r="D872" t="s">
        <v>81</v>
      </c>
    </row>
    <row r="873" spans="1:4" x14ac:dyDescent="0.25">
      <c r="A873">
        <v>5</v>
      </c>
      <c r="B873" t="s">
        <v>167</v>
      </c>
      <c r="C873" s="2">
        <v>44889.430775462963</v>
      </c>
      <c r="D873" t="s">
        <v>81</v>
      </c>
    </row>
    <row r="874" spans="1:4" x14ac:dyDescent="0.25">
      <c r="A874">
        <v>5</v>
      </c>
      <c r="B874" t="s">
        <v>167</v>
      </c>
      <c r="C874" s="2">
        <v>44889.441192129627</v>
      </c>
      <c r="D874" t="s">
        <v>81</v>
      </c>
    </row>
    <row r="875" spans="1:4" x14ac:dyDescent="0.25">
      <c r="A875">
        <v>5</v>
      </c>
      <c r="B875" t="s">
        <v>167</v>
      </c>
      <c r="C875" s="2">
        <v>44889.451608796298</v>
      </c>
      <c r="D875" t="s">
        <v>81</v>
      </c>
    </row>
    <row r="876" spans="1:4" x14ac:dyDescent="0.25">
      <c r="A876">
        <v>5</v>
      </c>
      <c r="B876" t="s">
        <v>96</v>
      </c>
      <c r="C876" s="2">
        <v>44890.28497685185</v>
      </c>
      <c r="D876" t="s">
        <v>81</v>
      </c>
    </row>
    <row r="877" spans="1:4" x14ac:dyDescent="0.25">
      <c r="A877">
        <v>24</v>
      </c>
      <c r="B877" t="s">
        <v>28</v>
      </c>
      <c r="C877" s="2">
        <v>44890.284988425927</v>
      </c>
      <c r="D877" t="s">
        <v>81</v>
      </c>
    </row>
    <row r="878" spans="1:4" x14ac:dyDescent="0.25">
      <c r="A878">
        <v>25</v>
      </c>
      <c r="B878" t="s">
        <v>41</v>
      </c>
      <c r="C878" s="2">
        <v>44890.284988425927</v>
      </c>
      <c r="D878" t="s">
        <v>81</v>
      </c>
    </row>
    <row r="879" spans="1:4" x14ac:dyDescent="0.25">
      <c r="A879">
        <v>27</v>
      </c>
      <c r="B879" t="s">
        <v>60</v>
      </c>
      <c r="C879" s="2">
        <v>44890.285000000003</v>
      </c>
      <c r="D879" t="s">
        <v>81</v>
      </c>
    </row>
    <row r="880" spans="1:4" x14ac:dyDescent="0.25">
      <c r="A880">
        <v>28</v>
      </c>
      <c r="B880" t="s">
        <v>160</v>
      </c>
      <c r="C880" s="2">
        <v>44890.285000000003</v>
      </c>
      <c r="D880" t="s">
        <v>81</v>
      </c>
    </row>
    <row r="881" spans="1:4" x14ac:dyDescent="0.25">
      <c r="A881">
        <v>29</v>
      </c>
      <c r="B881" t="s">
        <v>161</v>
      </c>
      <c r="C881" s="2">
        <v>44890.285000000003</v>
      </c>
      <c r="D881" t="s">
        <v>81</v>
      </c>
    </row>
    <row r="882" spans="1:4" x14ac:dyDescent="0.25">
      <c r="A882">
        <v>30</v>
      </c>
      <c r="B882" t="s">
        <v>162</v>
      </c>
      <c r="C882" s="2">
        <v>44890.285000000003</v>
      </c>
      <c r="D882" t="s">
        <v>81</v>
      </c>
    </row>
    <row r="883" spans="1:4" x14ac:dyDescent="0.25">
      <c r="A883">
        <v>31</v>
      </c>
      <c r="B883" t="s">
        <v>163</v>
      </c>
      <c r="C883" s="2">
        <v>44890.285000000003</v>
      </c>
      <c r="D883" t="s">
        <v>81</v>
      </c>
    </row>
    <row r="884" spans="1:4" x14ac:dyDescent="0.25">
      <c r="A884">
        <v>5</v>
      </c>
      <c r="B884" t="s">
        <v>96</v>
      </c>
      <c r="C884" s="2">
        <v>44890.295370370368</v>
      </c>
      <c r="D884" t="s">
        <v>81</v>
      </c>
    </row>
    <row r="885" spans="1:4" x14ac:dyDescent="0.25">
      <c r="A885">
        <v>7</v>
      </c>
      <c r="B885" t="s">
        <v>59</v>
      </c>
      <c r="C885" s="2">
        <v>44890.295370370368</v>
      </c>
      <c r="D885" t="s">
        <v>81</v>
      </c>
    </row>
    <row r="886" spans="1:4" x14ac:dyDescent="0.25">
      <c r="A886">
        <v>9</v>
      </c>
      <c r="B886" t="s">
        <v>61</v>
      </c>
      <c r="C886" s="2">
        <v>44890.295370370368</v>
      </c>
      <c r="D886" t="s">
        <v>81</v>
      </c>
    </row>
    <row r="887" spans="1:4" x14ac:dyDescent="0.25">
      <c r="A887">
        <v>10</v>
      </c>
      <c r="B887" t="s">
        <v>62</v>
      </c>
      <c r="C887" s="2">
        <v>44890.295370370368</v>
      </c>
      <c r="D887" t="s">
        <v>81</v>
      </c>
    </row>
    <row r="888" spans="1:4" x14ac:dyDescent="0.25">
      <c r="A888">
        <v>11</v>
      </c>
      <c r="B888" t="s">
        <v>63</v>
      </c>
      <c r="C888" s="2">
        <v>44890.295381944445</v>
      </c>
      <c r="D888" t="s">
        <v>81</v>
      </c>
    </row>
    <row r="889" spans="1:4" x14ac:dyDescent="0.25">
      <c r="A889">
        <v>12</v>
      </c>
      <c r="B889" t="s">
        <v>64</v>
      </c>
      <c r="C889" s="2">
        <v>44890.295381944445</v>
      </c>
      <c r="D889" t="s">
        <v>81</v>
      </c>
    </row>
    <row r="890" spans="1:4" x14ac:dyDescent="0.25">
      <c r="A890">
        <v>13</v>
      </c>
      <c r="B890" t="s">
        <v>65</v>
      </c>
      <c r="C890" s="2">
        <v>44890.295381944445</v>
      </c>
      <c r="D890" t="s">
        <v>81</v>
      </c>
    </row>
    <row r="891" spans="1:4" x14ac:dyDescent="0.25">
      <c r="A891">
        <v>14</v>
      </c>
      <c r="B891" t="s">
        <v>66</v>
      </c>
      <c r="C891" s="2">
        <v>44890.295381944445</v>
      </c>
      <c r="D891" t="s">
        <v>81</v>
      </c>
    </row>
    <row r="892" spans="1:4" x14ac:dyDescent="0.25">
      <c r="A892">
        <v>15</v>
      </c>
      <c r="B892" t="s">
        <v>157</v>
      </c>
      <c r="C892" s="2">
        <v>44890.295381944445</v>
      </c>
      <c r="D892" t="s">
        <v>81</v>
      </c>
    </row>
    <row r="893" spans="1:4" x14ac:dyDescent="0.25">
      <c r="A893">
        <v>16</v>
      </c>
      <c r="B893" t="s">
        <v>68</v>
      </c>
      <c r="C893" s="2">
        <v>44890.295381944445</v>
      </c>
      <c r="D893" t="s">
        <v>81</v>
      </c>
    </row>
    <row r="894" spans="1:4" x14ac:dyDescent="0.25">
      <c r="A894">
        <v>35</v>
      </c>
      <c r="B894" t="s">
        <v>166</v>
      </c>
      <c r="C894" s="2">
        <v>44890.295393518521</v>
      </c>
      <c r="D894" t="s">
        <v>81</v>
      </c>
    </row>
    <row r="895" spans="1:4" x14ac:dyDescent="0.25">
      <c r="A895">
        <v>5</v>
      </c>
      <c r="B895" t="s">
        <v>96</v>
      </c>
      <c r="C895" s="2">
        <v>44890.305787037039</v>
      </c>
      <c r="D895" t="s">
        <v>81</v>
      </c>
    </row>
    <row r="896" spans="1:4" x14ac:dyDescent="0.25">
      <c r="A896">
        <v>5</v>
      </c>
      <c r="B896" t="s">
        <v>96</v>
      </c>
      <c r="C896" s="2">
        <v>44890.316203703704</v>
      </c>
      <c r="D896" t="s">
        <v>81</v>
      </c>
    </row>
    <row r="897" spans="1:4" x14ac:dyDescent="0.25">
      <c r="A897">
        <v>26</v>
      </c>
      <c r="B897" t="s">
        <v>159</v>
      </c>
      <c r="C897" s="2">
        <v>44890.31621527778</v>
      </c>
      <c r="D897" t="s">
        <v>81</v>
      </c>
    </row>
    <row r="898" spans="1:4" x14ac:dyDescent="0.25">
      <c r="A898">
        <v>32</v>
      </c>
      <c r="B898" t="s">
        <v>164</v>
      </c>
      <c r="C898" s="2">
        <v>44890.31621527778</v>
      </c>
      <c r="D898" t="s">
        <v>81</v>
      </c>
    </row>
    <row r="899" spans="1:4" x14ac:dyDescent="0.25">
      <c r="A899">
        <v>33</v>
      </c>
      <c r="B899" t="s">
        <v>165</v>
      </c>
      <c r="C899" s="2">
        <v>44890.31621527778</v>
      </c>
      <c r="D899" t="s">
        <v>81</v>
      </c>
    </row>
    <row r="900" spans="1:4" x14ac:dyDescent="0.25">
      <c r="A900">
        <v>34</v>
      </c>
      <c r="B900" t="s">
        <v>67</v>
      </c>
      <c r="C900" s="2">
        <v>44890.31621527778</v>
      </c>
      <c r="D900" t="s">
        <v>81</v>
      </c>
    </row>
    <row r="901" spans="1:4" x14ac:dyDescent="0.25">
      <c r="A901">
        <v>5</v>
      </c>
      <c r="B901" t="s">
        <v>96</v>
      </c>
      <c r="C901" s="2">
        <v>44890.326620370368</v>
      </c>
      <c r="D901" t="s">
        <v>81</v>
      </c>
    </row>
    <row r="902" spans="1:4" x14ac:dyDescent="0.25">
      <c r="A902">
        <v>5</v>
      </c>
      <c r="B902" t="s">
        <v>96</v>
      </c>
      <c r="C902" s="2">
        <v>44890.337025462963</v>
      </c>
      <c r="D902" t="s">
        <v>81</v>
      </c>
    </row>
    <row r="903" spans="1:4" x14ac:dyDescent="0.25">
      <c r="A903">
        <v>5</v>
      </c>
      <c r="B903" t="s">
        <v>96</v>
      </c>
      <c r="C903" s="2">
        <v>44890.347453703704</v>
      </c>
      <c r="D903" t="s">
        <v>81</v>
      </c>
    </row>
    <row r="904" spans="1:4" x14ac:dyDescent="0.25">
      <c r="A904">
        <v>5</v>
      </c>
      <c r="B904" t="s">
        <v>96</v>
      </c>
      <c r="C904" s="2">
        <v>44890.357858796298</v>
      </c>
      <c r="D904" t="s">
        <v>81</v>
      </c>
    </row>
    <row r="905" spans="1:4" x14ac:dyDescent="0.25">
      <c r="A905">
        <v>1</v>
      </c>
      <c r="B905" t="s">
        <v>6</v>
      </c>
      <c r="C905" s="2">
        <v>44890.368298611109</v>
      </c>
      <c r="D905" t="s">
        <v>81</v>
      </c>
    </row>
    <row r="906" spans="1:4" x14ac:dyDescent="0.25">
      <c r="A906">
        <v>5</v>
      </c>
      <c r="B906" t="s">
        <v>167</v>
      </c>
      <c r="C906" s="2">
        <v>44890.368310185186</v>
      </c>
      <c r="D906" t="s">
        <v>81</v>
      </c>
    </row>
    <row r="907" spans="1:4" x14ac:dyDescent="0.25">
      <c r="A907">
        <v>5</v>
      </c>
      <c r="B907" t="s">
        <v>167</v>
      </c>
      <c r="C907" s="2">
        <v>44890.378703703704</v>
      </c>
      <c r="D907" t="s">
        <v>81</v>
      </c>
    </row>
    <row r="908" spans="1:4" x14ac:dyDescent="0.25">
      <c r="A908">
        <v>5</v>
      </c>
      <c r="B908" t="s">
        <v>167</v>
      </c>
      <c r="C908" s="2">
        <v>44890.389108796298</v>
      </c>
      <c r="D908" t="s">
        <v>81</v>
      </c>
    </row>
    <row r="909" spans="1:4" x14ac:dyDescent="0.25">
      <c r="A909">
        <v>5</v>
      </c>
      <c r="B909" t="s">
        <v>167</v>
      </c>
      <c r="C909" s="2">
        <v>44890.399525462963</v>
      </c>
      <c r="D909" t="s">
        <v>81</v>
      </c>
    </row>
    <row r="910" spans="1:4" x14ac:dyDescent="0.25">
      <c r="A910">
        <v>5</v>
      </c>
      <c r="B910" t="s">
        <v>167</v>
      </c>
      <c r="C910" s="2">
        <v>44890.409942129627</v>
      </c>
      <c r="D910" t="s">
        <v>81</v>
      </c>
    </row>
    <row r="911" spans="1:4" x14ac:dyDescent="0.25">
      <c r="A911">
        <v>5</v>
      </c>
      <c r="B911" t="s">
        <v>167</v>
      </c>
      <c r="C911" s="2">
        <v>44890.420370370368</v>
      </c>
      <c r="D911" t="s">
        <v>81</v>
      </c>
    </row>
    <row r="912" spans="1:4" x14ac:dyDescent="0.25">
      <c r="A912">
        <v>5</v>
      </c>
      <c r="B912" t="s">
        <v>167</v>
      </c>
      <c r="C912" s="2">
        <v>44890.430775462963</v>
      </c>
      <c r="D912" t="s">
        <v>81</v>
      </c>
    </row>
    <row r="913" spans="1:4" x14ac:dyDescent="0.25">
      <c r="A913">
        <v>5</v>
      </c>
      <c r="B913" t="s">
        <v>167</v>
      </c>
      <c r="C913" s="2">
        <v>44890.441192129627</v>
      </c>
      <c r="D913" t="s">
        <v>81</v>
      </c>
    </row>
    <row r="914" spans="1:4" x14ac:dyDescent="0.25">
      <c r="A914">
        <v>5</v>
      </c>
      <c r="B914" t="s">
        <v>167</v>
      </c>
      <c r="C914" s="2">
        <v>44890.451620370368</v>
      </c>
      <c r="D914" t="s">
        <v>81</v>
      </c>
    </row>
    <row r="915" spans="1:4" x14ac:dyDescent="0.25">
      <c r="A915">
        <v>5</v>
      </c>
      <c r="B915" t="s">
        <v>96</v>
      </c>
      <c r="C915" s="2">
        <v>44891.284988425927</v>
      </c>
      <c r="D915" t="s">
        <v>81</v>
      </c>
    </row>
    <row r="916" spans="1:4" x14ac:dyDescent="0.25">
      <c r="A916">
        <v>24</v>
      </c>
      <c r="B916" t="s">
        <v>28</v>
      </c>
      <c r="C916" s="2">
        <v>44891.285000000003</v>
      </c>
      <c r="D916" t="s">
        <v>81</v>
      </c>
    </row>
    <row r="917" spans="1:4" x14ac:dyDescent="0.25">
      <c r="A917">
        <v>25</v>
      </c>
      <c r="B917" t="s">
        <v>41</v>
      </c>
      <c r="C917" s="2">
        <v>44891.285000000003</v>
      </c>
      <c r="D917" t="s">
        <v>81</v>
      </c>
    </row>
    <row r="918" spans="1:4" x14ac:dyDescent="0.25">
      <c r="A918">
        <v>26</v>
      </c>
      <c r="B918" t="s">
        <v>159</v>
      </c>
      <c r="C918" s="2">
        <v>44891.285011574073</v>
      </c>
      <c r="D918" t="s">
        <v>81</v>
      </c>
    </row>
    <row r="919" spans="1:4" x14ac:dyDescent="0.25">
      <c r="A919">
        <v>27</v>
      </c>
      <c r="B919" t="s">
        <v>60</v>
      </c>
      <c r="C919" s="2">
        <v>44891.285011574073</v>
      </c>
      <c r="D919" t="s">
        <v>81</v>
      </c>
    </row>
    <row r="920" spans="1:4" x14ac:dyDescent="0.25">
      <c r="A920">
        <v>28</v>
      </c>
      <c r="B920" t="s">
        <v>160</v>
      </c>
      <c r="C920" s="2">
        <v>44891.285011574073</v>
      </c>
      <c r="D920" t="s">
        <v>81</v>
      </c>
    </row>
    <row r="921" spans="1:4" x14ac:dyDescent="0.25">
      <c r="A921">
        <v>29</v>
      </c>
      <c r="B921" t="s">
        <v>161</v>
      </c>
      <c r="C921" s="2">
        <v>44891.285011574073</v>
      </c>
      <c r="D921" t="s">
        <v>81</v>
      </c>
    </row>
    <row r="922" spans="1:4" x14ac:dyDescent="0.25">
      <c r="A922">
        <v>30</v>
      </c>
      <c r="B922" t="s">
        <v>162</v>
      </c>
      <c r="C922" s="2">
        <v>44891.285011574073</v>
      </c>
      <c r="D922" t="s">
        <v>81</v>
      </c>
    </row>
    <row r="923" spans="1:4" x14ac:dyDescent="0.25">
      <c r="A923">
        <v>31</v>
      </c>
      <c r="B923" t="s">
        <v>163</v>
      </c>
      <c r="C923" s="2">
        <v>44891.285011574073</v>
      </c>
      <c r="D923" t="s">
        <v>81</v>
      </c>
    </row>
    <row r="924" spans="1:4" x14ac:dyDescent="0.25">
      <c r="A924">
        <v>5</v>
      </c>
      <c r="B924" t="s">
        <v>96</v>
      </c>
      <c r="C924" s="2">
        <v>44891.295381944445</v>
      </c>
      <c r="D924" t="s">
        <v>81</v>
      </c>
    </row>
    <row r="925" spans="1:4" x14ac:dyDescent="0.25">
      <c r="A925">
        <v>7</v>
      </c>
      <c r="B925" t="s">
        <v>59</v>
      </c>
      <c r="C925" s="2">
        <v>44891.295393518521</v>
      </c>
      <c r="D925" t="s">
        <v>81</v>
      </c>
    </row>
    <row r="926" spans="1:4" x14ac:dyDescent="0.25">
      <c r="A926">
        <v>9</v>
      </c>
      <c r="B926" t="s">
        <v>61</v>
      </c>
      <c r="C926" s="2">
        <v>44891.295393518521</v>
      </c>
      <c r="D926" t="s">
        <v>81</v>
      </c>
    </row>
    <row r="927" spans="1:4" x14ac:dyDescent="0.25">
      <c r="A927">
        <v>10</v>
      </c>
      <c r="B927" t="s">
        <v>62</v>
      </c>
      <c r="C927" s="2">
        <v>44891.295393518521</v>
      </c>
      <c r="D927" t="s">
        <v>81</v>
      </c>
    </row>
    <row r="928" spans="1:4" x14ac:dyDescent="0.25">
      <c r="A928">
        <v>11</v>
      </c>
      <c r="B928" t="s">
        <v>63</v>
      </c>
      <c r="C928" s="2">
        <v>44891.295393518521</v>
      </c>
      <c r="D928" t="s">
        <v>81</v>
      </c>
    </row>
    <row r="929" spans="1:4" x14ac:dyDescent="0.25">
      <c r="A929">
        <v>12</v>
      </c>
      <c r="B929" t="s">
        <v>64</v>
      </c>
      <c r="C929" s="2">
        <v>44891.295393518521</v>
      </c>
      <c r="D929" t="s">
        <v>81</v>
      </c>
    </row>
    <row r="930" spans="1:4" x14ac:dyDescent="0.25">
      <c r="A930">
        <v>13</v>
      </c>
      <c r="B930" t="s">
        <v>65</v>
      </c>
      <c r="C930" s="2">
        <v>44891.295405092591</v>
      </c>
      <c r="D930" t="s">
        <v>81</v>
      </c>
    </row>
    <row r="931" spans="1:4" x14ac:dyDescent="0.25">
      <c r="A931">
        <v>14</v>
      </c>
      <c r="B931" t="s">
        <v>66</v>
      </c>
      <c r="C931" s="2">
        <v>44891.295405092591</v>
      </c>
      <c r="D931" t="s">
        <v>81</v>
      </c>
    </row>
    <row r="932" spans="1:4" x14ac:dyDescent="0.25">
      <c r="A932">
        <v>15</v>
      </c>
      <c r="B932" t="s">
        <v>157</v>
      </c>
      <c r="C932" s="2">
        <v>44891.295405092591</v>
      </c>
      <c r="D932" t="s">
        <v>81</v>
      </c>
    </row>
    <row r="933" spans="1:4" x14ac:dyDescent="0.25">
      <c r="A933">
        <v>16</v>
      </c>
      <c r="B933" t="s">
        <v>68</v>
      </c>
      <c r="C933" s="2">
        <v>44891.295405092591</v>
      </c>
      <c r="D933" t="s">
        <v>81</v>
      </c>
    </row>
    <row r="934" spans="1:4" x14ac:dyDescent="0.25">
      <c r="A934">
        <v>32</v>
      </c>
      <c r="B934" t="s">
        <v>164</v>
      </c>
      <c r="C934" s="2">
        <v>44891.295416666668</v>
      </c>
      <c r="D934" t="s">
        <v>81</v>
      </c>
    </row>
    <row r="935" spans="1:4" x14ac:dyDescent="0.25">
      <c r="A935">
        <v>34</v>
      </c>
      <c r="B935" t="s">
        <v>67</v>
      </c>
      <c r="C935" s="2">
        <v>44891.295416666668</v>
      </c>
      <c r="D935" t="s">
        <v>81</v>
      </c>
    </row>
    <row r="936" spans="1:4" x14ac:dyDescent="0.25">
      <c r="A936">
        <v>35</v>
      </c>
      <c r="B936" t="s">
        <v>166</v>
      </c>
      <c r="C936" s="2">
        <v>44891.295416666668</v>
      </c>
      <c r="D936" t="s">
        <v>81</v>
      </c>
    </row>
    <row r="937" spans="1:4" x14ac:dyDescent="0.25">
      <c r="A937">
        <v>5</v>
      </c>
      <c r="B937" t="s">
        <v>96</v>
      </c>
      <c r="C937" s="2">
        <v>44891.305810185186</v>
      </c>
      <c r="D937" t="s">
        <v>81</v>
      </c>
    </row>
    <row r="938" spans="1:4" x14ac:dyDescent="0.25">
      <c r="A938">
        <v>5</v>
      </c>
      <c r="B938" t="s">
        <v>96</v>
      </c>
      <c r="C938" s="2">
        <v>44891.31622685185</v>
      </c>
      <c r="D938" t="s">
        <v>81</v>
      </c>
    </row>
    <row r="939" spans="1:4" x14ac:dyDescent="0.25">
      <c r="A939">
        <v>33</v>
      </c>
      <c r="B939" t="s">
        <v>165</v>
      </c>
      <c r="C939" s="2">
        <v>44891.316238425927</v>
      </c>
      <c r="D939" t="s">
        <v>81</v>
      </c>
    </row>
    <row r="940" spans="1:4" x14ac:dyDescent="0.25">
      <c r="A940">
        <v>5</v>
      </c>
      <c r="B940" t="s">
        <v>96</v>
      </c>
      <c r="C940" s="2">
        <v>44891.326631944445</v>
      </c>
      <c r="D940" t="s">
        <v>81</v>
      </c>
    </row>
    <row r="941" spans="1:4" x14ac:dyDescent="0.25">
      <c r="A941">
        <v>5</v>
      </c>
      <c r="B941" t="s">
        <v>96</v>
      </c>
      <c r="C941" s="2">
        <v>44891.337048611109</v>
      </c>
      <c r="D941" t="s">
        <v>81</v>
      </c>
    </row>
    <row r="942" spans="1:4" x14ac:dyDescent="0.25">
      <c r="A942">
        <v>5</v>
      </c>
      <c r="B942" t="s">
        <v>96</v>
      </c>
      <c r="C942" s="2">
        <v>44891.34746527778</v>
      </c>
      <c r="D942" t="s">
        <v>81</v>
      </c>
    </row>
    <row r="943" spans="1:4" x14ac:dyDescent="0.25">
      <c r="A943">
        <v>5</v>
      </c>
      <c r="B943" t="s">
        <v>96</v>
      </c>
      <c r="C943" s="2">
        <v>44891.357881944445</v>
      </c>
      <c r="D943" t="s">
        <v>81</v>
      </c>
    </row>
    <row r="944" spans="1:4" x14ac:dyDescent="0.25">
      <c r="A944">
        <v>1</v>
      </c>
      <c r="B944" t="s">
        <v>6</v>
      </c>
      <c r="C944" s="2">
        <v>44891.368333333332</v>
      </c>
      <c r="D944" t="s">
        <v>81</v>
      </c>
    </row>
    <row r="945" spans="1:4" x14ac:dyDescent="0.25">
      <c r="A945">
        <v>5</v>
      </c>
      <c r="B945" t="s">
        <v>167</v>
      </c>
      <c r="C945" s="2">
        <v>44891.368333333332</v>
      </c>
      <c r="D945" t="s">
        <v>81</v>
      </c>
    </row>
    <row r="946" spans="1:4" x14ac:dyDescent="0.25">
      <c r="A946">
        <v>5</v>
      </c>
      <c r="B946" t="s">
        <v>167</v>
      </c>
      <c r="C946" s="2">
        <v>44891.37871527778</v>
      </c>
      <c r="D946" t="s">
        <v>81</v>
      </c>
    </row>
    <row r="947" spans="1:4" x14ac:dyDescent="0.25">
      <c r="A947">
        <v>5</v>
      </c>
      <c r="B947" t="s">
        <v>167</v>
      </c>
      <c r="C947" s="2">
        <v>44891.389131944445</v>
      </c>
      <c r="D947" t="s">
        <v>81</v>
      </c>
    </row>
    <row r="948" spans="1:4" x14ac:dyDescent="0.25">
      <c r="A948">
        <v>5</v>
      </c>
      <c r="B948" t="s">
        <v>167</v>
      </c>
      <c r="C948" s="2">
        <v>44891.399548611109</v>
      </c>
      <c r="D948" t="s">
        <v>81</v>
      </c>
    </row>
    <row r="949" spans="1:4" x14ac:dyDescent="0.25">
      <c r="A949">
        <v>5</v>
      </c>
      <c r="B949" t="s">
        <v>167</v>
      </c>
      <c r="C949" s="2">
        <v>44891.40996527778</v>
      </c>
      <c r="D949" t="s">
        <v>81</v>
      </c>
    </row>
    <row r="950" spans="1:4" x14ac:dyDescent="0.25">
      <c r="A950">
        <v>5</v>
      </c>
      <c r="B950" t="s">
        <v>167</v>
      </c>
      <c r="C950" s="2">
        <v>44891.420381944445</v>
      </c>
      <c r="D950" t="s">
        <v>81</v>
      </c>
    </row>
    <row r="951" spans="1:4" x14ac:dyDescent="0.25">
      <c r="A951">
        <v>5</v>
      </c>
      <c r="B951" t="s">
        <v>167</v>
      </c>
      <c r="C951" s="2">
        <v>44891.430798611109</v>
      </c>
      <c r="D951" t="s">
        <v>81</v>
      </c>
    </row>
    <row r="952" spans="1:4" x14ac:dyDescent="0.25">
      <c r="A952">
        <v>5</v>
      </c>
      <c r="B952" t="s">
        <v>167</v>
      </c>
      <c r="C952" s="2">
        <v>44891.44121527778</v>
      </c>
      <c r="D952" t="s">
        <v>81</v>
      </c>
    </row>
    <row r="953" spans="1:4" x14ac:dyDescent="0.25">
      <c r="A953">
        <v>5</v>
      </c>
      <c r="B953" t="s">
        <v>167</v>
      </c>
      <c r="C953" s="2">
        <v>44891.451631944445</v>
      </c>
      <c r="D953" t="s">
        <v>81</v>
      </c>
    </row>
    <row r="954" spans="1:4" x14ac:dyDescent="0.25">
      <c r="A954">
        <v>5</v>
      </c>
      <c r="B954" t="s">
        <v>96</v>
      </c>
      <c r="C954" s="2">
        <v>44892.285069444442</v>
      </c>
      <c r="D954" t="s">
        <v>81</v>
      </c>
    </row>
    <row r="955" spans="1:4" x14ac:dyDescent="0.25">
      <c r="A955">
        <v>24</v>
      </c>
      <c r="B955" t="s">
        <v>28</v>
      </c>
      <c r="C955" s="2">
        <v>44892.285081018519</v>
      </c>
      <c r="D955" t="s">
        <v>81</v>
      </c>
    </row>
    <row r="956" spans="1:4" x14ac:dyDescent="0.25">
      <c r="A956">
        <v>28</v>
      </c>
      <c r="B956" t="s">
        <v>160</v>
      </c>
      <c r="C956" s="2">
        <v>44892.285081018519</v>
      </c>
      <c r="D956" t="s">
        <v>81</v>
      </c>
    </row>
    <row r="957" spans="1:4" x14ac:dyDescent="0.25">
      <c r="A957">
        <v>29</v>
      </c>
      <c r="B957" t="s">
        <v>161</v>
      </c>
      <c r="C957" s="2">
        <v>44892.285081018519</v>
      </c>
      <c r="D957" t="s">
        <v>81</v>
      </c>
    </row>
    <row r="958" spans="1:4" x14ac:dyDescent="0.25">
      <c r="A958">
        <v>31</v>
      </c>
      <c r="B958" t="s">
        <v>163</v>
      </c>
      <c r="C958" s="2">
        <v>44892.285081018519</v>
      </c>
      <c r="D958" t="s">
        <v>81</v>
      </c>
    </row>
    <row r="959" spans="1:4" x14ac:dyDescent="0.25">
      <c r="A959">
        <v>5</v>
      </c>
      <c r="B959" t="s">
        <v>96</v>
      </c>
      <c r="C959" s="2">
        <v>44892.295405092591</v>
      </c>
      <c r="D959" t="s">
        <v>81</v>
      </c>
    </row>
    <row r="960" spans="1:4" x14ac:dyDescent="0.25">
      <c r="A960">
        <v>7</v>
      </c>
      <c r="B960" t="s">
        <v>59</v>
      </c>
      <c r="C960" s="2">
        <v>44892.295405092591</v>
      </c>
      <c r="D960" t="s">
        <v>81</v>
      </c>
    </row>
    <row r="961" spans="1:4" x14ac:dyDescent="0.25">
      <c r="A961">
        <v>9</v>
      </c>
      <c r="B961" t="s">
        <v>61</v>
      </c>
      <c r="C961" s="2">
        <v>44892.295416666668</v>
      </c>
      <c r="D961" t="s">
        <v>81</v>
      </c>
    </row>
    <row r="962" spans="1:4" x14ac:dyDescent="0.25">
      <c r="A962">
        <v>10</v>
      </c>
      <c r="B962" t="s">
        <v>62</v>
      </c>
      <c r="C962" s="2">
        <v>44892.295416666668</v>
      </c>
      <c r="D962" t="s">
        <v>81</v>
      </c>
    </row>
    <row r="963" spans="1:4" x14ac:dyDescent="0.25">
      <c r="A963">
        <v>11</v>
      </c>
      <c r="B963" t="s">
        <v>63</v>
      </c>
      <c r="C963" s="2">
        <v>44892.295416666668</v>
      </c>
      <c r="D963" t="s">
        <v>81</v>
      </c>
    </row>
    <row r="964" spans="1:4" x14ac:dyDescent="0.25">
      <c r="A964">
        <v>12</v>
      </c>
      <c r="B964" t="s">
        <v>64</v>
      </c>
      <c r="C964" s="2">
        <v>44892.295416666668</v>
      </c>
      <c r="D964" t="s">
        <v>81</v>
      </c>
    </row>
    <row r="965" spans="1:4" x14ac:dyDescent="0.25">
      <c r="A965">
        <v>13</v>
      </c>
      <c r="B965" t="s">
        <v>65</v>
      </c>
      <c r="C965" s="2">
        <v>44892.295416666668</v>
      </c>
      <c r="D965" t="s">
        <v>81</v>
      </c>
    </row>
    <row r="966" spans="1:4" x14ac:dyDescent="0.25">
      <c r="A966">
        <v>14</v>
      </c>
      <c r="B966" t="s">
        <v>66</v>
      </c>
      <c r="C966" s="2">
        <v>44892.295428240737</v>
      </c>
      <c r="D966" t="s">
        <v>81</v>
      </c>
    </row>
    <row r="967" spans="1:4" x14ac:dyDescent="0.25">
      <c r="A967">
        <v>15</v>
      </c>
      <c r="B967" t="s">
        <v>157</v>
      </c>
      <c r="C967" s="2">
        <v>44892.295428240737</v>
      </c>
      <c r="D967" t="s">
        <v>81</v>
      </c>
    </row>
    <row r="968" spans="1:4" x14ac:dyDescent="0.25">
      <c r="A968">
        <v>16</v>
      </c>
      <c r="B968" t="s">
        <v>68</v>
      </c>
      <c r="C968" s="2">
        <v>44892.295428240737</v>
      </c>
      <c r="D968" t="s">
        <v>81</v>
      </c>
    </row>
    <row r="969" spans="1:4" x14ac:dyDescent="0.25">
      <c r="A969">
        <v>32</v>
      </c>
      <c r="B969" t="s">
        <v>164</v>
      </c>
      <c r="C969" s="2">
        <v>44892.295439814814</v>
      </c>
      <c r="D969" t="s">
        <v>81</v>
      </c>
    </row>
    <row r="970" spans="1:4" x14ac:dyDescent="0.25">
      <c r="A970">
        <v>34</v>
      </c>
      <c r="B970" t="s">
        <v>67</v>
      </c>
      <c r="C970" s="2">
        <v>44892.295439814814</v>
      </c>
      <c r="D970" t="s">
        <v>81</v>
      </c>
    </row>
    <row r="971" spans="1:4" x14ac:dyDescent="0.25">
      <c r="A971">
        <v>35</v>
      </c>
      <c r="B971" t="s">
        <v>166</v>
      </c>
      <c r="C971" s="2">
        <v>44892.295439814814</v>
      </c>
      <c r="D971" t="s">
        <v>81</v>
      </c>
    </row>
    <row r="972" spans="1:4" x14ac:dyDescent="0.25">
      <c r="A972">
        <v>5</v>
      </c>
      <c r="B972" t="s">
        <v>96</v>
      </c>
      <c r="C972" s="2">
        <v>44892.305833333332</v>
      </c>
      <c r="D972" t="s">
        <v>81</v>
      </c>
    </row>
    <row r="973" spans="1:4" x14ac:dyDescent="0.25">
      <c r="A973">
        <v>5</v>
      </c>
      <c r="B973" t="s">
        <v>96</v>
      </c>
      <c r="C973" s="2">
        <v>44892.316250000003</v>
      </c>
      <c r="D973" t="s">
        <v>81</v>
      </c>
    </row>
    <row r="974" spans="1:4" x14ac:dyDescent="0.25">
      <c r="A974">
        <v>25</v>
      </c>
      <c r="B974" t="s">
        <v>41</v>
      </c>
      <c r="C974" s="2">
        <v>44892.316261574073</v>
      </c>
      <c r="D974" t="s">
        <v>81</v>
      </c>
    </row>
    <row r="975" spans="1:4" x14ac:dyDescent="0.25">
      <c r="A975">
        <v>26</v>
      </c>
      <c r="B975" t="s">
        <v>159</v>
      </c>
      <c r="C975" s="2">
        <v>44892.316261574073</v>
      </c>
      <c r="D975" t="s">
        <v>81</v>
      </c>
    </row>
    <row r="976" spans="1:4" x14ac:dyDescent="0.25">
      <c r="A976">
        <v>27</v>
      </c>
      <c r="B976" t="s">
        <v>60</v>
      </c>
      <c r="C976" s="2">
        <v>44892.316261574073</v>
      </c>
      <c r="D976" t="s">
        <v>81</v>
      </c>
    </row>
    <row r="977" spans="1:4" x14ac:dyDescent="0.25">
      <c r="A977">
        <v>30</v>
      </c>
      <c r="B977" t="s">
        <v>162</v>
      </c>
      <c r="C977" s="2">
        <v>44892.31627314815</v>
      </c>
      <c r="D977" t="s">
        <v>81</v>
      </c>
    </row>
    <row r="978" spans="1:4" x14ac:dyDescent="0.25">
      <c r="A978">
        <v>33</v>
      </c>
      <c r="B978" t="s">
        <v>165</v>
      </c>
      <c r="C978" s="2">
        <v>44892.31627314815</v>
      </c>
      <c r="D978" t="s">
        <v>81</v>
      </c>
    </row>
    <row r="979" spans="1:4" x14ac:dyDescent="0.25">
      <c r="A979">
        <v>5</v>
      </c>
      <c r="B979" t="s">
        <v>96</v>
      </c>
      <c r="C979" s="2">
        <v>44892.326655092591</v>
      </c>
      <c r="D979" t="s">
        <v>81</v>
      </c>
    </row>
    <row r="980" spans="1:4" x14ac:dyDescent="0.25">
      <c r="A980">
        <v>5</v>
      </c>
      <c r="B980" t="s">
        <v>96</v>
      </c>
      <c r="C980" s="2">
        <v>44892.337071759262</v>
      </c>
      <c r="D980" t="s">
        <v>81</v>
      </c>
    </row>
    <row r="981" spans="1:4" x14ac:dyDescent="0.25">
      <c r="A981">
        <v>5</v>
      </c>
      <c r="B981" t="s">
        <v>96</v>
      </c>
      <c r="C981" s="2">
        <v>44892.347488425927</v>
      </c>
      <c r="D981" t="s">
        <v>81</v>
      </c>
    </row>
    <row r="982" spans="1:4" x14ac:dyDescent="0.25">
      <c r="A982">
        <v>5</v>
      </c>
      <c r="B982" t="s">
        <v>96</v>
      </c>
      <c r="C982" s="2">
        <v>44892.357916666668</v>
      </c>
      <c r="D982" t="s">
        <v>81</v>
      </c>
    </row>
    <row r="983" spans="1:4" x14ac:dyDescent="0.25">
      <c r="A983">
        <v>5</v>
      </c>
      <c r="B983" t="s">
        <v>96</v>
      </c>
      <c r="C983" s="2">
        <v>44892.368321759262</v>
      </c>
      <c r="D983" t="s">
        <v>81</v>
      </c>
    </row>
    <row r="984" spans="1:4" x14ac:dyDescent="0.25">
      <c r="A984">
        <v>1</v>
      </c>
      <c r="B984" t="s">
        <v>6</v>
      </c>
      <c r="C984" s="2">
        <v>44892.378784722219</v>
      </c>
      <c r="D984" t="s">
        <v>81</v>
      </c>
    </row>
    <row r="985" spans="1:4" x14ac:dyDescent="0.25">
      <c r="A985">
        <v>5</v>
      </c>
      <c r="B985" t="s">
        <v>167</v>
      </c>
      <c r="C985" s="2">
        <v>44892.378784722219</v>
      </c>
      <c r="D985" t="s">
        <v>81</v>
      </c>
    </row>
    <row r="986" spans="1:4" x14ac:dyDescent="0.25">
      <c r="A986">
        <v>5</v>
      </c>
      <c r="B986" t="s">
        <v>167</v>
      </c>
      <c r="C986" s="2">
        <v>44892.389155092591</v>
      </c>
      <c r="D986" t="s">
        <v>81</v>
      </c>
    </row>
    <row r="987" spans="1:4" x14ac:dyDescent="0.25">
      <c r="A987">
        <v>5</v>
      </c>
      <c r="B987" t="s">
        <v>167</v>
      </c>
      <c r="C987" s="2">
        <v>44892.399571759262</v>
      </c>
      <c r="D987" t="s">
        <v>81</v>
      </c>
    </row>
    <row r="988" spans="1:4" x14ac:dyDescent="0.25">
      <c r="A988">
        <v>5</v>
      </c>
      <c r="B988" t="s">
        <v>167</v>
      </c>
      <c r="C988" s="2">
        <v>44892.409988425927</v>
      </c>
      <c r="D988" t="s">
        <v>81</v>
      </c>
    </row>
    <row r="989" spans="1:4" x14ac:dyDescent="0.25">
      <c r="A989">
        <v>5</v>
      </c>
      <c r="B989" t="s">
        <v>167</v>
      </c>
      <c r="C989" s="2">
        <v>44892.420416666668</v>
      </c>
      <c r="D989" t="s">
        <v>81</v>
      </c>
    </row>
    <row r="990" spans="1:4" x14ac:dyDescent="0.25">
      <c r="A990">
        <v>5</v>
      </c>
      <c r="B990" t="s">
        <v>167</v>
      </c>
      <c r="C990" s="2">
        <v>44892.430821759262</v>
      </c>
      <c r="D990" t="s">
        <v>81</v>
      </c>
    </row>
    <row r="991" spans="1:4" x14ac:dyDescent="0.25">
      <c r="A991">
        <v>5</v>
      </c>
      <c r="B991" t="s">
        <v>167</v>
      </c>
      <c r="C991" s="2">
        <v>44892.441238425927</v>
      </c>
      <c r="D991" t="s">
        <v>81</v>
      </c>
    </row>
    <row r="992" spans="1:4" x14ac:dyDescent="0.25">
      <c r="A992">
        <v>5</v>
      </c>
      <c r="B992" t="s">
        <v>167</v>
      </c>
      <c r="C992" s="2">
        <v>44892.451678240737</v>
      </c>
      <c r="D992" t="s">
        <v>81</v>
      </c>
    </row>
    <row r="993" spans="1:4" x14ac:dyDescent="0.25">
      <c r="A993">
        <v>5</v>
      </c>
      <c r="B993" t="s">
        <v>96</v>
      </c>
      <c r="C993" s="2">
        <v>44893.285057870373</v>
      </c>
      <c r="D993" t="s">
        <v>81</v>
      </c>
    </row>
    <row r="994" spans="1:4" x14ac:dyDescent="0.25">
      <c r="A994">
        <v>26</v>
      </c>
      <c r="B994" t="s">
        <v>159</v>
      </c>
      <c r="C994" s="2">
        <v>44893.285057870373</v>
      </c>
      <c r="D994" t="s">
        <v>81</v>
      </c>
    </row>
    <row r="995" spans="1:4" x14ac:dyDescent="0.25">
      <c r="A995">
        <v>27</v>
      </c>
      <c r="B995" t="s">
        <v>60</v>
      </c>
      <c r="C995" s="2">
        <v>44893.285069444442</v>
      </c>
      <c r="D995" t="s">
        <v>81</v>
      </c>
    </row>
    <row r="996" spans="1:4" x14ac:dyDescent="0.25">
      <c r="A996">
        <v>28</v>
      </c>
      <c r="B996" t="s">
        <v>160</v>
      </c>
      <c r="C996" s="2">
        <v>44893.285069444442</v>
      </c>
      <c r="D996" t="s">
        <v>81</v>
      </c>
    </row>
    <row r="997" spans="1:4" x14ac:dyDescent="0.25">
      <c r="A997">
        <v>29</v>
      </c>
      <c r="B997" t="s">
        <v>161</v>
      </c>
      <c r="C997" s="2">
        <v>44893.285069444442</v>
      </c>
      <c r="D997" t="s">
        <v>81</v>
      </c>
    </row>
    <row r="998" spans="1:4" x14ac:dyDescent="0.25">
      <c r="A998">
        <v>30</v>
      </c>
      <c r="B998" t="s">
        <v>162</v>
      </c>
      <c r="C998" s="2">
        <v>44893.285069444442</v>
      </c>
      <c r="D998" t="s">
        <v>81</v>
      </c>
    </row>
    <row r="999" spans="1:4" x14ac:dyDescent="0.25">
      <c r="A999">
        <v>31</v>
      </c>
      <c r="B999" t="s">
        <v>163</v>
      </c>
      <c r="C999" s="2">
        <v>44893.285081018519</v>
      </c>
      <c r="D999" t="s">
        <v>81</v>
      </c>
    </row>
    <row r="1000" spans="1:4" x14ac:dyDescent="0.25">
      <c r="A1000">
        <v>5</v>
      </c>
      <c r="B1000" t="s">
        <v>96</v>
      </c>
      <c r="C1000" s="2">
        <v>44893.295405092591</v>
      </c>
      <c r="D1000" t="s">
        <v>81</v>
      </c>
    </row>
    <row r="1001" spans="1:4" x14ac:dyDescent="0.25">
      <c r="A1001">
        <v>7</v>
      </c>
      <c r="B1001" t="s">
        <v>59</v>
      </c>
      <c r="C1001" s="2">
        <v>44893.295405092591</v>
      </c>
      <c r="D1001" t="s">
        <v>81</v>
      </c>
    </row>
    <row r="1002" spans="1:4" x14ac:dyDescent="0.25">
      <c r="A1002">
        <v>9</v>
      </c>
      <c r="B1002" t="s">
        <v>61</v>
      </c>
      <c r="C1002" s="2">
        <v>44893.295405092591</v>
      </c>
      <c r="D1002" t="s">
        <v>81</v>
      </c>
    </row>
    <row r="1003" spans="1:4" x14ac:dyDescent="0.25">
      <c r="A1003">
        <v>10</v>
      </c>
      <c r="B1003" t="s">
        <v>62</v>
      </c>
      <c r="C1003" s="2">
        <v>44893.295416666668</v>
      </c>
      <c r="D1003" t="s">
        <v>81</v>
      </c>
    </row>
    <row r="1004" spans="1:4" x14ac:dyDescent="0.25">
      <c r="A1004">
        <v>11</v>
      </c>
      <c r="B1004" t="s">
        <v>63</v>
      </c>
      <c r="C1004" s="2">
        <v>44893.295416666668</v>
      </c>
      <c r="D1004" t="s">
        <v>81</v>
      </c>
    </row>
    <row r="1005" spans="1:4" x14ac:dyDescent="0.25">
      <c r="A1005">
        <v>12</v>
      </c>
      <c r="B1005" t="s">
        <v>64</v>
      </c>
      <c r="C1005" s="2">
        <v>44893.295416666668</v>
      </c>
      <c r="D1005" t="s">
        <v>81</v>
      </c>
    </row>
    <row r="1006" spans="1:4" x14ac:dyDescent="0.25">
      <c r="A1006">
        <v>13</v>
      </c>
      <c r="B1006" t="s">
        <v>65</v>
      </c>
      <c r="C1006" s="2">
        <v>44893.295416666668</v>
      </c>
      <c r="D1006" t="s">
        <v>81</v>
      </c>
    </row>
    <row r="1007" spans="1:4" x14ac:dyDescent="0.25">
      <c r="A1007">
        <v>14</v>
      </c>
      <c r="B1007" t="s">
        <v>66</v>
      </c>
      <c r="C1007" s="2">
        <v>44893.295416666668</v>
      </c>
      <c r="D1007" t="s">
        <v>81</v>
      </c>
    </row>
    <row r="1008" spans="1:4" x14ac:dyDescent="0.25">
      <c r="A1008">
        <v>15</v>
      </c>
      <c r="B1008" t="s">
        <v>157</v>
      </c>
      <c r="C1008" s="2">
        <v>44893.295428240737</v>
      </c>
      <c r="D1008" t="s">
        <v>81</v>
      </c>
    </row>
    <row r="1009" spans="1:4" x14ac:dyDescent="0.25">
      <c r="A1009">
        <v>16</v>
      </c>
      <c r="B1009" t="s">
        <v>68</v>
      </c>
      <c r="C1009" s="2">
        <v>44893.295428240737</v>
      </c>
      <c r="D1009" t="s">
        <v>81</v>
      </c>
    </row>
    <row r="1010" spans="1:4" x14ac:dyDescent="0.25">
      <c r="A1010">
        <v>32</v>
      </c>
      <c r="B1010" t="s">
        <v>164</v>
      </c>
      <c r="C1010" s="2">
        <v>44893.295428240737</v>
      </c>
      <c r="D1010" t="s">
        <v>81</v>
      </c>
    </row>
    <row r="1011" spans="1:4" x14ac:dyDescent="0.25">
      <c r="A1011">
        <v>33</v>
      </c>
      <c r="B1011" t="s">
        <v>165</v>
      </c>
      <c r="C1011" s="2">
        <v>44893.295439814814</v>
      </c>
      <c r="D1011" t="s">
        <v>81</v>
      </c>
    </row>
    <row r="1012" spans="1:4" x14ac:dyDescent="0.25">
      <c r="A1012">
        <v>34</v>
      </c>
      <c r="B1012" t="s">
        <v>67</v>
      </c>
      <c r="C1012" s="2">
        <v>44893.295439814814</v>
      </c>
      <c r="D1012" t="s">
        <v>81</v>
      </c>
    </row>
    <row r="1013" spans="1:4" x14ac:dyDescent="0.25">
      <c r="A1013">
        <v>35</v>
      </c>
      <c r="B1013" t="s">
        <v>166</v>
      </c>
      <c r="C1013" s="2">
        <v>44893.295439814814</v>
      </c>
      <c r="D1013" t="s">
        <v>81</v>
      </c>
    </row>
    <row r="1014" spans="1:4" x14ac:dyDescent="0.25">
      <c r="A1014">
        <v>5</v>
      </c>
      <c r="B1014" t="s">
        <v>96</v>
      </c>
      <c r="C1014" s="2">
        <v>44893.305891203701</v>
      </c>
      <c r="D1014" t="s">
        <v>81</v>
      </c>
    </row>
    <row r="1015" spans="1:4" x14ac:dyDescent="0.25">
      <c r="A1015">
        <v>5</v>
      </c>
      <c r="B1015" t="s">
        <v>96</v>
      </c>
      <c r="C1015" s="2">
        <v>44893.316250000003</v>
      </c>
      <c r="D1015" t="s">
        <v>81</v>
      </c>
    </row>
    <row r="1016" spans="1:4" x14ac:dyDescent="0.25">
      <c r="A1016">
        <v>24</v>
      </c>
      <c r="B1016" t="s">
        <v>28</v>
      </c>
      <c r="C1016" s="2">
        <v>44893.316250000003</v>
      </c>
      <c r="D1016" t="s">
        <v>81</v>
      </c>
    </row>
    <row r="1017" spans="1:4" x14ac:dyDescent="0.25">
      <c r="A1017">
        <v>25</v>
      </c>
      <c r="B1017" t="s">
        <v>41</v>
      </c>
      <c r="C1017" s="2">
        <v>44893.316261574073</v>
      </c>
      <c r="D1017" t="s">
        <v>81</v>
      </c>
    </row>
    <row r="1018" spans="1:4" x14ac:dyDescent="0.25">
      <c r="A1018">
        <v>5</v>
      </c>
      <c r="B1018" t="s">
        <v>96</v>
      </c>
      <c r="C1018" s="2">
        <v>44893.326655092591</v>
      </c>
      <c r="D1018" t="s">
        <v>81</v>
      </c>
    </row>
    <row r="1019" spans="1:4" x14ac:dyDescent="0.25">
      <c r="A1019">
        <v>5</v>
      </c>
      <c r="B1019" t="s">
        <v>96</v>
      </c>
      <c r="C1019" s="2">
        <v>44893.337060185186</v>
      </c>
      <c r="D1019" t="s">
        <v>81</v>
      </c>
    </row>
    <row r="1020" spans="1:4" x14ac:dyDescent="0.25">
      <c r="A1020">
        <v>5</v>
      </c>
      <c r="B1020" t="s">
        <v>96</v>
      </c>
      <c r="C1020" s="2">
        <v>44893.34747685185</v>
      </c>
      <c r="D1020" t="s">
        <v>81</v>
      </c>
    </row>
    <row r="1021" spans="1:4" x14ac:dyDescent="0.25">
      <c r="A1021">
        <v>5</v>
      </c>
      <c r="B1021" t="s">
        <v>96</v>
      </c>
      <c r="C1021" s="2">
        <v>44893.357893518521</v>
      </c>
      <c r="D1021" t="s">
        <v>81</v>
      </c>
    </row>
    <row r="1022" spans="1:4" x14ac:dyDescent="0.25">
      <c r="A1022">
        <v>5</v>
      </c>
      <c r="B1022" t="s">
        <v>96</v>
      </c>
      <c r="C1022" s="2">
        <v>44893.368310185186</v>
      </c>
      <c r="D1022" t="s">
        <v>81</v>
      </c>
    </row>
    <row r="1023" spans="1:4" x14ac:dyDescent="0.25">
      <c r="A1023">
        <v>1</v>
      </c>
      <c r="B1023" t="s">
        <v>6</v>
      </c>
      <c r="C1023" s="2">
        <v>44893.378784722219</v>
      </c>
      <c r="D1023" t="s">
        <v>81</v>
      </c>
    </row>
    <row r="1024" spans="1:4" x14ac:dyDescent="0.25">
      <c r="A1024">
        <v>5</v>
      </c>
      <c r="B1024" t="s">
        <v>167</v>
      </c>
      <c r="C1024" s="2">
        <v>44893.378784722219</v>
      </c>
      <c r="D1024" t="s">
        <v>81</v>
      </c>
    </row>
    <row r="1025" spans="1:4" x14ac:dyDescent="0.25">
      <c r="A1025">
        <v>5</v>
      </c>
      <c r="B1025" t="s">
        <v>167</v>
      </c>
      <c r="C1025" s="2">
        <v>44893.389143518521</v>
      </c>
      <c r="D1025" t="s">
        <v>81</v>
      </c>
    </row>
    <row r="1026" spans="1:4" x14ac:dyDescent="0.25">
      <c r="A1026">
        <v>5</v>
      </c>
      <c r="B1026" t="s">
        <v>167</v>
      </c>
      <c r="C1026" s="2">
        <v>44893.399560185186</v>
      </c>
      <c r="D1026" t="s">
        <v>81</v>
      </c>
    </row>
    <row r="1027" spans="1:4" x14ac:dyDescent="0.25">
      <c r="A1027">
        <v>5</v>
      </c>
      <c r="B1027" t="s">
        <v>167</v>
      </c>
      <c r="C1027" s="2">
        <v>44893.40997685185</v>
      </c>
      <c r="D1027" t="s">
        <v>81</v>
      </c>
    </row>
    <row r="1028" spans="1:4" x14ac:dyDescent="0.25">
      <c r="A1028">
        <v>5</v>
      </c>
      <c r="B1028" t="s">
        <v>167</v>
      </c>
      <c r="C1028" s="2">
        <v>44893.420405092591</v>
      </c>
      <c r="D1028" t="s">
        <v>81</v>
      </c>
    </row>
    <row r="1029" spans="1:4" x14ac:dyDescent="0.25">
      <c r="A1029">
        <v>5</v>
      </c>
      <c r="B1029" t="s">
        <v>167</v>
      </c>
      <c r="C1029" s="2">
        <v>44893.430821759262</v>
      </c>
      <c r="D1029" t="s">
        <v>81</v>
      </c>
    </row>
    <row r="1030" spans="1:4" x14ac:dyDescent="0.25">
      <c r="A1030">
        <v>5</v>
      </c>
      <c r="B1030" t="s">
        <v>167</v>
      </c>
      <c r="C1030" s="2">
        <v>44893.44122685185</v>
      </c>
      <c r="D1030" t="s">
        <v>81</v>
      </c>
    </row>
    <row r="1031" spans="1:4" x14ac:dyDescent="0.25">
      <c r="A1031">
        <v>5</v>
      </c>
      <c r="B1031" t="s">
        <v>167</v>
      </c>
      <c r="C1031" s="2">
        <v>44893.451643518521</v>
      </c>
      <c r="D1031" t="s">
        <v>81</v>
      </c>
    </row>
    <row r="1032" spans="1:4" x14ac:dyDescent="0.25">
      <c r="A1032">
        <v>5</v>
      </c>
      <c r="B1032" t="s">
        <v>96</v>
      </c>
      <c r="C1032" s="2">
        <v>44894.285069444442</v>
      </c>
      <c r="D1032" t="s">
        <v>81</v>
      </c>
    </row>
    <row r="1033" spans="1:4" x14ac:dyDescent="0.25">
      <c r="A1033">
        <v>24</v>
      </c>
      <c r="B1033" t="s">
        <v>28</v>
      </c>
      <c r="C1033" s="2">
        <v>44894.285081018519</v>
      </c>
      <c r="D1033" t="s">
        <v>81</v>
      </c>
    </row>
    <row r="1034" spans="1:4" x14ac:dyDescent="0.25">
      <c r="A1034">
        <v>25</v>
      </c>
      <c r="B1034" t="s">
        <v>41</v>
      </c>
      <c r="C1034" s="2">
        <v>44894.285081018519</v>
      </c>
      <c r="D1034" t="s">
        <v>81</v>
      </c>
    </row>
    <row r="1035" spans="1:4" x14ac:dyDescent="0.25">
      <c r="A1035">
        <v>26</v>
      </c>
      <c r="B1035" t="s">
        <v>159</v>
      </c>
      <c r="C1035" s="2">
        <v>44894.285092592596</v>
      </c>
      <c r="D1035" t="s">
        <v>81</v>
      </c>
    </row>
    <row r="1036" spans="1:4" x14ac:dyDescent="0.25">
      <c r="A1036">
        <v>27</v>
      </c>
      <c r="B1036" t="s">
        <v>60</v>
      </c>
      <c r="C1036" s="2">
        <v>44894.285092592596</v>
      </c>
      <c r="D1036" t="s">
        <v>81</v>
      </c>
    </row>
    <row r="1037" spans="1:4" x14ac:dyDescent="0.25">
      <c r="A1037">
        <v>28</v>
      </c>
      <c r="B1037" t="s">
        <v>160</v>
      </c>
      <c r="C1037" s="2">
        <v>44894.285092592596</v>
      </c>
      <c r="D1037" t="s">
        <v>81</v>
      </c>
    </row>
    <row r="1038" spans="1:4" x14ac:dyDescent="0.25">
      <c r="A1038">
        <v>29</v>
      </c>
      <c r="B1038" t="s">
        <v>161</v>
      </c>
      <c r="C1038" s="2">
        <v>44894.285092592596</v>
      </c>
      <c r="D1038" t="s">
        <v>81</v>
      </c>
    </row>
    <row r="1039" spans="1:4" x14ac:dyDescent="0.25">
      <c r="A1039">
        <v>30</v>
      </c>
      <c r="B1039" t="s">
        <v>162</v>
      </c>
      <c r="C1039" s="2">
        <v>44894.285092592596</v>
      </c>
      <c r="D1039" t="s">
        <v>81</v>
      </c>
    </row>
    <row r="1040" spans="1:4" x14ac:dyDescent="0.25">
      <c r="A1040">
        <v>31</v>
      </c>
      <c r="B1040" t="s">
        <v>163</v>
      </c>
      <c r="C1040" s="2">
        <v>44894.285104166665</v>
      </c>
      <c r="D1040" t="s">
        <v>81</v>
      </c>
    </row>
    <row r="1041" spans="1:4" x14ac:dyDescent="0.25">
      <c r="A1041">
        <v>5</v>
      </c>
      <c r="B1041" t="s">
        <v>96</v>
      </c>
      <c r="C1041" s="2">
        <v>44894.295405092591</v>
      </c>
      <c r="D1041" t="s">
        <v>81</v>
      </c>
    </row>
    <row r="1042" spans="1:4" x14ac:dyDescent="0.25">
      <c r="A1042">
        <v>7</v>
      </c>
      <c r="B1042" t="s">
        <v>59</v>
      </c>
      <c r="C1042" s="2">
        <v>44894.295405092591</v>
      </c>
      <c r="D1042" t="s">
        <v>81</v>
      </c>
    </row>
    <row r="1043" spans="1:4" x14ac:dyDescent="0.25">
      <c r="A1043">
        <v>9</v>
      </c>
      <c r="B1043" t="s">
        <v>61</v>
      </c>
      <c r="C1043" s="2">
        <v>44894.295405092591</v>
      </c>
      <c r="D1043" t="s">
        <v>81</v>
      </c>
    </row>
    <row r="1044" spans="1:4" x14ac:dyDescent="0.25">
      <c r="A1044">
        <v>10</v>
      </c>
      <c r="B1044" t="s">
        <v>62</v>
      </c>
      <c r="C1044" s="2">
        <v>44894.295416666668</v>
      </c>
      <c r="D1044" t="s">
        <v>81</v>
      </c>
    </row>
    <row r="1045" spans="1:4" x14ac:dyDescent="0.25">
      <c r="A1045">
        <v>11</v>
      </c>
      <c r="B1045" t="s">
        <v>63</v>
      </c>
      <c r="C1045" s="2">
        <v>44894.295416666668</v>
      </c>
      <c r="D1045" t="s">
        <v>81</v>
      </c>
    </row>
    <row r="1046" spans="1:4" x14ac:dyDescent="0.25">
      <c r="A1046">
        <v>12</v>
      </c>
      <c r="B1046" t="s">
        <v>64</v>
      </c>
      <c r="C1046" s="2">
        <v>44894.295416666668</v>
      </c>
      <c r="D1046" t="s">
        <v>81</v>
      </c>
    </row>
    <row r="1047" spans="1:4" x14ac:dyDescent="0.25">
      <c r="A1047">
        <v>13</v>
      </c>
      <c r="B1047" t="s">
        <v>65</v>
      </c>
      <c r="C1047" s="2">
        <v>44894.295416666668</v>
      </c>
      <c r="D1047" t="s">
        <v>81</v>
      </c>
    </row>
    <row r="1048" spans="1:4" x14ac:dyDescent="0.25">
      <c r="A1048">
        <v>14</v>
      </c>
      <c r="B1048" t="s">
        <v>66</v>
      </c>
      <c r="C1048" s="2">
        <v>44894.295416666668</v>
      </c>
      <c r="D1048" t="s">
        <v>81</v>
      </c>
    </row>
    <row r="1049" spans="1:4" x14ac:dyDescent="0.25">
      <c r="A1049">
        <v>15</v>
      </c>
      <c r="B1049" t="s">
        <v>157</v>
      </c>
      <c r="C1049" s="2">
        <v>44894.295428240737</v>
      </c>
      <c r="D1049" t="s">
        <v>81</v>
      </c>
    </row>
    <row r="1050" spans="1:4" x14ac:dyDescent="0.25">
      <c r="A1050">
        <v>16</v>
      </c>
      <c r="B1050" t="s">
        <v>68</v>
      </c>
      <c r="C1050" s="2">
        <v>44894.295428240737</v>
      </c>
      <c r="D1050" t="s">
        <v>81</v>
      </c>
    </row>
    <row r="1051" spans="1:4" x14ac:dyDescent="0.25">
      <c r="A1051">
        <v>32</v>
      </c>
      <c r="B1051" t="s">
        <v>164</v>
      </c>
      <c r="C1051" s="2">
        <v>44894.295428240737</v>
      </c>
      <c r="D1051" t="s">
        <v>81</v>
      </c>
    </row>
    <row r="1052" spans="1:4" x14ac:dyDescent="0.25">
      <c r="A1052">
        <v>33</v>
      </c>
      <c r="B1052" t="s">
        <v>165</v>
      </c>
      <c r="C1052" s="2">
        <v>44894.295439814814</v>
      </c>
      <c r="D1052" t="s">
        <v>81</v>
      </c>
    </row>
    <row r="1053" spans="1:4" x14ac:dyDescent="0.25">
      <c r="A1053">
        <v>34</v>
      </c>
      <c r="B1053" t="s">
        <v>67</v>
      </c>
      <c r="C1053" s="2">
        <v>44894.295439814814</v>
      </c>
      <c r="D1053" t="s">
        <v>81</v>
      </c>
    </row>
    <row r="1054" spans="1:4" x14ac:dyDescent="0.25">
      <c r="A1054">
        <v>35</v>
      </c>
      <c r="B1054" t="s">
        <v>166</v>
      </c>
      <c r="C1054" s="2">
        <v>44894.295439814814</v>
      </c>
      <c r="D1054" t="s">
        <v>81</v>
      </c>
    </row>
    <row r="1055" spans="1:4" x14ac:dyDescent="0.25">
      <c r="A1055">
        <v>5</v>
      </c>
      <c r="B1055" t="s">
        <v>96</v>
      </c>
      <c r="C1055" s="2">
        <v>44894.305833333332</v>
      </c>
      <c r="D1055" t="s">
        <v>81</v>
      </c>
    </row>
    <row r="1056" spans="1:4" x14ac:dyDescent="0.25">
      <c r="A1056">
        <v>5</v>
      </c>
      <c r="B1056" t="s">
        <v>96</v>
      </c>
      <c r="C1056" s="2">
        <v>44894.316250000003</v>
      </c>
      <c r="D1056" t="s">
        <v>81</v>
      </c>
    </row>
    <row r="1057" spans="1:4" x14ac:dyDescent="0.25">
      <c r="A1057">
        <v>5</v>
      </c>
      <c r="B1057" t="s">
        <v>96</v>
      </c>
      <c r="C1057" s="2">
        <v>44894.326655092591</v>
      </c>
      <c r="D1057" t="s">
        <v>81</v>
      </c>
    </row>
    <row r="1058" spans="1:4" x14ac:dyDescent="0.25">
      <c r="A1058">
        <v>5</v>
      </c>
      <c r="B1058" t="s">
        <v>96</v>
      </c>
      <c r="C1058" s="2">
        <v>44894.337071759262</v>
      </c>
      <c r="D1058" t="s">
        <v>81</v>
      </c>
    </row>
    <row r="1059" spans="1:4" x14ac:dyDescent="0.25">
      <c r="A1059">
        <v>5</v>
      </c>
      <c r="B1059" t="s">
        <v>96</v>
      </c>
      <c r="C1059" s="2">
        <v>44894.347488425927</v>
      </c>
      <c r="D1059" t="s">
        <v>81</v>
      </c>
    </row>
    <row r="1060" spans="1:4" x14ac:dyDescent="0.25">
      <c r="A1060">
        <v>5</v>
      </c>
      <c r="B1060" t="s">
        <v>96</v>
      </c>
      <c r="C1060" s="2">
        <v>44894.357905092591</v>
      </c>
      <c r="D1060" t="s">
        <v>81</v>
      </c>
    </row>
    <row r="1061" spans="1:4" x14ac:dyDescent="0.25">
      <c r="A1061">
        <v>5</v>
      </c>
      <c r="B1061" t="s">
        <v>96</v>
      </c>
      <c r="C1061" s="2">
        <v>44894.368321759262</v>
      </c>
      <c r="D1061" t="s">
        <v>81</v>
      </c>
    </row>
    <row r="1062" spans="1:4" x14ac:dyDescent="0.25">
      <c r="A1062">
        <v>1</v>
      </c>
      <c r="B1062" t="s">
        <v>6</v>
      </c>
      <c r="C1062" s="2">
        <v>44894.37877314815</v>
      </c>
      <c r="D1062" t="s">
        <v>81</v>
      </c>
    </row>
    <row r="1063" spans="1:4" x14ac:dyDescent="0.25">
      <c r="A1063">
        <v>5</v>
      </c>
      <c r="B1063" t="s">
        <v>167</v>
      </c>
      <c r="C1063" s="2">
        <v>44894.378784722219</v>
      </c>
      <c r="D1063" t="s">
        <v>81</v>
      </c>
    </row>
    <row r="1064" spans="1:4" x14ac:dyDescent="0.25">
      <c r="A1064">
        <v>5</v>
      </c>
      <c r="B1064" t="s">
        <v>167</v>
      </c>
      <c r="C1064" s="2">
        <v>44894.389155092591</v>
      </c>
      <c r="D1064" t="s">
        <v>81</v>
      </c>
    </row>
    <row r="1065" spans="1:4" x14ac:dyDescent="0.25">
      <c r="A1065">
        <v>5</v>
      </c>
      <c r="B1065" t="s">
        <v>167</v>
      </c>
      <c r="C1065" s="2">
        <v>44894.399571759262</v>
      </c>
      <c r="D1065" t="s">
        <v>81</v>
      </c>
    </row>
    <row r="1066" spans="1:4" x14ac:dyDescent="0.25">
      <c r="A1066">
        <v>5</v>
      </c>
      <c r="B1066" t="s">
        <v>167</v>
      </c>
      <c r="C1066" s="2">
        <v>44894.409988425927</v>
      </c>
      <c r="D1066" t="s">
        <v>81</v>
      </c>
    </row>
    <row r="1067" spans="1:4" x14ac:dyDescent="0.25">
      <c r="A1067">
        <v>5</v>
      </c>
      <c r="B1067" t="s">
        <v>167</v>
      </c>
      <c r="C1067" s="2">
        <v>44894.420405092591</v>
      </c>
      <c r="D1067" t="s">
        <v>81</v>
      </c>
    </row>
    <row r="1068" spans="1:4" x14ac:dyDescent="0.25">
      <c r="A1068">
        <v>5</v>
      </c>
      <c r="B1068" t="s">
        <v>167</v>
      </c>
      <c r="C1068" s="2">
        <v>44894.430821759262</v>
      </c>
      <c r="D1068" t="s">
        <v>81</v>
      </c>
    </row>
    <row r="1069" spans="1:4" x14ac:dyDescent="0.25">
      <c r="A1069">
        <v>5</v>
      </c>
      <c r="B1069" t="s">
        <v>167</v>
      </c>
      <c r="C1069" s="2">
        <v>44894.441238425927</v>
      </c>
      <c r="D1069" t="s">
        <v>81</v>
      </c>
    </row>
    <row r="1070" spans="1:4" x14ac:dyDescent="0.25">
      <c r="A1070">
        <v>5</v>
      </c>
      <c r="B1070" t="s">
        <v>167</v>
      </c>
      <c r="C1070" s="2">
        <v>44894.451655092591</v>
      </c>
      <c r="D1070" t="s">
        <v>81</v>
      </c>
    </row>
    <row r="1071" spans="1:4" x14ac:dyDescent="0.25">
      <c r="A1071">
        <v>5</v>
      </c>
      <c r="B1071" t="s">
        <v>96</v>
      </c>
      <c r="C1071" s="2">
        <v>44895.285057870373</v>
      </c>
      <c r="D1071" t="s">
        <v>81</v>
      </c>
    </row>
    <row r="1072" spans="1:4" x14ac:dyDescent="0.25">
      <c r="A1072">
        <v>25</v>
      </c>
      <c r="B1072" t="s">
        <v>41</v>
      </c>
      <c r="C1072" s="2">
        <v>44895.285069444442</v>
      </c>
      <c r="D1072" t="s">
        <v>81</v>
      </c>
    </row>
    <row r="1073" spans="1:4" x14ac:dyDescent="0.25">
      <c r="A1073">
        <v>26</v>
      </c>
      <c r="B1073" t="s">
        <v>159</v>
      </c>
      <c r="C1073" s="2">
        <v>44895.285069444442</v>
      </c>
      <c r="D1073" t="s">
        <v>81</v>
      </c>
    </row>
    <row r="1074" spans="1:4" x14ac:dyDescent="0.25">
      <c r="A1074">
        <v>27</v>
      </c>
      <c r="B1074" t="s">
        <v>60</v>
      </c>
      <c r="C1074" s="2">
        <v>44895.285069444442</v>
      </c>
      <c r="D1074" t="s">
        <v>81</v>
      </c>
    </row>
    <row r="1075" spans="1:4" x14ac:dyDescent="0.25">
      <c r="A1075">
        <v>28</v>
      </c>
      <c r="B1075" t="s">
        <v>160</v>
      </c>
      <c r="C1075" s="2">
        <v>44895.285081018519</v>
      </c>
      <c r="D1075" t="s">
        <v>81</v>
      </c>
    </row>
    <row r="1076" spans="1:4" x14ac:dyDescent="0.25">
      <c r="A1076">
        <v>29</v>
      </c>
      <c r="B1076" t="s">
        <v>161</v>
      </c>
      <c r="C1076" s="2">
        <v>44895.285081018519</v>
      </c>
      <c r="D1076" t="s">
        <v>81</v>
      </c>
    </row>
    <row r="1077" spans="1:4" x14ac:dyDescent="0.25">
      <c r="A1077">
        <v>30</v>
      </c>
      <c r="B1077" t="s">
        <v>162</v>
      </c>
      <c r="C1077" s="2">
        <v>44895.285081018519</v>
      </c>
      <c r="D1077" t="s">
        <v>81</v>
      </c>
    </row>
    <row r="1078" spans="1:4" x14ac:dyDescent="0.25">
      <c r="A1078">
        <v>31</v>
      </c>
      <c r="B1078" t="s">
        <v>163</v>
      </c>
      <c r="C1078" s="2">
        <v>44895.285081018519</v>
      </c>
      <c r="D1078" t="s">
        <v>81</v>
      </c>
    </row>
    <row r="1079" spans="1:4" x14ac:dyDescent="0.25">
      <c r="A1079">
        <v>5</v>
      </c>
      <c r="B1079" t="s">
        <v>96</v>
      </c>
      <c r="C1079" s="2">
        <v>44895.295405092591</v>
      </c>
      <c r="D1079" t="s">
        <v>81</v>
      </c>
    </row>
    <row r="1080" spans="1:4" x14ac:dyDescent="0.25">
      <c r="A1080">
        <v>7</v>
      </c>
      <c r="B1080" t="s">
        <v>59</v>
      </c>
      <c r="C1080" s="2">
        <v>44895.295405092591</v>
      </c>
      <c r="D1080" t="s">
        <v>81</v>
      </c>
    </row>
    <row r="1081" spans="1:4" x14ac:dyDescent="0.25">
      <c r="A1081">
        <v>9</v>
      </c>
      <c r="B1081" t="s">
        <v>61</v>
      </c>
      <c r="C1081" s="2">
        <v>44895.295416666668</v>
      </c>
      <c r="D1081" t="s">
        <v>81</v>
      </c>
    </row>
    <row r="1082" spans="1:4" x14ac:dyDescent="0.25">
      <c r="A1082">
        <v>10</v>
      </c>
      <c r="B1082" t="s">
        <v>62</v>
      </c>
      <c r="C1082" s="2">
        <v>44895.295416666668</v>
      </c>
      <c r="D1082" t="s">
        <v>81</v>
      </c>
    </row>
    <row r="1083" spans="1:4" x14ac:dyDescent="0.25">
      <c r="A1083">
        <v>11</v>
      </c>
      <c r="B1083" t="s">
        <v>63</v>
      </c>
      <c r="C1083" s="2">
        <v>44895.295416666668</v>
      </c>
      <c r="D1083" t="s">
        <v>81</v>
      </c>
    </row>
    <row r="1084" spans="1:4" x14ac:dyDescent="0.25">
      <c r="A1084">
        <v>12</v>
      </c>
      <c r="B1084" t="s">
        <v>64</v>
      </c>
      <c r="C1084" s="2">
        <v>44895.295416666668</v>
      </c>
      <c r="D1084" t="s">
        <v>81</v>
      </c>
    </row>
    <row r="1085" spans="1:4" x14ac:dyDescent="0.25">
      <c r="A1085">
        <v>13</v>
      </c>
      <c r="B1085" t="s">
        <v>65</v>
      </c>
      <c r="C1085" s="2">
        <v>44895.295416666668</v>
      </c>
      <c r="D1085" t="s">
        <v>81</v>
      </c>
    </row>
    <row r="1086" spans="1:4" x14ac:dyDescent="0.25">
      <c r="A1086">
        <v>14</v>
      </c>
      <c r="B1086" t="s">
        <v>66</v>
      </c>
      <c r="C1086" s="2">
        <v>44895.295428240737</v>
      </c>
      <c r="D1086" t="s">
        <v>81</v>
      </c>
    </row>
    <row r="1087" spans="1:4" x14ac:dyDescent="0.25">
      <c r="A1087">
        <v>15</v>
      </c>
      <c r="B1087" t="s">
        <v>157</v>
      </c>
      <c r="C1087" s="2">
        <v>44895.295428240737</v>
      </c>
      <c r="D1087" t="s">
        <v>81</v>
      </c>
    </row>
    <row r="1088" spans="1:4" x14ac:dyDescent="0.25">
      <c r="A1088">
        <v>16</v>
      </c>
      <c r="B1088" t="s">
        <v>68</v>
      </c>
      <c r="C1088" s="2">
        <v>44895.295428240737</v>
      </c>
      <c r="D1088" t="s">
        <v>81</v>
      </c>
    </row>
    <row r="1089" spans="1:4" x14ac:dyDescent="0.25">
      <c r="A1089">
        <v>32</v>
      </c>
      <c r="B1089" t="s">
        <v>164</v>
      </c>
      <c r="C1089" s="2">
        <v>44895.295439814814</v>
      </c>
      <c r="D1089" t="s">
        <v>81</v>
      </c>
    </row>
    <row r="1090" spans="1:4" x14ac:dyDescent="0.25">
      <c r="A1090">
        <v>33</v>
      </c>
      <c r="B1090" t="s">
        <v>165</v>
      </c>
      <c r="C1090" s="2">
        <v>44895.295439814814</v>
      </c>
      <c r="D1090" t="s">
        <v>81</v>
      </c>
    </row>
    <row r="1091" spans="1:4" x14ac:dyDescent="0.25">
      <c r="A1091">
        <v>35</v>
      </c>
      <c r="B1091" t="s">
        <v>166</v>
      </c>
      <c r="C1091" s="2">
        <v>44895.295439814814</v>
      </c>
      <c r="D1091" t="s">
        <v>81</v>
      </c>
    </row>
    <row r="1092" spans="1:4" x14ac:dyDescent="0.25">
      <c r="A1092">
        <v>5</v>
      </c>
      <c r="B1092" t="s">
        <v>96</v>
      </c>
      <c r="C1092" s="2">
        <v>44895.305833333332</v>
      </c>
      <c r="D1092" t="s">
        <v>81</v>
      </c>
    </row>
    <row r="1093" spans="1:4" x14ac:dyDescent="0.25">
      <c r="A1093">
        <v>5</v>
      </c>
      <c r="B1093" t="s">
        <v>96</v>
      </c>
      <c r="C1093" s="2">
        <v>44895.316250000003</v>
      </c>
      <c r="D1093" t="s">
        <v>81</v>
      </c>
    </row>
    <row r="1094" spans="1:4" x14ac:dyDescent="0.25">
      <c r="A1094">
        <v>24</v>
      </c>
      <c r="B1094" t="s">
        <v>28</v>
      </c>
      <c r="C1094" s="2">
        <v>44895.316261574073</v>
      </c>
      <c r="D1094" t="s">
        <v>81</v>
      </c>
    </row>
    <row r="1095" spans="1:4" x14ac:dyDescent="0.25">
      <c r="A1095">
        <v>34</v>
      </c>
      <c r="B1095" t="s">
        <v>67</v>
      </c>
      <c r="C1095" s="2">
        <v>44895.316261574073</v>
      </c>
      <c r="D1095" t="s">
        <v>81</v>
      </c>
    </row>
    <row r="1096" spans="1:4" x14ac:dyDescent="0.25">
      <c r="A1096">
        <v>5</v>
      </c>
      <c r="B1096" t="s">
        <v>96</v>
      </c>
      <c r="C1096" s="2">
        <v>44895.326655092591</v>
      </c>
      <c r="D1096" t="s">
        <v>81</v>
      </c>
    </row>
    <row r="1097" spans="1:4" x14ac:dyDescent="0.25">
      <c r="A1097">
        <v>5</v>
      </c>
      <c r="B1097" t="s">
        <v>96</v>
      </c>
      <c r="C1097" s="2">
        <v>44895.337071759262</v>
      </c>
      <c r="D1097" t="s">
        <v>81</v>
      </c>
    </row>
    <row r="1098" spans="1:4" x14ac:dyDescent="0.25">
      <c r="A1098">
        <v>5</v>
      </c>
      <c r="B1098" t="s">
        <v>96</v>
      </c>
      <c r="C1098" s="2">
        <v>44895.347488425927</v>
      </c>
      <c r="D1098" t="s">
        <v>81</v>
      </c>
    </row>
    <row r="1099" spans="1:4" x14ac:dyDescent="0.25">
      <c r="A1099">
        <v>5</v>
      </c>
      <c r="B1099" t="s">
        <v>96</v>
      </c>
      <c r="C1099" s="2">
        <v>44895.357905092591</v>
      </c>
      <c r="D1099" t="s">
        <v>81</v>
      </c>
    </row>
    <row r="1100" spans="1:4" x14ac:dyDescent="0.25">
      <c r="A1100">
        <v>5</v>
      </c>
      <c r="B1100" t="s">
        <v>96</v>
      </c>
      <c r="C1100" s="2">
        <v>44895.368321759262</v>
      </c>
      <c r="D1100" t="s">
        <v>81</v>
      </c>
    </row>
    <row r="1101" spans="1:4" x14ac:dyDescent="0.25">
      <c r="A1101">
        <v>1</v>
      </c>
      <c r="B1101" t="s">
        <v>6</v>
      </c>
      <c r="C1101" s="2">
        <v>44895.378761574073</v>
      </c>
      <c r="D1101" t="s">
        <v>81</v>
      </c>
    </row>
    <row r="1102" spans="1:4" x14ac:dyDescent="0.25">
      <c r="A1102">
        <v>5</v>
      </c>
      <c r="B1102" t="s">
        <v>167</v>
      </c>
      <c r="C1102" s="2">
        <v>44895.37877314815</v>
      </c>
      <c r="D1102" t="s">
        <v>81</v>
      </c>
    </row>
    <row r="1103" spans="1:4" x14ac:dyDescent="0.25">
      <c r="A1103">
        <v>5</v>
      </c>
      <c r="B1103" t="s">
        <v>167</v>
      </c>
      <c r="C1103" s="2">
        <v>44895.389155092591</v>
      </c>
      <c r="D1103" t="s">
        <v>81</v>
      </c>
    </row>
    <row r="1104" spans="1:4" x14ac:dyDescent="0.25">
      <c r="A1104">
        <v>5</v>
      </c>
      <c r="B1104" t="s">
        <v>167</v>
      </c>
      <c r="C1104" s="2">
        <v>44895.399571759262</v>
      </c>
      <c r="D1104" t="s">
        <v>81</v>
      </c>
    </row>
    <row r="1105" spans="1:4" x14ac:dyDescent="0.25">
      <c r="A1105">
        <v>5</v>
      </c>
      <c r="B1105" t="s">
        <v>167</v>
      </c>
      <c r="C1105" s="2">
        <v>44895.409988425927</v>
      </c>
      <c r="D1105" t="s">
        <v>81</v>
      </c>
    </row>
    <row r="1106" spans="1:4" x14ac:dyDescent="0.25">
      <c r="A1106">
        <v>5</v>
      </c>
      <c r="B1106" t="s">
        <v>167</v>
      </c>
      <c r="C1106" s="2">
        <v>44895.420405092591</v>
      </c>
      <c r="D1106" t="s">
        <v>81</v>
      </c>
    </row>
    <row r="1107" spans="1:4" x14ac:dyDescent="0.25">
      <c r="A1107">
        <v>5</v>
      </c>
      <c r="B1107" t="s">
        <v>167</v>
      </c>
      <c r="C1107" s="2">
        <v>44895.430821759262</v>
      </c>
      <c r="D1107" t="s">
        <v>81</v>
      </c>
    </row>
    <row r="1108" spans="1:4" x14ac:dyDescent="0.25">
      <c r="A1108">
        <v>5</v>
      </c>
      <c r="B1108" t="s">
        <v>167</v>
      </c>
      <c r="C1108" s="2">
        <v>44895.441238425927</v>
      </c>
      <c r="D1108" t="s">
        <v>81</v>
      </c>
    </row>
    <row r="1109" spans="1:4" x14ac:dyDescent="0.25">
      <c r="A1109">
        <v>5</v>
      </c>
      <c r="B1109" t="s">
        <v>167</v>
      </c>
      <c r="C1109" s="2">
        <v>44895.451655092591</v>
      </c>
      <c r="D1109" t="s">
        <v>81</v>
      </c>
    </row>
    <row r="1110" spans="1:4" x14ac:dyDescent="0.25">
      <c r="A1110">
        <v>5</v>
      </c>
      <c r="B1110" t="s">
        <v>96</v>
      </c>
      <c r="C1110" s="2">
        <v>44896.285138888888</v>
      </c>
      <c r="D1110" t="s">
        <v>81</v>
      </c>
    </row>
    <row r="1111" spans="1:4" x14ac:dyDescent="0.25">
      <c r="A1111">
        <v>27</v>
      </c>
      <c r="B1111" t="s">
        <v>60</v>
      </c>
      <c r="C1111" s="2">
        <v>44896.285150462965</v>
      </c>
      <c r="D1111" t="s">
        <v>81</v>
      </c>
    </row>
    <row r="1112" spans="1:4" x14ac:dyDescent="0.25">
      <c r="A1112">
        <v>29</v>
      </c>
      <c r="B1112" t="s">
        <v>161</v>
      </c>
      <c r="C1112" s="2">
        <v>44896.285162037035</v>
      </c>
      <c r="D1112" t="s">
        <v>81</v>
      </c>
    </row>
    <row r="1113" spans="1:4" x14ac:dyDescent="0.25">
      <c r="A1113">
        <v>31</v>
      </c>
      <c r="B1113" t="s">
        <v>163</v>
      </c>
      <c r="C1113" s="2">
        <v>44896.285162037035</v>
      </c>
      <c r="D1113" t="s">
        <v>81</v>
      </c>
    </row>
    <row r="1114" spans="1:4" x14ac:dyDescent="0.25">
      <c r="A1114">
        <v>5</v>
      </c>
      <c r="B1114" t="s">
        <v>96</v>
      </c>
      <c r="C1114" s="2">
        <v>44896.29546296296</v>
      </c>
      <c r="D1114" t="s">
        <v>81</v>
      </c>
    </row>
    <row r="1115" spans="1:4" x14ac:dyDescent="0.25">
      <c r="A1115">
        <v>7</v>
      </c>
      <c r="B1115" t="s">
        <v>59</v>
      </c>
      <c r="C1115" s="2">
        <v>44896.29546296296</v>
      </c>
      <c r="D1115" t="s">
        <v>81</v>
      </c>
    </row>
    <row r="1116" spans="1:4" x14ac:dyDescent="0.25">
      <c r="A1116">
        <v>9</v>
      </c>
      <c r="B1116" t="s">
        <v>61</v>
      </c>
      <c r="C1116" s="2">
        <v>44896.29546296296</v>
      </c>
      <c r="D1116" t="s">
        <v>81</v>
      </c>
    </row>
    <row r="1117" spans="1:4" x14ac:dyDescent="0.25">
      <c r="A1117">
        <v>10</v>
      </c>
      <c r="B1117" t="s">
        <v>62</v>
      </c>
      <c r="C1117" s="2">
        <v>44896.295474537037</v>
      </c>
      <c r="D1117" t="s">
        <v>81</v>
      </c>
    </row>
    <row r="1118" spans="1:4" x14ac:dyDescent="0.25">
      <c r="A1118">
        <v>11</v>
      </c>
      <c r="B1118" t="s">
        <v>63</v>
      </c>
      <c r="C1118" s="2">
        <v>44896.295474537037</v>
      </c>
      <c r="D1118" t="s">
        <v>81</v>
      </c>
    </row>
    <row r="1119" spans="1:4" x14ac:dyDescent="0.25">
      <c r="A1119">
        <v>12</v>
      </c>
      <c r="B1119" t="s">
        <v>64</v>
      </c>
      <c r="C1119" s="2">
        <v>44896.295474537037</v>
      </c>
      <c r="D1119" t="s">
        <v>81</v>
      </c>
    </row>
    <row r="1120" spans="1:4" x14ac:dyDescent="0.25">
      <c r="A1120">
        <v>13</v>
      </c>
      <c r="B1120" t="s">
        <v>65</v>
      </c>
      <c r="C1120" s="2">
        <v>44896.295474537037</v>
      </c>
      <c r="D1120" t="s">
        <v>81</v>
      </c>
    </row>
    <row r="1121" spans="1:4" x14ac:dyDescent="0.25">
      <c r="A1121">
        <v>14</v>
      </c>
      <c r="B1121" t="s">
        <v>66</v>
      </c>
      <c r="C1121" s="2">
        <v>44896.295474537037</v>
      </c>
      <c r="D1121" t="s">
        <v>81</v>
      </c>
    </row>
    <row r="1122" spans="1:4" x14ac:dyDescent="0.25">
      <c r="A1122">
        <v>15</v>
      </c>
      <c r="B1122" t="s">
        <v>157</v>
      </c>
      <c r="C1122" s="2">
        <v>44896.295486111114</v>
      </c>
      <c r="D1122" t="s">
        <v>81</v>
      </c>
    </row>
    <row r="1123" spans="1:4" x14ac:dyDescent="0.25">
      <c r="A1123">
        <v>16</v>
      </c>
      <c r="B1123" t="s">
        <v>68</v>
      </c>
      <c r="C1123" s="2">
        <v>44896.295486111114</v>
      </c>
      <c r="D1123" t="s">
        <v>81</v>
      </c>
    </row>
    <row r="1124" spans="1:4" x14ac:dyDescent="0.25">
      <c r="A1124">
        <v>30</v>
      </c>
      <c r="B1124" t="s">
        <v>162</v>
      </c>
      <c r="C1124" s="2">
        <v>44896.295497685183</v>
      </c>
      <c r="D1124" t="s">
        <v>81</v>
      </c>
    </row>
    <row r="1125" spans="1:4" x14ac:dyDescent="0.25">
      <c r="A1125">
        <v>32</v>
      </c>
      <c r="B1125" t="s">
        <v>164</v>
      </c>
      <c r="C1125" s="2">
        <v>44896.295497685183</v>
      </c>
      <c r="D1125" t="s">
        <v>81</v>
      </c>
    </row>
    <row r="1126" spans="1:4" x14ac:dyDescent="0.25">
      <c r="A1126">
        <v>33</v>
      </c>
      <c r="B1126" t="s">
        <v>165</v>
      </c>
      <c r="C1126" s="2">
        <v>44896.295497685183</v>
      </c>
      <c r="D1126" t="s">
        <v>81</v>
      </c>
    </row>
    <row r="1127" spans="1:4" x14ac:dyDescent="0.25">
      <c r="A1127">
        <v>34</v>
      </c>
      <c r="B1127" t="s">
        <v>67</v>
      </c>
      <c r="C1127" s="2">
        <v>44896.295497685183</v>
      </c>
      <c r="D1127" t="s">
        <v>81</v>
      </c>
    </row>
    <row r="1128" spans="1:4" x14ac:dyDescent="0.25">
      <c r="A1128">
        <v>5</v>
      </c>
      <c r="B1128" t="s">
        <v>96</v>
      </c>
      <c r="C1128" s="2">
        <v>44896.305879629632</v>
      </c>
      <c r="D1128" t="s">
        <v>81</v>
      </c>
    </row>
    <row r="1129" spans="1:4" x14ac:dyDescent="0.25">
      <c r="A1129">
        <v>5</v>
      </c>
      <c r="B1129" t="s">
        <v>96</v>
      </c>
      <c r="C1129" s="2">
        <v>44896.316307870373</v>
      </c>
      <c r="D1129" t="s">
        <v>81</v>
      </c>
    </row>
    <row r="1130" spans="1:4" x14ac:dyDescent="0.25">
      <c r="A1130">
        <v>5</v>
      </c>
      <c r="B1130" t="s">
        <v>96</v>
      </c>
      <c r="C1130" s="2">
        <v>44896.32671296296</v>
      </c>
      <c r="D1130" t="s">
        <v>81</v>
      </c>
    </row>
    <row r="1131" spans="1:4" x14ac:dyDescent="0.25">
      <c r="A1131">
        <v>24</v>
      </c>
      <c r="B1131" t="s">
        <v>28</v>
      </c>
      <c r="C1131" s="2">
        <v>44896.326724537037</v>
      </c>
      <c r="D1131" t="s">
        <v>81</v>
      </c>
    </row>
    <row r="1132" spans="1:4" x14ac:dyDescent="0.25">
      <c r="A1132">
        <v>25</v>
      </c>
      <c r="B1132" t="s">
        <v>41</v>
      </c>
      <c r="C1132" s="2">
        <v>44896.326724537037</v>
      </c>
      <c r="D1132" t="s">
        <v>81</v>
      </c>
    </row>
    <row r="1133" spans="1:4" x14ac:dyDescent="0.25">
      <c r="A1133">
        <v>26</v>
      </c>
      <c r="B1133" t="s">
        <v>159</v>
      </c>
      <c r="C1133" s="2">
        <v>44896.326724537037</v>
      </c>
      <c r="D1133" t="s">
        <v>81</v>
      </c>
    </row>
    <row r="1134" spans="1:4" x14ac:dyDescent="0.25">
      <c r="A1134">
        <v>28</v>
      </c>
      <c r="B1134" t="s">
        <v>160</v>
      </c>
      <c r="C1134" s="2">
        <v>44896.326724537037</v>
      </c>
      <c r="D1134" t="s">
        <v>81</v>
      </c>
    </row>
    <row r="1135" spans="1:4" x14ac:dyDescent="0.25">
      <c r="A1135">
        <v>35</v>
      </c>
      <c r="B1135" t="s">
        <v>166</v>
      </c>
      <c r="C1135" s="2">
        <v>44896.326736111114</v>
      </c>
      <c r="D1135" t="s">
        <v>81</v>
      </c>
    </row>
    <row r="1136" spans="1:4" x14ac:dyDescent="0.25">
      <c r="A1136">
        <v>5</v>
      </c>
      <c r="B1136" t="s">
        <v>96</v>
      </c>
      <c r="C1136" s="2">
        <v>44896.337129629632</v>
      </c>
      <c r="D1136" t="s">
        <v>81</v>
      </c>
    </row>
    <row r="1137" spans="1:4" x14ac:dyDescent="0.25">
      <c r="A1137">
        <v>5</v>
      </c>
      <c r="B1137" t="s">
        <v>96</v>
      </c>
      <c r="C1137" s="2">
        <v>44896.347546296296</v>
      </c>
      <c r="D1137" t="s">
        <v>81</v>
      </c>
    </row>
    <row r="1138" spans="1:4" x14ac:dyDescent="0.25">
      <c r="A1138">
        <v>5</v>
      </c>
      <c r="B1138" t="s">
        <v>96</v>
      </c>
      <c r="C1138" s="2">
        <v>44896.35796296296</v>
      </c>
      <c r="D1138" t="s">
        <v>81</v>
      </c>
    </row>
    <row r="1139" spans="1:4" x14ac:dyDescent="0.25">
      <c r="A1139">
        <v>5</v>
      </c>
      <c r="B1139" t="s">
        <v>96</v>
      </c>
      <c r="C1139" s="2">
        <v>44896.368379629632</v>
      </c>
      <c r="D1139" t="s">
        <v>81</v>
      </c>
    </row>
    <row r="1140" spans="1:4" x14ac:dyDescent="0.25">
      <c r="A1140">
        <v>1</v>
      </c>
      <c r="B1140" t="s">
        <v>6</v>
      </c>
      <c r="C1140" s="2">
        <v>44896.378831018519</v>
      </c>
      <c r="D1140" t="s">
        <v>81</v>
      </c>
    </row>
    <row r="1141" spans="1:4" x14ac:dyDescent="0.25">
      <c r="A1141">
        <v>5</v>
      </c>
      <c r="B1141" t="s">
        <v>167</v>
      </c>
      <c r="C1141" s="2">
        <v>44896.378842592596</v>
      </c>
      <c r="D1141" t="s">
        <v>81</v>
      </c>
    </row>
    <row r="1142" spans="1:4" x14ac:dyDescent="0.25">
      <c r="A1142">
        <v>5</v>
      </c>
      <c r="B1142" t="s">
        <v>167</v>
      </c>
      <c r="C1142" s="2">
        <v>44896.38921296296</v>
      </c>
      <c r="D1142" t="s">
        <v>81</v>
      </c>
    </row>
    <row r="1143" spans="1:4" x14ac:dyDescent="0.25">
      <c r="A1143">
        <v>5</v>
      </c>
      <c r="B1143" t="s">
        <v>167</v>
      </c>
      <c r="C1143" s="2">
        <v>44896.399629629632</v>
      </c>
      <c r="D1143" t="s">
        <v>81</v>
      </c>
    </row>
    <row r="1144" spans="1:4" x14ac:dyDescent="0.25">
      <c r="A1144">
        <v>5</v>
      </c>
      <c r="B1144" t="s">
        <v>167</v>
      </c>
      <c r="C1144" s="2">
        <v>44896.410034722219</v>
      </c>
      <c r="D1144" t="s">
        <v>81</v>
      </c>
    </row>
    <row r="1145" spans="1:4" x14ac:dyDescent="0.25">
      <c r="A1145">
        <v>5</v>
      </c>
      <c r="B1145" t="s">
        <v>167</v>
      </c>
      <c r="C1145" s="2">
        <v>44896.42046296296</v>
      </c>
      <c r="D1145" t="s">
        <v>81</v>
      </c>
    </row>
    <row r="1146" spans="1:4" x14ac:dyDescent="0.25">
      <c r="A1146">
        <v>5</v>
      </c>
      <c r="B1146" t="s">
        <v>167</v>
      </c>
      <c r="C1146" s="2">
        <v>44896.430868055555</v>
      </c>
      <c r="D1146" t="s">
        <v>81</v>
      </c>
    </row>
    <row r="1147" spans="1:4" x14ac:dyDescent="0.25">
      <c r="A1147">
        <v>5</v>
      </c>
      <c r="B1147" t="s">
        <v>167</v>
      </c>
      <c r="C1147" s="2">
        <v>44896.441296296296</v>
      </c>
      <c r="D1147" t="s">
        <v>81</v>
      </c>
    </row>
    <row r="1148" spans="1:4" x14ac:dyDescent="0.25">
      <c r="A1148">
        <v>5</v>
      </c>
      <c r="B1148" t="s">
        <v>167</v>
      </c>
      <c r="C1148" s="2">
        <v>44896.45171296296</v>
      </c>
      <c r="D1148" t="s">
        <v>81</v>
      </c>
    </row>
    <row r="1149" spans="1:4" x14ac:dyDescent="0.25">
      <c r="A1149">
        <v>5</v>
      </c>
      <c r="B1149" t="s">
        <v>96</v>
      </c>
      <c r="C1149" s="2">
        <v>44897.285127314812</v>
      </c>
      <c r="D1149" t="s">
        <v>81</v>
      </c>
    </row>
    <row r="1150" spans="1:4" x14ac:dyDescent="0.25">
      <c r="A1150">
        <v>26</v>
      </c>
      <c r="B1150" t="s">
        <v>159</v>
      </c>
      <c r="C1150" s="2">
        <v>44897.285138888888</v>
      </c>
      <c r="D1150" t="s">
        <v>81</v>
      </c>
    </row>
    <row r="1151" spans="1:4" x14ac:dyDescent="0.25">
      <c r="A1151">
        <v>28</v>
      </c>
      <c r="B1151" t="s">
        <v>160</v>
      </c>
      <c r="C1151" s="2">
        <v>44897.285150462965</v>
      </c>
      <c r="D1151" t="s">
        <v>81</v>
      </c>
    </row>
    <row r="1152" spans="1:4" x14ac:dyDescent="0.25">
      <c r="A1152">
        <v>29</v>
      </c>
      <c r="B1152" t="s">
        <v>161</v>
      </c>
      <c r="C1152" s="2">
        <v>44897.285150462965</v>
      </c>
      <c r="D1152" t="s">
        <v>81</v>
      </c>
    </row>
    <row r="1153" spans="1:4" x14ac:dyDescent="0.25">
      <c r="A1153">
        <v>31</v>
      </c>
      <c r="B1153" t="s">
        <v>163</v>
      </c>
      <c r="C1153" s="2">
        <v>44897.285150462965</v>
      </c>
      <c r="D1153" t="s">
        <v>81</v>
      </c>
    </row>
    <row r="1154" spans="1:4" x14ac:dyDescent="0.25">
      <c r="A1154">
        <v>5</v>
      </c>
      <c r="B1154" t="s">
        <v>96</v>
      </c>
      <c r="C1154" s="2">
        <v>44897.295439814814</v>
      </c>
      <c r="D1154" t="s">
        <v>81</v>
      </c>
    </row>
    <row r="1155" spans="1:4" x14ac:dyDescent="0.25">
      <c r="A1155">
        <v>7</v>
      </c>
      <c r="B1155" t="s">
        <v>59</v>
      </c>
      <c r="C1155" s="2">
        <v>44897.295451388891</v>
      </c>
      <c r="D1155" t="s">
        <v>81</v>
      </c>
    </row>
    <row r="1156" spans="1:4" x14ac:dyDescent="0.25">
      <c r="A1156">
        <v>9</v>
      </c>
      <c r="B1156" t="s">
        <v>61</v>
      </c>
      <c r="C1156" s="2">
        <v>44897.295451388891</v>
      </c>
      <c r="D1156" t="s">
        <v>81</v>
      </c>
    </row>
    <row r="1157" spans="1:4" x14ac:dyDescent="0.25">
      <c r="A1157">
        <v>10</v>
      </c>
      <c r="B1157" t="s">
        <v>62</v>
      </c>
      <c r="C1157" s="2">
        <v>44897.295451388891</v>
      </c>
      <c r="D1157" t="s">
        <v>81</v>
      </c>
    </row>
    <row r="1158" spans="1:4" x14ac:dyDescent="0.25">
      <c r="A1158">
        <v>11</v>
      </c>
      <c r="B1158" t="s">
        <v>63</v>
      </c>
      <c r="C1158" s="2">
        <v>44897.295451388891</v>
      </c>
      <c r="D1158" t="s">
        <v>81</v>
      </c>
    </row>
    <row r="1159" spans="1:4" x14ac:dyDescent="0.25">
      <c r="A1159">
        <v>12</v>
      </c>
      <c r="B1159" t="s">
        <v>64</v>
      </c>
      <c r="C1159" s="2">
        <v>44897.29546296296</v>
      </c>
      <c r="D1159" t="s">
        <v>81</v>
      </c>
    </row>
    <row r="1160" spans="1:4" x14ac:dyDescent="0.25">
      <c r="A1160">
        <v>13</v>
      </c>
      <c r="B1160" t="s">
        <v>65</v>
      </c>
      <c r="C1160" s="2">
        <v>44897.29546296296</v>
      </c>
      <c r="D1160" t="s">
        <v>81</v>
      </c>
    </row>
    <row r="1161" spans="1:4" x14ac:dyDescent="0.25">
      <c r="A1161">
        <v>14</v>
      </c>
      <c r="B1161" t="s">
        <v>66</v>
      </c>
      <c r="C1161" s="2">
        <v>44897.29546296296</v>
      </c>
      <c r="D1161" t="s">
        <v>81</v>
      </c>
    </row>
    <row r="1162" spans="1:4" x14ac:dyDescent="0.25">
      <c r="A1162">
        <v>15</v>
      </c>
      <c r="B1162" t="s">
        <v>157</v>
      </c>
      <c r="C1162" s="2">
        <v>44897.29546296296</v>
      </c>
      <c r="D1162" t="s">
        <v>81</v>
      </c>
    </row>
    <row r="1163" spans="1:4" x14ac:dyDescent="0.25">
      <c r="A1163">
        <v>16</v>
      </c>
      <c r="B1163" t="s">
        <v>68</v>
      </c>
      <c r="C1163" s="2">
        <v>44897.295474537037</v>
      </c>
      <c r="D1163" t="s">
        <v>81</v>
      </c>
    </row>
    <row r="1164" spans="1:4" x14ac:dyDescent="0.25">
      <c r="A1164">
        <v>30</v>
      </c>
      <c r="B1164" t="s">
        <v>162</v>
      </c>
      <c r="C1164" s="2">
        <v>44897.295474537037</v>
      </c>
      <c r="D1164" t="s">
        <v>81</v>
      </c>
    </row>
    <row r="1165" spans="1:4" x14ac:dyDescent="0.25">
      <c r="A1165">
        <v>32</v>
      </c>
      <c r="B1165" t="s">
        <v>164</v>
      </c>
      <c r="C1165" s="2">
        <v>44897.295474537037</v>
      </c>
      <c r="D1165" t="s">
        <v>81</v>
      </c>
    </row>
    <row r="1166" spans="1:4" x14ac:dyDescent="0.25">
      <c r="A1166">
        <v>33</v>
      </c>
      <c r="B1166" t="s">
        <v>165</v>
      </c>
      <c r="C1166" s="2">
        <v>44897.295486111114</v>
      </c>
      <c r="D1166" t="s">
        <v>81</v>
      </c>
    </row>
    <row r="1167" spans="1:4" x14ac:dyDescent="0.25">
      <c r="A1167">
        <v>34</v>
      </c>
      <c r="B1167" t="s">
        <v>67</v>
      </c>
      <c r="C1167" s="2">
        <v>44897.295486111114</v>
      </c>
      <c r="D1167" t="s">
        <v>81</v>
      </c>
    </row>
    <row r="1168" spans="1:4" x14ac:dyDescent="0.25">
      <c r="A1168">
        <v>5</v>
      </c>
      <c r="B1168" t="s">
        <v>96</v>
      </c>
      <c r="C1168" s="2">
        <v>44897.316296296296</v>
      </c>
      <c r="D1168" t="s">
        <v>81</v>
      </c>
    </row>
    <row r="1169" spans="1:4" x14ac:dyDescent="0.25">
      <c r="A1169">
        <v>24</v>
      </c>
      <c r="B1169" t="s">
        <v>28</v>
      </c>
      <c r="C1169" s="2">
        <v>44897.316307870373</v>
      </c>
      <c r="D1169" t="s">
        <v>81</v>
      </c>
    </row>
    <row r="1170" spans="1:4" x14ac:dyDescent="0.25">
      <c r="A1170">
        <v>25</v>
      </c>
      <c r="B1170" t="s">
        <v>41</v>
      </c>
      <c r="C1170" s="2">
        <v>44897.316307870373</v>
      </c>
      <c r="D1170" t="s">
        <v>81</v>
      </c>
    </row>
    <row r="1171" spans="1:4" x14ac:dyDescent="0.25">
      <c r="A1171">
        <v>27</v>
      </c>
      <c r="B1171" t="s">
        <v>60</v>
      </c>
      <c r="C1171" s="2">
        <v>44897.316319444442</v>
      </c>
      <c r="D1171" t="s">
        <v>81</v>
      </c>
    </row>
    <row r="1172" spans="1:4" x14ac:dyDescent="0.25">
      <c r="A1172">
        <v>35</v>
      </c>
      <c r="B1172" t="s">
        <v>166</v>
      </c>
      <c r="C1172" s="2">
        <v>44897.316319444442</v>
      </c>
      <c r="D1172" t="s">
        <v>81</v>
      </c>
    </row>
    <row r="1173" spans="1:4" x14ac:dyDescent="0.25">
      <c r="A1173">
        <v>5</v>
      </c>
      <c r="B1173" t="s">
        <v>96</v>
      </c>
      <c r="C1173" s="2">
        <v>44897.326701388891</v>
      </c>
      <c r="D1173" t="s">
        <v>81</v>
      </c>
    </row>
    <row r="1174" spans="1:4" x14ac:dyDescent="0.25">
      <c r="A1174">
        <v>5</v>
      </c>
      <c r="B1174" t="s">
        <v>96</v>
      </c>
      <c r="C1174" s="2">
        <v>44897.337118055555</v>
      </c>
      <c r="D1174" t="s">
        <v>81</v>
      </c>
    </row>
    <row r="1175" spans="1:4" x14ac:dyDescent="0.25">
      <c r="A1175">
        <v>5</v>
      </c>
      <c r="B1175" t="s">
        <v>96</v>
      </c>
      <c r="C1175" s="2">
        <v>44897.347534722219</v>
      </c>
      <c r="D1175" t="s">
        <v>81</v>
      </c>
    </row>
    <row r="1176" spans="1:4" x14ac:dyDescent="0.25">
      <c r="A1176">
        <v>5</v>
      </c>
      <c r="B1176" t="s">
        <v>96</v>
      </c>
      <c r="C1176" s="2">
        <v>44897.357951388891</v>
      </c>
      <c r="D1176" t="s">
        <v>81</v>
      </c>
    </row>
    <row r="1177" spans="1:4" x14ac:dyDescent="0.25">
      <c r="A1177">
        <v>5</v>
      </c>
      <c r="B1177" t="s">
        <v>96</v>
      </c>
      <c r="C1177" s="2">
        <v>44897.368368055555</v>
      </c>
      <c r="D1177" t="s">
        <v>81</v>
      </c>
    </row>
    <row r="1178" spans="1:4" x14ac:dyDescent="0.25">
      <c r="A1178">
        <v>1</v>
      </c>
      <c r="B1178" t="s">
        <v>6</v>
      </c>
      <c r="C1178" s="2">
        <v>44897.378819444442</v>
      </c>
      <c r="D1178" t="s">
        <v>81</v>
      </c>
    </row>
    <row r="1179" spans="1:4" x14ac:dyDescent="0.25">
      <c r="A1179">
        <v>5</v>
      </c>
      <c r="B1179" t="s">
        <v>167</v>
      </c>
      <c r="C1179" s="2">
        <v>44897.378819444442</v>
      </c>
      <c r="D1179" t="s">
        <v>81</v>
      </c>
    </row>
    <row r="1180" spans="1:4" x14ac:dyDescent="0.25">
      <c r="A1180">
        <v>5</v>
      </c>
      <c r="B1180" t="s">
        <v>167</v>
      </c>
      <c r="C1180" s="2">
        <v>44897.389201388891</v>
      </c>
      <c r="D1180" t="s">
        <v>81</v>
      </c>
    </row>
    <row r="1181" spans="1:4" x14ac:dyDescent="0.25">
      <c r="A1181">
        <v>5</v>
      </c>
      <c r="B1181" t="s">
        <v>167</v>
      </c>
      <c r="C1181" s="2">
        <v>44897.399618055555</v>
      </c>
      <c r="D1181" t="s">
        <v>81</v>
      </c>
    </row>
    <row r="1182" spans="1:4" x14ac:dyDescent="0.25">
      <c r="A1182">
        <v>5</v>
      </c>
      <c r="B1182" t="s">
        <v>167</v>
      </c>
      <c r="C1182" s="2">
        <v>44897.410034722219</v>
      </c>
      <c r="D1182" t="s">
        <v>81</v>
      </c>
    </row>
    <row r="1183" spans="1:4" x14ac:dyDescent="0.25">
      <c r="A1183">
        <v>5</v>
      </c>
      <c r="B1183" t="s">
        <v>167</v>
      </c>
      <c r="C1183" s="2">
        <v>44897.420451388891</v>
      </c>
      <c r="D1183" t="s">
        <v>81</v>
      </c>
    </row>
    <row r="1184" spans="1:4" x14ac:dyDescent="0.25">
      <c r="A1184">
        <v>5</v>
      </c>
      <c r="B1184" t="s">
        <v>167</v>
      </c>
      <c r="C1184" s="2">
        <v>44897.430868055555</v>
      </c>
      <c r="D1184" t="s">
        <v>81</v>
      </c>
    </row>
    <row r="1185" spans="1:4" x14ac:dyDescent="0.25">
      <c r="A1185">
        <v>5</v>
      </c>
      <c r="B1185" t="s">
        <v>167</v>
      </c>
      <c r="C1185" s="2">
        <v>44897.441284722219</v>
      </c>
      <c r="D1185" t="s">
        <v>81</v>
      </c>
    </row>
    <row r="1186" spans="1:4" x14ac:dyDescent="0.25">
      <c r="A1186">
        <v>5</v>
      </c>
      <c r="B1186" t="s">
        <v>167</v>
      </c>
      <c r="C1186" s="2">
        <v>44897.451701388891</v>
      </c>
      <c r="D1186" t="s">
        <v>81</v>
      </c>
    </row>
    <row r="1187" spans="1:4" x14ac:dyDescent="0.25">
      <c r="A1187">
        <v>5</v>
      </c>
      <c r="B1187" t="s">
        <v>96</v>
      </c>
      <c r="C1187" s="2">
        <v>44898.285150462965</v>
      </c>
      <c r="D1187" t="s">
        <v>81</v>
      </c>
    </row>
    <row r="1188" spans="1:4" x14ac:dyDescent="0.25">
      <c r="A1188">
        <v>24</v>
      </c>
      <c r="B1188" t="s">
        <v>28</v>
      </c>
      <c r="C1188" s="2">
        <v>44898.285162037035</v>
      </c>
      <c r="D1188" t="s">
        <v>81</v>
      </c>
    </row>
    <row r="1189" spans="1:4" x14ac:dyDescent="0.25">
      <c r="A1189">
        <v>26</v>
      </c>
      <c r="B1189" t="s">
        <v>159</v>
      </c>
      <c r="C1189" s="2">
        <v>44898.285162037035</v>
      </c>
      <c r="D1189" t="s">
        <v>81</v>
      </c>
    </row>
    <row r="1190" spans="1:4" x14ac:dyDescent="0.25">
      <c r="A1190">
        <v>28</v>
      </c>
      <c r="B1190" t="s">
        <v>160</v>
      </c>
      <c r="C1190" s="2">
        <v>44898.285173611112</v>
      </c>
      <c r="D1190" t="s">
        <v>81</v>
      </c>
    </row>
    <row r="1191" spans="1:4" x14ac:dyDescent="0.25">
      <c r="A1191">
        <v>31</v>
      </c>
      <c r="B1191" t="s">
        <v>163</v>
      </c>
      <c r="C1191" s="2">
        <v>44898.285173611112</v>
      </c>
      <c r="D1191" t="s">
        <v>81</v>
      </c>
    </row>
    <row r="1192" spans="1:4" x14ac:dyDescent="0.25">
      <c r="A1192">
        <v>5</v>
      </c>
      <c r="B1192" t="s">
        <v>96</v>
      </c>
      <c r="C1192" s="2">
        <v>44898.29546296296</v>
      </c>
      <c r="D1192" t="s">
        <v>81</v>
      </c>
    </row>
    <row r="1193" spans="1:4" x14ac:dyDescent="0.25">
      <c r="A1193">
        <v>7</v>
      </c>
      <c r="B1193" t="s">
        <v>59</v>
      </c>
      <c r="C1193" s="2">
        <v>44898.29546296296</v>
      </c>
      <c r="D1193" t="s">
        <v>81</v>
      </c>
    </row>
    <row r="1194" spans="1:4" x14ac:dyDescent="0.25">
      <c r="A1194">
        <v>9</v>
      </c>
      <c r="B1194" t="s">
        <v>61</v>
      </c>
      <c r="C1194" s="2">
        <v>44898.295474537037</v>
      </c>
      <c r="D1194" t="s">
        <v>81</v>
      </c>
    </row>
    <row r="1195" spans="1:4" x14ac:dyDescent="0.25">
      <c r="A1195">
        <v>10</v>
      </c>
      <c r="B1195" t="s">
        <v>62</v>
      </c>
      <c r="C1195" s="2">
        <v>44898.295474537037</v>
      </c>
      <c r="D1195" t="s">
        <v>81</v>
      </c>
    </row>
    <row r="1196" spans="1:4" x14ac:dyDescent="0.25">
      <c r="A1196">
        <v>11</v>
      </c>
      <c r="B1196" t="s">
        <v>63</v>
      </c>
      <c r="C1196" s="2">
        <v>44898.295474537037</v>
      </c>
      <c r="D1196" t="s">
        <v>81</v>
      </c>
    </row>
    <row r="1197" spans="1:4" x14ac:dyDescent="0.25">
      <c r="A1197">
        <v>12</v>
      </c>
      <c r="B1197" t="s">
        <v>64</v>
      </c>
      <c r="C1197" s="2">
        <v>44898.295474537037</v>
      </c>
      <c r="D1197" t="s">
        <v>81</v>
      </c>
    </row>
    <row r="1198" spans="1:4" x14ac:dyDescent="0.25">
      <c r="A1198">
        <v>13</v>
      </c>
      <c r="B1198" t="s">
        <v>65</v>
      </c>
      <c r="C1198" s="2">
        <v>44898.295474537037</v>
      </c>
      <c r="D1198" t="s">
        <v>81</v>
      </c>
    </row>
    <row r="1199" spans="1:4" x14ac:dyDescent="0.25">
      <c r="A1199">
        <v>14</v>
      </c>
      <c r="B1199" t="s">
        <v>66</v>
      </c>
      <c r="C1199" s="2">
        <v>44898.295486111114</v>
      </c>
      <c r="D1199" t="s">
        <v>81</v>
      </c>
    </row>
    <row r="1200" spans="1:4" x14ac:dyDescent="0.25">
      <c r="A1200">
        <v>15</v>
      </c>
      <c r="B1200" t="s">
        <v>157</v>
      </c>
      <c r="C1200" s="2">
        <v>44898.295486111114</v>
      </c>
      <c r="D1200" t="s">
        <v>81</v>
      </c>
    </row>
    <row r="1201" spans="1:4" x14ac:dyDescent="0.25">
      <c r="A1201">
        <v>16</v>
      </c>
      <c r="B1201" t="s">
        <v>68</v>
      </c>
      <c r="C1201" s="2">
        <v>44898.295486111114</v>
      </c>
      <c r="D1201" t="s">
        <v>81</v>
      </c>
    </row>
    <row r="1202" spans="1:4" x14ac:dyDescent="0.25">
      <c r="A1202">
        <v>34</v>
      </c>
      <c r="B1202" t="s">
        <v>67</v>
      </c>
      <c r="C1202" s="2">
        <v>44898.295497685183</v>
      </c>
      <c r="D1202" t="s">
        <v>81</v>
      </c>
    </row>
    <row r="1203" spans="1:4" x14ac:dyDescent="0.25">
      <c r="A1203">
        <v>35</v>
      </c>
      <c r="B1203" t="s">
        <v>166</v>
      </c>
      <c r="C1203" s="2">
        <v>44898.295497685183</v>
      </c>
      <c r="D1203" t="s">
        <v>81</v>
      </c>
    </row>
    <row r="1204" spans="1:4" x14ac:dyDescent="0.25">
      <c r="A1204">
        <v>5</v>
      </c>
      <c r="B1204" t="s">
        <v>96</v>
      </c>
      <c r="C1204" s="2">
        <v>44898.305891203701</v>
      </c>
      <c r="D1204" t="s">
        <v>81</v>
      </c>
    </row>
    <row r="1205" spans="1:4" x14ac:dyDescent="0.25">
      <c r="A1205">
        <v>5</v>
      </c>
      <c r="B1205" t="s">
        <v>96</v>
      </c>
      <c r="C1205" s="2">
        <v>44898.316307870373</v>
      </c>
      <c r="D1205" t="s">
        <v>81</v>
      </c>
    </row>
    <row r="1206" spans="1:4" x14ac:dyDescent="0.25">
      <c r="A1206">
        <v>5</v>
      </c>
      <c r="B1206" t="s">
        <v>96</v>
      </c>
      <c r="C1206" s="2">
        <v>44898.32671296296</v>
      </c>
      <c r="D1206" t="s">
        <v>81</v>
      </c>
    </row>
    <row r="1207" spans="1:4" x14ac:dyDescent="0.25">
      <c r="A1207">
        <v>25</v>
      </c>
      <c r="B1207" t="s">
        <v>41</v>
      </c>
      <c r="C1207" s="2">
        <v>44898.326724537037</v>
      </c>
      <c r="D1207" t="s">
        <v>81</v>
      </c>
    </row>
    <row r="1208" spans="1:4" x14ac:dyDescent="0.25">
      <c r="A1208">
        <v>30</v>
      </c>
      <c r="B1208" t="s">
        <v>162</v>
      </c>
      <c r="C1208" s="2">
        <v>44898.326724537037</v>
      </c>
      <c r="D1208" t="s">
        <v>81</v>
      </c>
    </row>
    <row r="1209" spans="1:4" x14ac:dyDescent="0.25">
      <c r="A1209">
        <v>5</v>
      </c>
      <c r="B1209" t="s">
        <v>96</v>
      </c>
      <c r="C1209" s="2">
        <v>44898.337094907409</v>
      </c>
      <c r="D1209" t="s">
        <v>81</v>
      </c>
    </row>
    <row r="1210" spans="1:4" x14ac:dyDescent="0.25">
      <c r="A1210">
        <v>27</v>
      </c>
      <c r="B1210" t="s">
        <v>60</v>
      </c>
      <c r="C1210" s="2">
        <v>44898.337106481478</v>
      </c>
      <c r="D1210" t="s">
        <v>81</v>
      </c>
    </row>
    <row r="1211" spans="1:4" x14ac:dyDescent="0.25">
      <c r="A1211">
        <v>29</v>
      </c>
      <c r="B1211" t="s">
        <v>161</v>
      </c>
      <c r="C1211" s="2">
        <v>44898.337106481478</v>
      </c>
      <c r="D1211" t="s">
        <v>81</v>
      </c>
    </row>
    <row r="1212" spans="1:4" x14ac:dyDescent="0.25">
      <c r="A1212">
        <v>32</v>
      </c>
      <c r="B1212" t="s">
        <v>164</v>
      </c>
      <c r="C1212" s="2">
        <v>44898.337106481478</v>
      </c>
      <c r="D1212" t="s">
        <v>81</v>
      </c>
    </row>
    <row r="1213" spans="1:4" x14ac:dyDescent="0.25">
      <c r="A1213">
        <v>33</v>
      </c>
      <c r="B1213" t="s">
        <v>165</v>
      </c>
      <c r="C1213" s="2">
        <v>44898.337118055555</v>
      </c>
      <c r="D1213" t="s">
        <v>81</v>
      </c>
    </row>
    <row r="1214" spans="1:4" x14ac:dyDescent="0.25">
      <c r="A1214">
        <v>5</v>
      </c>
      <c r="B1214" t="s">
        <v>96</v>
      </c>
      <c r="C1214" s="2">
        <v>44898.347546296296</v>
      </c>
      <c r="D1214" t="s">
        <v>81</v>
      </c>
    </row>
    <row r="1215" spans="1:4" x14ac:dyDescent="0.25">
      <c r="A1215">
        <v>5</v>
      </c>
      <c r="B1215" t="s">
        <v>96</v>
      </c>
      <c r="C1215" s="2">
        <v>44898.35796296296</v>
      </c>
      <c r="D1215" t="s">
        <v>81</v>
      </c>
    </row>
    <row r="1216" spans="1:4" x14ac:dyDescent="0.25">
      <c r="A1216">
        <v>5</v>
      </c>
      <c r="B1216" t="s">
        <v>96</v>
      </c>
      <c r="C1216" s="2">
        <v>44898.368379629632</v>
      </c>
      <c r="D1216" t="s">
        <v>81</v>
      </c>
    </row>
    <row r="1217" spans="1:4" x14ac:dyDescent="0.25">
      <c r="A1217">
        <v>5</v>
      </c>
      <c r="B1217" t="s">
        <v>96</v>
      </c>
      <c r="C1217" s="2">
        <v>44898.378807870373</v>
      </c>
      <c r="D1217" t="s">
        <v>81</v>
      </c>
    </row>
    <row r="1218" spans="1:4" x14ac:dyDescent="0.25">
      <c r="A1218">
        <v>1</v>
      </c>
      <c r="B1218" t="s">
        <v>6</v>
      </c>
      <c r="C1218" s="2">
        <v>44898.389247685183</v>
      </c>
      <c r="D1218" t="s">
        <v>81</v>
      </c>
    </row>
    <row r="1219" spans="1:4" x14ac:dyDescent="0.25">
      <c r="A1219">
        <v>5</v>
      </c>
      <c r="B1219" t="s">
        <v>167</v>
      </c>
      <c r="C1219" s="2">
        <v>44898.38925925926</v>
      </c>
      <c r="D1219" t="s">
        <v>81</v>
      </c>
    </row>
    <row r="1220" spans="1:4" x14ac:dyDescent="0.25">
      <c r="A1220">
        <v>5</v>
      </c>
      <c r="B1220" t="s">
        <v>167</v>
      </c>
      <c r="C1220" s="2">
        <v>44898.399629629632</v>
      </c>
      <c r="D1220" t="s">
        <v>81</v>
      </c>
    </row>
    <row r="1221" spans="1:4" x14ac:dyDescent="0.25">
      <c r="A1221">
        <v>5</v>
      </c>
      <c r="B1221" t="s">
        <v>167</v>
      </c>
      <c r="C1221" s="2">
        <v>44898.410034722219</v>
      </c>
      <c r="D1221" t="s">
        <v>81</v>
      </c>
    </row>
    <row r="1222" spans="1:4" x14ac:dyDescent="0.25">
      <c r="A1222">
        <v>5</v>
      </c>
      <c r="B1222" t="s">
        <v>167</v>
      </c>
      <c r="C1222" s="2">
        <v>44898.42046296296</v>
      </c>
      <c r="D1222" t="s">
        <v>81</v>
      </c>
    </row>
    <row r="1223" spans="1:4" x14ac:dyDescent="0.25">
      <c r="A1223">
        <v>5</v>
      </c>
      <c r="B1223" t="s">
        <v>167</v>
      </c>
      <c r="C1223" s="2">
        <v>44898.430868055555</v>
      </c>
      <c r="D1223" t="s">
        <v>81</v>
      </c>
    </row>
    <row r="1224" spans="1:4" x14ac:dyDescent="0.25">
      <c r="A1224">
        <v>5</v>
      </c>
      <c r="B1224" t="s">
        <v>167</v>
      </c>
      <c r="C1224" s="2">
        <v>44898.441296296296</v>
      </c>
      <c r="D1224" t="s">
        <v>81</v>
      </c>
    </row>
    <row r="1225" spans="1:4" x14ac:dyDescent="0.25">
      <c r="A1225">
        <v>5</v>
      </c>
      <c r="B1225" t="s">
        <v>167</v>
      </c>
      <c r="C1225" s="2">
        <v>44898.45171296296</v>
      </c>
      <c r="D1225" t="s">
        <v>81</v>
      </c>
    </row>
    <row r="1226" spans="1:4" x14ac:dyDescent="0.25">
      <c r="A1226">
        <v>5</v>
      </c>
      <c r="B1226" t="s">
        <v>96</v>
      </c>
      <c r="C1226" s="2">
        <v>44899.285162037035</v>
      </c>
      <c r="D1226" t="s">
        <v>81</v>
      </c>
    </row>
    <row r="1227" spans="1:4" x14ac:dyDescent="0.25">
      <c r="A1227">
        <v>27</v>
      </c>
      <c r="B1227" t="s">
        <v>60</v>
      </c>
      <c r="C1227" s="2">
        <v>44899.285173611112</v>
      </c>
      <c r="D1227" t="s">
        <v>81</v>
      </c>
    </row>
    <row r="1228" spans="1:4" x14ac:dyDescent="0.25">
      <c r="A1228">
        <v>28</v>
      </c>
      <c r="B1228" t="s">
        <v>160</v>
      </c>
      <c r="C1228" s="2">
        <v>44899.285185185188</v>
      </c>
      <c r="D1228" t="s">
        <v>81</v>
      </c>
    </row>
    <row r="1229" spans="1:4" x14ac:dyDescent="0.25">
      <c r="A1229">
        <v>29</v>
      </c>
      <c r="B1229" t="s">
        <v>161</v>
      </c>
      <c r="C1229" s="2">
        <v>44899.285185185188</v>
      </c>
      <c r="D1229" t="s">
        <v>81</v>
      </c>
    </row>
    <row r="1230" spans="1:4" x14ac:dyDescent="0.25">
      <c r="A1230">
        <v>31</v>
      </c>
      <c r="B1230" t="s">
        <v>163</v>
      </c>
      <c r="C1230" s="2">
        <v>44899.285185185188</v>
      </c>
      <c r="D1230" t="s">
        <v>81</v>
      </c>
    </row>
    <row r="1231" spans="1:4" x14ac:dyDescent="0.25">
      <c r="A1231">
        <v>5</v>
      </c>
      <c r="B1231" t="s">
        <v>96</v>
      </c>
      <c r="C1231" s="2">
        <v>44899.295451388891</v>
      </c>
      <c r="D1231" t="s">
        <v>81</v>
      </c>
    </row>
    <row r="1232" spans="1:4" x14ac:dyDescent="0.25">
      <c r="A1232">
        <v>7</v>
      </c>
      <c r="B1232" t="s">
        <v>59</v>
      </c>
      <c r="C1232" s="2">
        <v>44899.29546296296</v>
      </c>
      <c r="D1232" t="s">
        <v>81</v>
      </c>
    </row>
    <row r="1233" spans="1:4" x14ac:dyDescent="0.25">
      <c r="A1233">
        <v>9</v>
      </c>
      <c r="B1233" t="s">
        <v>61</v>
      </c>
      <c r="C1233" s="2">
        <v>44899.29546296296</v>
      </c>
      <c r="D1233" t="s">
        <v>81</v>
      </c>
    </row>
    <row r="1234" spans="1:4" x14ac:dyDescent="0.25">
      <c r="A1234">
        <v>10</v>
      </c>
      <c r="B1234" t="s">
        <v>62</v>
      </c>
      <c r="C1234" s="2">
        <v>44899.29546296296</v>
      </c>
      <c r="D1234" t="s">
        <v>81</v>
      </c>
    </row>
    <row r="1235" spans="1:4" x14ac:dyDescent="0.25">
      <c r="A1235">
        <v>11</v>
      </c>
      <c r="B1235" t="s">
        <v>63</v>
      </c>
      <c r="C1235" s="2">
        <v>44899.29546296296</v>
      </c>
      <c r="D1235" t="s">
        <v>81</v>
      </c>
    </row>
    <row r="1236" spans="1:4" x14ac:dyDescent="0.25">
      <c r="A1236">
        <v>12</v>
      </c>
      <c r="B1236" t="s">
        <v>64</v>
      </c>
      <c r="C1236" s="2">
        <v>44899.295474537037</v>
      </c>
      <c r="D1236" t="s">
        <v>81</v>
      </c>
    </row>
    <row r="1237" spans="1:4" x14ac:dyDescent="0.25">
      <c r="A1237">
        <v>13</v>
      </c>
      <c r="B1237" t="s">
        <v>65</v>
      </c>
      <c r="C1237" s="2">
        <v>44899.295474537037</v>
      </c>
      <c r="D1237" t="s">
        <v>81</v>
      </c>
    </row>
    <row r="1238" spans="1:4" x14ac:dyDescent="0.25">
      <c r="A1238">
        <v>14</v>
      </c>
      <c r="B1238" t="s">
        <v>66</v>
      </c>
      <c r="C1238" s="2">
        <v>44899.295474537037</v>
      </c>
      <c r="D1238" t="s">
        <v>81</v>
      </c>
    </row>
    <row r="1239" spans="1:4" x14ac:dyDescent="0.25">
      <c r="A1239">
        <v>15</v>
      </c>
      <c r="B1239" t="s">
        <v>157</v>
      </c>
      <c r="C1239" s="2">
        <v>44899.295474537037</v>
      </c>
      <c r="D1239" t="s">
        <v>81</v>
      </c>
    </row>
    <row r="1240" spans="1:4" x14ac:dyDescent="0.25">
      <c r="A1240">
        <v>16</v>
      </c>
      <c r="B1240" t="s">
        <v>68</v>
      </c>
      <c r="C1240" s="2">
        <v>44899.295486111114</v>
      </c>
      <c r="D1240" t="s">
        <v>81</v>
      </c>
    </row>
    <row r="1241" spans="1:4" x14ac:dyDescent="0.25">
      <c r="A1241">
        <v>30</v>
      </c>
      <c r="B1241" t="s">
        <v>162</v>
      </c>
      <c r="C1241" s="2">
        <v>44899.295486111114</v>
      </c>
      <c r="D1241" t="s">
        <v>81</v>
      </c>
    </row>
    <row r="1242" spans="1:4" x14ac:dyDescent="0.25">
      <c r="A1242">
        <v>35</v>
      </c>
      <c r="B1242" t="s">
        <v>166</v>
      </c>
      <c r="C1242" s="2">
        <v>44899.295497685183</v>
      </c>
      <c r="D1242" t="s">
        <v>81</v>
      </c>
    </row>
    <row r="1243" spans="1:4" x14ac:dyDescent="0.25">
      <c r="A1243">
        <v>5</v>
      </c>
      <c r="B1243" t="s">
        <v>96</v>
      </c>
      <c r="C1243" s="2">
        <v>44899.305891203701</v>
      </c>
      <c r="D1243" t="s">
        <v>81</v>
      </c>
    </row>
    <row r="1244" spans="1:4" x14ac:dyDescent="0.25">
      <c r="A1244">
        <v>5</v>
      </c>
      <c r="B1244" t="s">
        <v>96</v>
      </c>
      <c r="C1244" s="2">
        <v>44899.316307870373</v>
      </c>
      <c r="D1244" t="s">
        <v>81</v>
      </c>
    </row>
    <row r="1245" spans="1:4" x14ac:dyDescent="0.25">
      <c r="A1245">
        <v>24</v>
      </c>
      <c r="B1245" t="s">
        <v>28</v>
      </c>
      <c r="C1245" s="2">
        <v>44899.316319444442</v>
      </c>
      <c r="D1245" t="s">
        <v>81</v>
      </c>
    </row>
    <row r="1246" spans="1:4" x14ac:dyDescent="0.25">
      <c r="A1246">
        <v>25</v>
      </c>
      <c r="B1246" t="s">
        <v>41</v>
      </c>
      <c r="C1246" s="2">
        <v>44899.316331018519</v>
      </c>
      <c r="D1246" t="s">
        <v>81</v>
      </c>
    </row>
    <row r="1247" spans="1:4" x14ac:dyDescent="0.25">
      <c r="A1247">
        <v>26</v>
      </c>
      <c r="B1247" t="s">
        <v>159</v>
      </c>
      <c r="C1247" s="2">
        <v>44899.316331018519</v>
      </c>
      <c r="D1247" t="s">
        <v>81</v>
      </c>
    </row>
    <row r="1248" spans="1:4" x14ac:dyDescent="0.25">
      <c r="A1248">
        <v>32</v>
      </c>
      <c r="B1248" t="s">
        <v>164</v>
      </c>
      <c r="C1248" s="2">
        <v>44899.316331018519</v>
      </c>
      <c r="D1248" t="s">
        <v>81</v>
      </c>
    </row>
    <row r="1249" spans="1:4" x14ac:dyDescent="0.25">
      <c r="A1249">
        <v>33</v>
      </c>
      <c r="B1249" t="s">
        <v>165</v>
      </c>
      <c r="C1249" s="2">
        <v>44899.316331018519</v>
      </c>
      <c r="D1249" t="s">
        <v>81</v>
      </c>
    </row>
    <row r="1250" spans="1:4" x14ac:dyDescent="0.25">
      <c r="A1250">
        <v>34</v>
      </c>
      <c r="B1250" t="s">
        <v>67</v>
      </c>
      <c r="C1250" s="2">
        <v>44899.316342592596</v>
      </c>
      <c r="D1250" t="s">
        <v>81</v>
      </c>
    </row>
    <row r="1251" spans="1:4" x14ac:dyDescent="0.25">
      <c r="A1251">
        <v>5</v>
      </c>
      <c r="B1251" t="s">
        <v>96</v>
      </c>
      <c r="C1251" s="2">
        <v>44899.32671296296</v>
      </c>
      <c r="D1251" t="s">
        <v>81</v>
      </c>
    </row>
    <row r="1252" spans="1:4" x14ac:dyDescent="0.25">
      <c r="A1252">
        <v>5</v>
      </c>
      <c r="B1252" t="s">
        <v>96</v>
      </c>
      <c r="C1252" s="2">
        <v>44899.337129629632</v>
      </c>
      <c r="D1252" t="s">
        <v>81</v>
      </c>
    </row>
    <row r="1253" spans="1:4" x14ac:dyDescent="0.25">
      <c r="A1253">
        <v>5</v>
      </c>
      <c r="B1253" t="s">
        <v>96</v>
      </c>
      <c r="C1253" s="2">
        <v>44899.347546296296</v>
      </c>
      <c r="D1253" t="s">
        <v>81</v>
      </c>
    </row>
    <row r="1254" spans="1:4" x14ac:dyDescent="0.25">
      <c r="A1254">
        <v>5</v>
      </c>
      <c r="B1254" t="s">
        <v>96</v>
      </c>
      <c r="C1254" s="2">
        <v>44899.35796296296</v>
      </c>
      <c r="D1254" t="s">
        <v>81</v>
      </c>
    </row>
    <row r="1255" spans="1:4" x14ac:dyDescent="0.25">
      <c r="A1255">
        <v>5</v>
      </c>
      <c r="B1255" t="s">
        <v>96</v>
      </c>
      <c r="C1255" s="2">
        <v>44899.368379629632</v>
      </c>
      <c r="D1255" t="s">
        <v>81</v>
      </c>
    </row>
    <row r="1256" spans="1:4" x14ac:dyDescent="0.25">
      <c r="A1256">
        <v>5</v>
      </c>
      <c r="B1256" t="s">
        <v>96</v>
      </c>
      <c r="C1256" s="2">
        <v>44899.378807870373</v>
      </c>
      <c r="D1256" t="s">
        <v>81</v>
      </c>
    </row>
    <row r="1257" spans="1:4" x14ac:dyDescent="0.25">
      <c r="A1257">
        <v>5</v>
      </c>
      <c r="B1257" t="s">
        <v>96</v>
      </c>
      <c r="C1257" s="2">
        <v>44899.38921296296</v>
      </c>
      <c r="D1257" t="s">
        <v>81</v>
      </c>
    </row>
    <row r="1258" spans="1:4" x14ac:dyDescent="0.25">
      <c r="A1258">
        <v>5</v>
      </c>
      <c r="B1258" t="s">
        <v>96</v>
      </c>
      <c r="C1258" s="2">
        <v>44899.399629629632</v>
      </c>
      <c r="D1258" t="s">
        <v>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0C2E3-4E93-4030-9F86-64F5E10DE4CC}">
  <sheetPr codeName="Sheet5"/>
  <dimension ref="A1:D1669"/>
  <sheetViews>
    <sheetView topLeftCell="A281" workbookViewId="0">
      <selection activeCell="D298" sqref="D298"/>
    </sheetView>
  </sheetViews>
  <sheetFormatPr defaultRowHeight="15" x14ac:dyDescent="0.25"/>
  <cols>
    <col min="1" max="1" width="7.28515625" bestFit="1" customWidth="1"/>
    <col min="2" max="2" width="50.140625" bestFit="1" customWidth="1"/>
    <col min="3" max="3" width="15.85546875" bestFit="1" customWidth="1"/>
    <col min="4" max="4" width="18" bestFit="1" customWidth="1"/>
  </cols>
  <sheetData>
    <row r="1" spans="1:4" x14ac:dyDescent="0.25">
      <c r="A1" t="s">
        <v>15</v>
      </c>
      <c r="B1" t="s">
        <v>4</v>
      </c>
      <c r="C1" t="s">
        <v>16</v>
      </c>
      <c r="D1" t="s">
        <v>79</v>
      </c>
    </row>
    <row r="2" spans="1:4" x14ac:dyDescent="0.25">
      <c r="A2">
        <v>24</v>
      </c>
      <c r="B2" s="20" t="s">
        <v>28</v>
      </c>
      <c r="C2" s="2">
        <v>44866.40625</v>
      </c>
      <c r="D2" s="20" t="s">
        <v>81</v>
      </c>
    </row>
    <row r="3" spans="1:4" x14ac:dyDescent="0.25">
      <c r="A3">
        <v>26</v>
      </c>
      <c r="B3" s="20" t="s">
        <v>59</v>
      </c>
      <c r="C3" s="2">
        <v>44866.40625</v>
      </c>
      <c r="D3" s="20" t="s">
        <v>81</v>
      </c>
    </row>
    <row r="4" spans="1:4" x14ac:dyDescent="0.25">
      <c r="A4">
        <v>25</v>
      </c>
      <c r="B4" s="20" t="s">
        <v>41</v>
      </c>
      <c r="C4" s="2">
        <v>44866.436111111114</v>
      </c>
      <c r="D4" s="20" t="s">
        <v>81</v>
      </c>
    </row>
    <row r="5" spans="1:4" x14ac:dyDescent="0.25">
      <c r="A5">
        <v>27</v>
      </c>
      <c r="B5" s="20" t="s">
        <v>60</v>
      </c>
      <c r="C5" s="2">
        <v>44866.436111111114</v>
      </c>
      <c r="D5" s="20" t="s">
        <v>81</v>
      </c>
    </row>
    <row r="6" spans="1:4" x14ac:dyDescent="0.25">
      <c r="A6">
        <v>28</v>
      </c>
      <c r="B6" s="20" t="s">
        <v>61</v>
      </c>
      <c r="C6" s="2">
        <v>44866.436111111114</v>
      </c>
      <c r="D6" s="20" t="s">
        <v>81</v>
      </c>
    </row>
    <row r="7" spans="1:4" x14ac:dyDescent="0.25">
      <c r="A7">
        <v>29</v>
      </c>
      <c r="B7" s="20" t="s">
        <v>62</v>
      </c>
      <c r="C7" s="2">
        <v>44866.436111111114</v>
      </c>
      <c r="D7" s="20" t="s">
        <v>81</v>
      </c>
    </row>
    <row r="8" spans="1:4" x14ac:dyDescent="0.25">
      <c r="A8">
        <v>30</v>
      </c>
      <c r="B8" s="20" t="s">
        <v>63</v>
      </c>
      <c r="C8" s="2">
        <v>44866.436111111114</v>
      </c>
      <c r="D8" s="20" t="s">
        <v>81</v>
      </c>
    </row>
    <row r="9" spans="1:4" x14ac:dyDescent="0.25">
      <c r="A9">
        <v>31</v>
      </c>
      <c r="B9" s="20" t="s">
        <v>64</v>
      </c>
      <c r="C9" s="2">
        <v>44866.436111111114</v>
      </c>
      <c r="D9" s="20" t="s">
        <v>81</v>
      </c>
    </row>
    <row r="10" spans="1:4" x14ac:dyDescent="0.25">
      <c r="A10">
        <v>32</v>
      </c>
      <c r="B10" s="20" t="s">
        <v>65</v>
      </c>
      <c r="C10" s="2">
        <v>44866.436111111114</v>
      </c>
      <c r="D10" s="20" t="s">
        <v>81</v>
      </c>
    </row>
    <row r="11" spans="1:4" x14ac:dyDescent="0.25">
      <c r="A11">
        <v>33</v>
      </c>
      <c r="B11" s="20" t="s">
        <v>66</v>
      </c>
      <c r="C11" s="2">
        <v>44866.436111111114</v>
      </c>
      <c r="D11" s="20" t="s">
        <v>81</v>
      </c>
    </row>
    <row r="12" spans="1:4" x14ac:dyDescent="0.25">
      <c r="A12">
        <v>35</v>
      </c>
      <c r="B12" s="20" t="s">
        <v>68</v>
      </c>
      <c r="C12" s="2">
        <v>44866.436111111114</v>
      </c>
      <c r="D12" s="20" t="s">
        <v>81</v>
      </c>
    </row>
    <row r="13" spans="1:4" x14ac:dyDescent="0.25">
      <c r="A13">
        <v>3</v>
      </c>
      <c r="B13" s="20" t="s">
        <v>39</v>
      </c>
      <c r="C13" s="2">
        <v>44867.356944444444</v>
      </c>
      <c r="D13" s="20" t="s">
        <v>81</v>
      </c>
    </row>
    <row r="14" spans="1:4" x14ac:dyDescent="0.25">
      <c r="A14">
        <v>7</v>
      </c>
      <c r="B14" s="20" t="s">
        <v>59</v>
      </c>
      <c r="C14" s="2">
        <v>44867.356944444444</v>
      </c>
      <c r="D14" s="20" t="s">
        <v>81</v>
      </c>
    </row>
    <row r="15" spans="1:4" x14ac:dyDescent="0.25">
      <c r="A15">
        <v>9</v>
      </c>
      <c r="B15" s="20" t="s">
        <v>61</v>
      </c>
      <c r="C15" s="2">
        <v>44867.356944444444</v>
      </c>
      <c r="D15" s="20" t="s">
        <v>81</v>
      </c>
    </row>
    <row r="16" spans="1:4" x14ac:dyDescent="0.25">
      <c r="A16">
        <v>10</v>
      </c>
      <c r="B16" s="20" t="s">
        <v>62</v>
      </c>
      <c r="C16" s="2">
        <v>44867.356944444444</v>
      </c>
      <c r="D16" s="20" t="s">
        <v>81</v>
      </c>
    </row>
    <row r="17" spans="1:4" x14ac:dyDescent="0.25">
      <c r="A17">
        <v>11</v>
      </c>
      <c r="B17" s="20" t="s">
        <v>63</v>
      </c>
      <c r="C17" s="2">
        <v>44867.356944444444</v>
      </c>
      <c r="D17" s="20" t="s">
        <v>81</v>
      </c>
    </row>
    <row r="18" spans="1:4" x14ac:dyDescent="0.25">
      <c r="A18">
        <v>12</v>
      </c>
      <c r="B18" s="20" t="s">
        <v>64</v>
      </c>
      <c r="C18" s="2">
        <v>44867.356944444444</v>
      </c>
      <c r="D18" s="20" t="s">
        <v>81</v>
      </c>
    </row>
    <row r="19" spans="1:4" x14ac:dyDescent="0.25">
      <c r="A19">
        <v>13</v>
      </c>
      <c r="B19" s="20" t="s">
        <v>65</v>
      </c>
      <c r="C19" s="2">
        <v>44867.356944444444</v>
      </c>
      <c r="D19" s="20" t="s">
        <v>81</v>
      </c>
    </row>
    <row r="20" spans="1:4" x14ac:dyDescent="0.25">
      <c r="A20">
        <v>14</v>
      </c>
      <c r="B20" s="20" t="s">
        <v>66</v>
      </c>
      <c r="C20" s="2">
        <v>44867.356944444444</v>
      </c>
      <c r="D20" s="20" t="s">
        <v>81</v>
      </c>
    </row>
    <row r="21" spans="1:4" x14ac:dyDescent="0.25">
      <c r="A21">
        <v>16</v>
      </c>
      <c r="B21" s="20" t="s">
        <v>68</v>
      </c>
      <c r="C21" s="2">
        <v>44867.356944444444</v>
      </c>
      <c r="D21" s="20" t="s">
        <v>81</v>
      </c>
    </row>
    <row r="22" spans="1:4" x14ac:dyDescent="0.25">
      <c r="A22">
        <v>17</v>
      </c>
      <c r="B22" s="20" t="s">
        <v>105</v>
      </c>
      <c r="C22" s="2">
        <v>44867.356944444444</v>
      </c>
      <c r="D22" s="20" t="s">
        <v>81</v>
      </c>
    </row>
    <row r="23" spans="1:4" x14ac:dyDescent="0.25">
      <c r="A23">
        <v>18</v>
      </c>
      <c r="B23" s="20" t="s">
        <v>106</v>
      </c>
      <c r="C23" s="2">
        <v>44867.356944444444</v>
      </c>
      <c r="D23" s="20" t="s">
        <v>81</v>
      </c>
    </row>
    <row r="24" spans="1:4" x14ac:dyDescent="0.25">
      <c r="A24">
        <v>19</v>
      </c>
      <c r="B24" s="20" t="s">
        <v>107</v>
      </c>
      <c r="C24" s="2">
        <v>44867.356944444444</v>
      </c>
      <c r="D24" s="20" t="s">
        <v>81</v>
      </c>
    </row>
    <row r="25" spans="1:4" x14ac:dyDescent="0.25">
      <c r="A25">
        <v>20</v>
      </c>
      <c r="B25" s="20" t="s">
        <v>108</v>
      </c>
      <c r="C25" s="2">
        <v>44867.356944444444</v>
      </c>
      <c r="D25" s="20" t="s">
        <v>81</v>
      </c>
    </row>
    <row r="26" spans="1:4" x14ac:dyDescent="0.25">
      <c r="A26">
        <v>21</v>
      </c>
      <c r="B26" s="20" t="s">
        <v>109</v>
      </c>
      <c r="C26" s="2">
        <v>44867.356944444444</v>
      </c>
      <c r="D26" s="20" t="s">
        <v>81</v>
      </c>
    </row>
    <row r="27" spans="1:4" x14ac:dyDescent="0.25">
      <c r="A27">
        <v>22</v>
      </c>
      <c r="B27" s="20" t="s">
        <v>110</v>
      </c>
      <c r="C27" s="2">
        <v>44867.356944444444</v>
      </c>
      <c r="D27" s="20" t="s">
        <v>81</v>
      </c>
    </row>
    <row r="28" spans="1:4" x14ac:dyDescent="0.25">
      <c r="A28">
        <v>23</v>
      </c>
      <c r="B28" s="20" t="s">
        <v>111</v>
      </c>
      <c r="C28" s="2">
        <v>44867.356944444444</v>
      </c>
      <c r="D28" s="20" t="s">
        <v>81</v>
      </c>
    </row>
    <row r="29" spans="1:4" x14ac:dyDescent="0.25">
      <c r="A29">
        <v>24</v>
      </c>
      <c r="B29" s="20" t="s">
        <v>28</v>
      </c>
      <c r="C29" s="2">
        <v>44867.356944444444</v>
      </c>
      <c r="D29" s="20" t="s">
        <v>81</v>
      </c>
    </row>
    <row r="30" spans="1:4" x14ac:dyDescent="0.25">
      <c r="A30">
        <v>25</v>
      </c>
      <c r="B30" s="20" t="s">
        <v>41</v>
      </c>
      <c r="C30" s="2">
        <v>44867.356944444444</v>
      </c>
      <c r="D30" s="20" t="s">
        <v>81</v>
      </c>
    </row>
    <row r="31" spans="1:4" x14ac:dyDescent="0.25">
      <c r="A31">
        <v>26</v>
      </c>
      <c r="B31" s="20" t="s">
        <v>59</v>
      </c>
      <c r="C31" s="2">
        <v>44867.356944444444</v>
      </c>
      <c r="D31" s="20" t="s">
        <v>81</v>
      </c>
    </row>
    <row r="32" spans="1:4" x14ac:dyDescent="0.25">
      <c r="A32">
        <v>27</v>
      </c>
      <c r="B32" s="20" t="s">
        <v>60</v>
      </c>
      <c r="C32" s="2">
        <v>44867.356944444444</v>
      </c>
      <c r="D32" s="20" t="s">
        <v>81</v>
      </c>
    </row>
    <row r="33" spans="1:4" x14ac:dyDescent="0.25">
      <c r="A33">
        <v>28</v>
      </c>
      <c r="B33" s="20" t="s">
        <v>61</v>
      </c>
      <c r="C33" s="2">
        <v>44867.356944444444</v>
      </c>
      <c r="D33" s="20" t="s">
        <v>81</v>
      </c>
    </row>
    <row r="34" spans="1:4" x14ac:dyDescent="0.25">
      <c r="A34">
        <v>29</v>
      </c>
      <c r="B34" s="20" t="s">
        <v>62</v>
      </c>
      <c r="C34" s="2">
        <v>44867.356944444444</v>
      </c>
      <c r="D34" s="20" t="s">
        <v>81</v>
      </c>
    </row>
    <row r="35" spans="1:4" x14ac:dyDescent="0.25">
      <c r="A35">
        <v>30</v>
      </c>
      <c r="B35" s="20" t="s">
        <v>63</v>
      </c>
      <c r="C35" s="2">
        <v>44867.356944444444</v>
      </c>
      <c r="D35" s="20" t="s">
        <v>81</v>
      </c>
    </row>
    <row r="36" spans="1:4" x14ac:dyDescent="0.25">
      <c r="A36">
        <v>31</v>
      </c>
      <c r="B36" s="20" t="s">
        <v>64</v>
      </c>
      <c r="C36" s="2">
        <v>44867.356944444444</v>
      </c>
      <c r="D36" s="20" t="s">
        <v>81</v>
      </c>
    </row>
    <row r="37" spans="1:4" x14ac:dyDescent="0.25">
      <c r="A37">
        <v>32</v>
      </c>
      <c r="B37" s="20" t="s">
        <v>65</v>
      </c>
      <c r="C37" s="2">
        <v>44867.356944444444</v>
      </c>
      <c r="D37" s="20" t="s">
        <v>81</v>
      </c>
    </row>
    <row r="38" spans="1:4" x14ac:dyDescent="0.25">
      <c r="A38">
        <v>33</v>
      </c>
      <c r="B38" s="20" t="s">
        <v>66</v>
      </c>
      <c r="C38" s="2">
        <v>44867.356944444444</v>
      </c>
      <c r="D38" s="20" t="s">
        <v>81</v>
      </c>
    </row>
    <row r="39" spans="1:4" x14ac:dyDescent="0.25">
      <c r="A39">
        <v>34</v>
      </c>
      <c r="B39" s="20" t="s">
        <v>67</v>
      </c>
      <c r="C39" s="2">
        <v>44867.356944444444</v>
      </c>
      <c r="D39" s="20" t="s">
        <v>81</v>
      </c>
    </row>
    <row r="40" spans="1:4" x14ac:dyDescent="0.25">
      <c r="A40">
        <v>35</v>
      </c>
      <c r="B40" s="20" t="s">
        <v>68</v>
      </c>
      <c r="C40" s="2">
        <v>44867.356944444444</v>
      </c>
      <c r="D40" s="20" t="s">
        <v>81</v>
      </c>
    </row>
    <row r="41" spans="1:4" x14ac:dyDescent="0.25">
      <c r="A41">
        <v>24</v>
      </c>
      <c r="B41" s="20" t="s">
        <v>28</v>
      </c>
      <c r="C41" s="2">
        <v>44867.366666666669</v>
      </c>
      <c r="D41" s="20" t="s">
        <v>81</v>
      </c>
    </row>
    <row r="42" spans="1:4" x14ac:dyDescent="0.25">
      <c r="A42">
        <v>5</v>
      </c>
      <c r="B42" s="20" t="s">
        <v>96</v>
      </c>
      <c r="C42" s="2">
        <v>44867.377083333333</v>
      </c>
      <c r="D42" s="20" t="s">
        <v>81</v>
      </c>
    </row>
    <row r="43" spans="1:4" x14ac:dyDescent="0.25">
      <c r="A43">
        <v>5</v>
      </c>
      <c r="B43" s="20" t="s">
        <v>96</v>
      </c>
      <c r="C43" s="2">
        <v>44867.380555555559</v>
      </c>
      <c r="D43" s="20" t="s">
        <v>80</v>
      </c>
    </row>
    <row r="44" spans="1:4" x14ac:dyDescent="0.25">
      <c r="A44">
        <v>5</v>
      </c>
      <c r="B44" s="20" t="s">
        <v>96</v>
      </c>
      <c r="C44" s="2">
        <v>44867.381249999999</v>
      </c>
      <c r="D44" s="20" t="s">
        <v>80</v>
      </c>
    </row>
    <row r="45" spans="1:4" x14ac:dyDescent="0.25">
      <c r="A45">
        <v>5</v>
      </c>
      <c r="B45" s="20" t="s">
        <v>96</v>
      </c>
      <c r="C45" s="2">
        <v>44867.38958333333</v>
      </c>
      <c r="D45" s="20" t="s">
        <v>81</v>
      </c>
    </row>
    <row r="46" spans="1:4" x14ac:dyDescent="0.25">
      <c r="A46">
        <v>26</v>
      </c>
      <c r="B46" s="20" t="s">
        <v>59</v>
      </c>
      <c r="C46" s="2">
        <v>44867.38958333333</v>
      </c>
      <c r="D46" s="20" t="s">
        <v>81</v>
      </c>
    </row>
    <row r="47" spans="1:4" x14ac:dyDescent="0.25">
      <c r="A47">
        <v>28</v>
      </c>
      <c r="B47" s="20" t="s">
        <v>61</v>
      </c>
      <c r="C47" s="2">
        <v>44867.38958333333</v>
      </c>
      <c r="D47" s="20" t="s">
        <v>81</v>
      </c>
    </row>
    <row r="48" spans="1:4" x14ac:dyDescent="0.25">
      <c r="A48">
        <v>29</v>
      </c>
      <c r="B48" s="20" t="s">
        <v>62</v>
      </c>
      <c r="C48" s="2">
        <v>44867.38958333333</v>
      </c>
      <c r="D48" s="20" t="s">
        <v>81</v>
      </c>
    </row>
    <row r="49" spans="1:4" x14ac:dyDescent="0.25">
      <c r="A49">
        <v>30</v>
      </c>
      <c r="B49" s="20" t="s">
        <v>63</v>
      </c>
      <c r="C49" s="2">
        <v>44867.38958333333</v>
      </c>
      <c r="D49" s="20" t="s">
        <v>81</v>
      </c>
    </row>
    <row r="50" spans="1:4" x14ac:dyDescent="0.25">
      <c r="A50">
        <v>31</v>
      </c>
      <c r="B50" s="20" t="s">
        <v>64</v>
      </c>
      <c r="C50" s="2">
        <v>44867.38958333333</v>
      </c>
      <c r="D50" s="20" t="s">
        <v>81</v>
      </c>
    </row>
    <row r="51" spans="1:4" x14ac:dyDescent="0.25">
      <c r="A51">
        <v>32</v>
      </c>
      <c r="B51" s="20" t="s">
        <v>65</v>
      </c>
      <c r="C51" s="2">
        <v>44867.38958333333</v>
      </c>
      <c r="D51" s="20" t="s">
        <v>81</v>
      </c>
    </row>
    <row r="52" spans="1:4" x14ac:dyDescent="0.25">
      <c r="A52">
        <v>33</v>
      </c>
      <c r="B52" s="20" t="s">
        <v>66</v>
      </c>
      <c r="C52" s="2">
        <v>44867.38958333333</v>
      </c>
      <c r="D52" s="20" t="s">
        <v>81</v>
      </c>
    </row>
    <row r="53" spans="1:4" x14ac:dyDescent="0.25">
      <c r="A53">
        <v>35</v>
      </c>
      <c r="B53" s="20" t="s">
        <v>68</v>
      </c>
      <c r="C53" s="2">
        <v>44867.38958333333</v>
      </c>
      <c r="D53" s="20" t="s">
        <v>81</v>
      </c>
    </row>
    <row r="54" spans="1:4" x14ac:dyDescent="0.25">
      <c r="A54">
        <v>5</v>
      </c>
      <c r="B54" s="20" t="s">
        <v>96</v>
      </c>
      <c r="C54" s="2">
        <v>44867.396527777775</v>
      </c>
      <c r="D54" s="20" t="s">
        <v>80</v>
      </c>
    </row>
    <row r="55" spans="1:4" x14ac:dyDescent="0.25">
      <c r="A55">
        <v>5</v>
      </c>
      <c r="B55" s="20" t="s">
        <v>96</v>
      </c>
      <c r="C55" s="2">
        <v>44867.40625</v>
      </c>
      <c r="D55" s="20" t="s">
        <v>81</v>
      </c>
    </row>
    <row r="56" spans="1:4" x14ac:dyDescent="0.25">
      <c r="A56">
        <v>26</v>
      </c>
      <c r="B56" s="20" t="s">
        <v>59</v>
      </c>
      <c r="C56" s="2">
        <v>44867.40625</v>
      </c>
      <c r="D56" s="20" t="s">
        <v>81</v>
      </c>
    </row>
    <row r="57" spans="1:4" x14ac:dyDescent="0.25">
      <c r="A57">
        <v>28</v>
      </c>
      <c r="B57" s="20" t="s">
        <v>61</v>
      </c>
      <c r="C57" s="2">
        <v>44867.40625</v>
      </c>
      <c r="D57" s="20" t="s">
        <v>81</v>
      </c>
    </row>
    <row r="58" spans="1:4" x14ac:dyDescent="0.25">
      <c r="A58">
        <v>29</v>
      </c>
      <c r="B58" s="20" t="s">
        <v>62</v>
      </c>
      <c r="C58" s="2">
        <v>44867.40625</v>
      </c>
      <c r="D58" s="20" t="s">
        <v>81</v>
      </c>
    </row>
    <row r="59" spans="1:4" x14ac:dyDescent="0.25">
      <c r="A59">
        <v>30</v>
      </c>
      <c r="B59" s="20" t="s">
        <v>63</v>
      </c>
      <c r="C59" s="2">
        <v>44867.40625</v>
      </c>
      <c r="D59" s="20" t="s">
        <v>81</v>
      </c>
    </row>
    <row r="60" spans="1:4" x14ac:dyDescent="0.25">
      <c r="A60">
        <v>31</v>
      </c>
      <c r="B60" s="20" t="s">
        <v>64</v>
      </c>
      <c r="C60" s="2">
        <v>44867.40625</v>
      </c>
      <c r="D60" s="20" t="s">
        <v>81</v>
      </c>
    </row>
    <row r="61" spans="1:4" x14ac:dyDescent="0.25">
      <c r="A61">
        <v>32</v>
      </c>
      <c r="B61" s="20" t="s">
        <v>65</v>
      </c>
      <c r="C61" s="2">
        <v>44867.40625</v>
      </c>
      <c r="D61" s="20" t="s">
        <v>81</v>
      </c>
    </row>
    <row r="62" spans="1:4" x14ac:dyDescent="0.25">
      <c r="A62">
        <v>33</v>
      </c>
      <c r="B62" s="20" t="s">
        <v>66</v>
      </c>
      <c r="C62" s="2">
        <v>44867.40625</v>
      </c>
      <c r="D62" s="20" t="s">
        <v>81</v>
      </c>
    </row>
    <row r="63" spans="1:4" x14ac:dyDescent="0.25">
      <c r="A63">
        <v>35</v>
      </c>
      <c r="B63" s="20" t="s">
        <v>68</v>
      </c>
      <c r="C63" s="2">
        <v>44867.40625</v>
      </c>
      <c r="D63" s="20" t="s">
        <v>81</v>
      </c>
    </row>
    <row r="64" spans="1:4" x14ac:dyDescent="0.25">
      <c r="A64">
        <v>5</v>
      </c>
      <c r="B64" s="20" t="s">
        <v>96</v>
      </c>
      <c r="C64" s="2">
        <v>44867.425000000003</v>
      </c>
      <c r="D64" s="20" t="s">
        <v>81</v>
      </c>
    </row>
    <row r="65" spans="1:4" x14ac:dyDescent="0.25">
      <c r="A65">
        <v>26</v>
      </c>
      <c r="B65" s="20" t="s">
        <v>59</v>
      </c>
      <c r="C65" s="2">
        <v>44867.425000000003</v>
      </c>
      <c r="D65" s="20" t="s">
        <v>81</v>
      </c>
    </row>
    <row r="66" spans="1:4" x14ac:dyDescent="0.25">
      <c r="A66">
        <v>28</v>
      </c>
      <c r="B66" s="20" t="s">
        <v>61</v>
      </c>
      <c r="C66" s="2">
        <v>44867.425000000003</v>
      </c>
      <c r="D66" s="20" t="s">
        <v>81</v>
      </c>
    </row>
    <row r="67" spans="1:4" x14ac:dyDescent="0.25">
      <c r="A67">
        <v>29</v>
      </c>
      <c r="B67" s="20" t="s">
        <v>62</v>
      </c>
      <c r="C67" s="2">
        <v>44867.425000000003</v>
      </c>
      <c r="D67" s="20" t="s">
        <v>81</v>
      </c>
    </row>
    <row r="68" spans="1:4" x14ac:dyDescent="0.25">
      <c r="A68">
        <v>30</v>
      </c>
      <c r="B68" s="20" t="s">
        <v>63</v>
      </c>
      <c r="C68" s="2">
        <v>44867.425000000003</v>
      </c>
      <c r="D68" s="20" t="s">
        <v>81</v>
      </c>
    </row>
    <row r="69" spans="1:4" x14ac:dyDescent="0.25">
      <c r="A69">
        <v>31</v>
      </c>
      <c r="B69" s="20" t="s">
        <v>64</v>
      </c>
      <c r="C69" s="2">
        <v>44867.425000000003</v>
      </c>
      <c r="D69" s="20" t="s">
        <v>81</v>
      </c>
    </row>
    <row r="70" spans="1:4" x14ac:dyDescent="0.25">
      <c r="A70">
        <v>32</v>
      </c>
      <c r="B70" s="20" t="s">
        <v>65</v>
      </c>
      <c r="C70" s="2">
        <v>44867.425000000003</v>
      </c>
      <c r="D70" s="20" t="s">
        <v>81</v>
      </c>
    </row>
    <row r="71" spans="1:4" x14ac:dyDescent="0.25">
      <c r="A71">
        <v>33</v>
      </c>
      <c r="B71" s="20" t="s">
        <v>66</v>
      </c>
      <c r="C71" s="2">
        <v>44867.425000000003</v>
      </c>
      <c r="D71" s="20" t="s">
        <v>81</v>
      </c>
    </row>
    <row r="72" spans="1:4" x14ac:dyDescent="0.25">
      <c r="A72">
        <v>35</v>
      </c>
      <c r="B72" s="20" t="s">
        <v>68</v>
      </c>
      <c r="C72" s="2">
        <v>44867.425000000003</v>
      </c>
      <c r="D72" s="20" t="s">
        <v>81</v>
      </c>
    </row>
    <row r="73" spans="1:4" x14ac:dyDescent="0.25">
      <c r="A73">
        <v>4</v>
      </c>
      <c r="B73" s="20" t="s">
        <v>155</v>
      </c>
      <c r="C73" s="2">
        <v>44867.888194444444</v>
      </c>
      <c r="D73" s="20" t="s">
        <v>81</v>
      </c>
    </row>
    <row r="74" spans="1:4" x14ac:dyDescent="0.25">
      <c r="A74">
        <v>5</v>
      </c>
      <c r="B74" s="20" t="s">
        <v>167</v>
      </c>
      <c r="C74" s="2">
        <v>44867.888194444444</v>
      </c>
      <c r="D74" s="20" t="s">
        <v>81</v>
      </c>
    </row>
    <row r="75" spans="1:4" x14ac:dyDescent="0.25">
      <c r="A75">
        <v>5</v>
      </c>
      <c r="B75" s="20" t="s">
        <v>167</v>
      </c>
      <c r="C75" s="2">
        <v>44867.911111111112</v>
      </c>
      <c r="D75" s="20" t="s">
        <v>81</v>
      </c>
    </row>
    <row r="76" spans="1:4" x14ac:dyDescent="0.25">
      <c r="A76">
        <v>5</v>
      </c>
      <c r="B76" s="20" t="s">
        <v>167</v>
      </c>
      <c r="C76" s="2">
        <v>44867.913888888892</v>
      </c>
      <c r="D76" s="20" t="s">
        <v>81</v>
      </c>
    </row>
    <row r="77" spans="1:4" x14ac:dyDescent="0.25">
      <c r="A77">
        <v>5</v>
      </c>
      <c r="B77" s="20" t="s">
        <v>167</v>
      </c>
      <c r="C77" s="2">
        <v>44867.915972222225</v>
      </c>
      <c r="D77" s="20" t="s">
        <v>81</v>
      </c>
    </row>
    <row r="78" spans="1:4" x14ac:dyDescent="0.25">
      <c r="A78">
        <v>6</v>
      </c>
      <c r="B78" s="20" t="s">
        <v>156</v>
      </c>
      <c r="C78" s="2">
        <v>44867.915972222225</v>
      </c>
      <c r="D78" s="20" t="s">
        <v>81</v>
      </c>
    </row>
    <row r="79" spans="1:4" x14ac:dyDescent="0.25">
      <c r="A79">
        <v>8</v>
      </c>
      <c r="B79" s="20" t="s">
        <v>158</v>
      </c>
      <c r="C79" s="2">
        <v>44867.915972222225</v>
      </c>
      <c r="D79" s="20" t="s">
        <v>81</v>
      </c>
    </row>
    <row r="80" spans="1:4" x14ac:dyDescent="0.25">
      <c r="A80">
        <v>15</v>
      </c>
      <c r="B80" s="20" t="s">
        <v>157</v>
      </c>
      <c r="C80" s="2">
        <v>44867.915972222225</v>
      </c>
      <c r="D80" s="20" t="s">
        <v>81</v>
      </c>
    </row>
    <row r="81" spans="1:4" x14ac:dyDescent="0.25">
      <c r="A81">
        <v>26</v>
      </c>
      <c r="B81" s="20" t="s">
        <v>159</v>
      </c>
      <c r="C81" s="2">
        <v>44867.915972222225</v>
      </c>
      <c r="D81" s="20" t="s">
        <v>81</v>
      </c>
    </row>
    <row r="82" spans="1:4" x14ac:dyDescent="0.25">
      <c r="A82">
        <v>28</v>
      </c>
      <c r="B82" s="20" t="s">
        <v>160</v>
      </c>
      <c r="C82" s="2">
        <v>44867.915972222225</v>
      </c>
      <c r="D82" s="20" t="s">
        <v>81</v>
      </c>
    </row>
    <row r="83" spans="1:4" x14ac:dyDescent="0.25">
      <c r="A83">
        <v>29</v>
      </c>
      <c r="B83" s="20" t="s">
        <v>161</v>
      </c>
      <c r="C83" s="2">
        <v>44867.915972222225</v>
      </c>
      <c r="D83" s="20" t="s">
        <v>81</v>
      </c>
    </row>
    <row r="84" spans="1:4" x14ac:dyDescent="0.25">
      <c r="A84">
        <v>30</v>
      </c>
      <c r="B84" s="20" t="s">
        <v>162</v>
      </c>
      <c r="C84" s="2">
        <v>44867.915972222225</v>
      </c>
      <c r="D84" s="20" t="s">
        <v>81</v>
      </c>
    </row>
    <row r="85" spans="1:4" x14ac:dyDescent="0.25">
      <c r="A85">
        <v>31</v>
      </c>
      <c r="B85" s="20" t="s">
        <v>163</v>
      </c>
      <c r="C85" s="2">
        <v>44867.915972222225</v>
      </c>
      <c r="D85" s="20" t="s">
        <v>81</v>
      </c>
    </row>
    <row r="86" spans="1:4" x14ac:dyDescent="0.25">
      <c r="A86">
        <v>32</v>
      </c>
      <c r="B86" s="20" t="s">
        <v>164</v>
      </c>
      <c r="C86" s="2">
        <v>44867.915972222225</v>
      </c>
      <c r="D86" s="20" t="s">
        <v>81</v>
      </c>
    </row>
    <row r="87" spans="1:4" x14ac:dyDescent="0.25">
      <c r="A87">
        <v>33</v>
      </c>
      <c r="B87" s="20" t="s">
        <v>165</v>
      </c>
      <c r="C87" s="2">
        <v>44867.915972222225</v>
      </c>
      <c r="D87" s="20" t="s">
        <v>81</v>
      </c>
    </row>
    <row r="88" spans="1:4" x14ac:dyDescent="0.25">
      <c r="A88">
        <v>35</v>
      </c>
      <c r="B88" s="20" t="s">
        <v>166</v>
      </c>
      <c r="C88" s="2">
        <v>44867.915972222225</v>
      </c>
      <c r="D88" s="20" t="s">
        <v>81</v>
      </c>
    </row>
    <row r="89" spans="1:4" x14ac:dyDescent="0.25">
      <c r="A89">
        <v>5</v>
      </c>
      <c r="B89" s="20" t="s">
        <v>96</v>
      </c>
      <c r="C89" s="2">
        <v>44868.002083333333</v>
      </c>
      <c r="D89" s="20" t="s">
        <v>81</v>
      </c>
    </row>
    <row r="90" spans="1:4" x14ac:dyDescent="0.25">
      <c r="A90">
        <v>5</v>
      </c>
      <c r="B90" s="20" t="s">
        <v>96</v>
      </c>
      <c r="C90" s="2">
        <v>44868.006249999999</v>
      </c>
      <c r="D90" s="20" t="s">
        <v>81</v>
      </c>
    </row>
    <row r="91" spans="1:4" x14ac:dyDescent="0.25">
      <c r="A91">
        <v>5</v>
      </c>
      <c r="B91" s="20" t="s">
        <v>96</v>
      </c>
      <c r="C91" s="2">
        <v>44868.007638888892</v>
      </c>
      <c r="D91" s="20" t="s">
        <v>81</v>
      </c>
    </row>
    <row r="92" spans="1:4" x14ac:dyDescent="0.25">
      <c r="A92">
        <v>5</v>
      </c>
      <c r="B92" s="20" t="s">
        <v>96</v>
      </c>
      <c r="C92" s="2">
        <v>44868.010416666664</v>
      </c>
      <c r="D92" s="20" t="s">
        <v>81</v>
      </c>
    </row>
    <row r="93" spans="1:4" x14ac:dyDescent="0.25">
      <c r="A93">
        <v>5</v>
      </c>
      <c r="B93" s="20" t="s">
        <v>96</v>
      </c>
      <c r="C93" s="2">
        <v>44868.011805555558</v>
      </c>
      <c r="D93" s="20" t="s">
        <v>81</v>
      </c>
    </row>
    <row r="94" spans="1:4" x14ac:dyDescent="0.25">
      <c r="A94">
        <v>5</v>
      </c>
      <c r="B94" s="20" t="s">
        <v>96</v>
      </c>
      <c r="C94" s="2">
        <v>44868.015277777777</v>
      </c>
      <c r="D94" s="20" t="s">
        <v>81</v>
      </c>
    </row>
    <row r="95" spans="1:4" x14ac:dyDescent="0.25">
      <c r="A95">
        <v>5</v>
      </c>
      <c r="B95" s="20" t="s">
        <v>96</v>
      </c>
      <c r="C95" s="2">
        <v>44868.018055555556</v>
      </c>
      <c r="D95" s="20" t="s">
        <v>81</v>
      </c>
    </row>
    <row r="96" spans="1:4" x14ac:dyDescent="0.25">
      <c r="A96">
        <v>5</v>
      </c>
      <c r="B96" s="20" t="s">
        <v>96</v>
      </c>
      <c r="C96" s="2">
        <v>44868.018055555556</v>
      </c>
      <c r="D96" s="20" t="s">
        <v>81</v>
      </c>
    </row>
    <row r="97" spans="1:4" x14ac:dyDescent="0.25">
      <c r="A97">
        <v>5</v>
      </c>
      <c r="B97" s="20" t="s">
        <v>96</v>
      </c>
      <c r="C97" s="2">
        <v>44868.020833333336</v>
      </c>
      <c r="D97" s="20" t="s">
        <v>81</v>
      </c>
    </row>
    <row r="98" spans="1:4" x14ac:dyDescent="0.25">
      <c r="A98">
        <v>5</v>
      </c>
      <c r="B98" s="20" t="s">
        <v>96</v>
      </c>
      <c r="C98" s="2">
        <v>44868.025000000001</v>
      </c>
      <c r="D98" s="20" t="s">
        <v>81</v>
      </c>
    </row>
    <row r="99" spans="1:4" x14ac:dyDescent="0.25">
      <c r="A99">
        <v>5</v>
      </c>
      <c r="B99" s="20" t="s">
        <v>96</v>
      </c>
      <c r="C99" s="2">
        <v>44868.026388888888</v>
      </c>
      <c r="D99" s="20" t="s">
        <v>81</v>
      </c>
    </row>
    <row r="100" spans="1:4" x14ac:dyDescent="0.25">
      <c r="A100">
        <v>5</v>
      </c>
      <c r="B100" s="20" t="s">
        <v>96</v>
      </c>
      <c r="C100" s="2">
        <v>44868.02847222222</v>
      </c>
      <c r="D100" s="20" t="s">
        <v>81</v>
      </c>
    </row>
    <row r="101" spans="1:4" x14ac:dyDescent="0.25">
      <c r="A101">
        <v>5</v>
      </c>
      <c r="B101" s="20" t="s">
        <v>96</v>
      </c>
      <c r="C101" s="2">
        <v>44868.029166666667</v>
      </c>
      <c r="D101" s="20" t="s">
        <v>81</v>
      </c>
    </row>
    <row r="102" spans="1:4" x14ac:dyDescent="0.25">
      <c r="A102">
        <v>5</v>
      </c>
      <c r="B102" s="20" t="s">
        <v>96</v>
      </c>
      <c r="C102" s="2">
        <v>44868.037499999999</v>
      </c>
      <c r="D102" s="20" t="s">
        <v>81</v>
      </c>
    </row>
    <row r="103" spans="1:4" x14ac:dyDescent="0.25">
      <c r="A103">
        <v>5</v>
      </c>
      <c r="B103" s="20" t="s">
        <v>96</v>
      </c>
      <c r="C103" s="2">
        <v>44868.043055555558</v>
      </c>
      <c r="D103" s="20" t="s">
        <v>81</v>
      </c>
    </row>
    <row r="104" spans="1:4" x14ac:dyDescent="0.25">
      <c r="A104">
        <v>5</v>
      </c>
      <c r="B104" s="20" t="s">
        <v>96</v>
      </c>
      <c r="C104" s="2">
        <v>44868.222916666666</v>
      </c>
      <c r="D104" s="20" t="s">
        <v>81</v>
      </c>
    </row>
    <row r="105" spans="1:4" x14ac:dyDescent="0.25">
      <c r="A105">
        <v>5</v>
      </c>
      <c r="B105" s="20" t="s">
        <v>96</v>
      </c>
      <c r="C105" s="2">
        <v>44868.26458333333</v>
      </c>
      <c r="D105" s="20" t="s">
        <v>81</v>
      </c>
    </row>
    <row r="106" spans="1:4" x14ac:dyDescent="0.25">
      <c r="A106">
        <v>24</v>
      </c>
      <c r="B106" s="20" t="s">
        <v>28</v>
      </c>
      <c r="C106" s="2">
        <v>44868.26458333333</v>
      </c>
      <c r="D106" s="20" t="s">
        <v>81</v>
      </c>
    </row>
    <row r="107" spans="1:4" x14ac:dyDescent="0.25">
      <c r="A107">
        <v>26</v>
      </c>
      <c r="B107" s="20" t="s">
        <v>159</v>
      </c>
      <c r="C107" s="2">
        <v>44868.26458333333</v>
      </c>
      <c r="D107" s="20" t="s">
        <v>81</v>
      </c>
    </row>
    <row r="108" spans="1:4" x14ac:dyDescent="0.25">
      <c r="A108">
        <v>27</v>
      </c>
      <c r="B108" s="20" t="s">
        <v>60</v>
      </c>
      <c r="C108" s="2">
        <v>44868.26458333333</v>
      </c>
      <c r="D108" s="20" t="s">
        <v>81</v>
      </c>
    </row>
    <row r="109" spans="1:4" x14ac:dyDescent="0.25">
      <c r="A109">
        <v>3</v>
      </c>
      <c r="B109" s="20" t="s">
        <v>39</v>
      </c>
      <c r="C109" s="2">
        <v>44868.304166666669</v>
      </c>
      <c r="D109" s="20" t="s">
        <v>80</v>
      </c>
    </row>
    <row r="110" spans="1:4" x14ac:dyDescent="0.25">
      <c r="A110">
        <v>5</v>
      </c>
      <c r="B110" s="20" t="s">
        <v>96</v>
      </c>
      <c r="C110" s="2">
        <v>44868.304166666669</v>
      </c>
      <c r="D110" s="20" t="s">
        <v>80</v>
      </c>
    </row>
    <row r="111" spans="1:4" x14ac:dyDescent="0.25">
      <c r="A111">
        <v>7</v>
      </c>
      <c r="B111" s="20" t="s">
        <v>59</v>
      </c>
      <c r="C111" s="2">
        <v>44868.304166666669</v>
      </c>
      <c r="D111" s="20" t="s">
        <v>80</v>
      </c>
    </row>
    <row r="112" spans="1:4" x14ac:dyDescent="0.25">
      <c r="A112">
        <v>9</v>
      </c>
      <c r="B112" s="20" t="s">
        <v>61</v>
      </c>
      <c r="C112" s="2">
        <v>44868.304166666669</v>
      </c>
      <c r="D112" s="20" t="s">
        <v>80</v>
      </c>
    </row>
    <row r="113" spans="1:4" x14ac:dyDescent="0.25">
      <c r="A113">
        <v>10</v>
      </c>
      <c r="B113" s="20" t="s">
        <v>62</v>
      </c>
      <c r="C113" s="2">
        <v>44868.304166666669</v>
      </c>
      <c r="D113" s="20" t="s">
        <v>80</v>
      </c>
    </row>
    <row r="114" spans="1:4" x14ac:dyDescent="0.25">
      <c r="A114">
        <v>11</v>
      </c>
      <c r="B114" s="20" t="s">
        <v>63</v>
      </c>
      <c r="C114" s="2">
        <v>44868.304166666669</v>
      </c>
      <c r="D114" s="20" t="s">
        <v>80</v>
      </c>
    </row>
    <row r="115" spans="1:4" x14ac:dyDescent="0.25">
      <c r="A115">
        <v>12</v>
      </c>
      <c r="B115" s="20" t="s">
        <v>64</v>
      </c>
      <c r="C115" s="2">
        <v>44868.304166666669</v>
      </c>
      <c r="D115" s="20" t="s">
        <v>80</v>
      </c>
    </row>
    <row r="116" spans="1:4" x14ac:dyDescent="0.25">
      <c r="A116">
        <v>13</v>
      </c>
      <c r="B116" s="20" t="s">
        <v>65</v>
      </c>
      <c r="C116" s="2">
        <v>44868.304166666669</v>
      </c>
      <c r="D116" s="20" t="s">
        <v>80</v>
      </c>
    </row>
    <row r="117" spans="1:4" x14ac:dyDescent="0.25">
      <c r="A117">
        <v>14</v>
      </c>
      <c r="B117" s="20" t="s">
        <v>66</v>
      </c>
      <c r="C117" s="2">
        <v>44868.304166666669</v>
      </c>
      <c r="D117" s="20" t="s">
        <v>80</v>
      </c>
    </row>
    <row r="118" spans="1:4" x14ac:dyDescent="0.25">
      <c r="A118">
        <v>16</v>
      </c>
      <c r="B118" s="20" t="s">
        <v>68</v>
      </c>
      <c r="C118" s="2">
        <v>44868.304166666669</v>
      </c>
      <c r="D118" s="20" t="s">
        <v>80</v>
      </c>
    </row>
    <row r="119" spans="1:4" x14ac:dyDescent="0.25">
      <c r="A119">
        <v>17</v>
      </c>
      <c r="B119" s="20" t="s">
        <v>105</v>
      </c>
      <c r="C119" s="2">
        <v>44868.304166666669</v>
      </c>
      <c r="D119" s="20" t="s">
        <v>80</v>
      </c>
    </row>
    <row r="120" spans="1:4" x14ac:dyDescent="0.25">
      <c r="A120">
        <v>18</v>
      </c>
      <c r="B120" s="20" t="s">
        <v>106</v>
      </c>
      <c r="C120" s="2">
        <v>44868.304166666669</v>
      </c>
      <c r="D120" s="20" t="s">
        <v>80</v>
      </c>
    </row>
    <row r="121" spans="1:4" x14ac:dyDescent="0.25">
      <c r="A121">
        <v>19</v>
      </c>
      <c r="B121" s="20" t="s">
        <v>107</v>
      </c>
      <c r="C121" s="2">
        <v>44868.304166666669</v>
      </c>
      <c r="D121" s="20" t="s">
        <v>80</v>
      </c>
    </row>
    <row r="122" spans="1:4" x14ac:dyDescent="0.25">
      <c r="A122">
        <v>20</v>
      </c>
      <c r="B122" s="20" t="s">
        <v>108</v>
      </c>
      <c r="C122" s="2">
        <v>44868.304166666669</v>
      </c>
      <c r="D122" s="20" t="s">
        <v>80</v>
      </c>
    </row>
    <row r="123" spans="1:4" x14ac:dyDescent="0.25">
      <c r="A123">
        <v>21</v>
      </c>
      <c r="B123" s="20" t="s">
        <v>109</v>
      </c>
      <c r="C123" s="2">
        <v>44868.304166666669</v>
      </c>
      <c r="D123" s="20" t="s">
        <v>80</v>
      </c>
    </row>
    <row r="124" spans="1:4" x14ac:dyDescent="0.25">
      <c r="A124">
        <v>22</v>
      </c>
      <c r="B124" s="20" t="s">
        <v>110</v>
      </c>
      <c r="C124" s="2">
        <v>44868.304166666669</v>
      </c>
      <c r="D124" s="20" t="s">
        <v>80</v>
      </c>
    </row>
    <row r="125" spans="1:4" x14ac:dyDescent="0.25">
      <c r="A125">
        <v>23</v>
      </c>
      <c r="B125" s="20" t="s">
        <v>111</v>
      </c>
      <c r="C125" s="2">
        <v>44868.304166666669</v>
      </c>
      <c r="D125" s="20" t="s">
        <v>80</v>
      </c>
    </row>
    <row r="126" spans="1:4" x14ac:dyDescent="0.25">
      <c r="A126">
        <v>5</v>
      </c>
      <c r="B126" s="20" t="s">
        <v>96</v>
      </c>
      <c r="C126" s="2">
        <v>44868.313194444447</v>
      </c>
      <c r="D126" s="20" t="s">
        <v>80</v>
      </c>
    </row>
    <row r="127" spans="1:4" x14ac:dyDescent="0.25">
      <c r="A127">
        <v>5</v>
      </c>
      <c r="B127" s="20" t="s">
        <v>96</v>
      </c>
      <c r="C127" s="2">
        <v>44868.322916666664</v>
      </c>
      <c r="D127" s="20" t="s">
        <v>81</v>
      </c>
    </row>
    <row r="128" spans="1:4" x14ac:dyDescent="0.25">
      <c r="A128">
        <v>25</v>
      </c>
      <c r="B128" s="20" t="s">
        <v>41</v>
      </c>
      <c r="C128" s="2">
        <v>44868.322916666664</v>
      </c>
      <c r="D128" s="20" t="s">
        <v>81</v>
      </c>
    </row>
    <row r="129" spans="1:4" x14ac:dyDescent="0.25">
      <c r="A129">
        <v>29</v>
      </c>
      <c r="B129" s="20" t="s">
        <v>161</v>
      </c>
      <c r="C129" s="2">
        <v>44868.322916666664</v>
      </c>
      <c r="D129" s="20" t="s">
        <v>81</v>
      </c>
    </row>
    <row r="130" spans="1:4" x14ac:dyDescent="0.25">
      <c r="A130">
        <v>32</v>
      </c>
      <c r="B130" s="20" t="s">
        <v>164</v>
      </c>
      <c r="C130" s="2">
        <v>44868.322916666664</v>
      </c>
      <c r="D130" s="20" t="s">
        <v>81</v>
      </c>
    </row>
    <row r="131" spans="1:4" x14ac:dyDescent="0.25">
      <c r="A131">
        <v>34</v>
      </c>
      <c r="B131" s="20" t="s">
        <v>67</v>
      </c>
      <c r="C131" s="2">
        <v>44868.322916666664</v>
      </c>
      <c r="D131" s="20" t="s">
        <v>81</v>
      </c>
    </row>
    <row r="132" spans="1:4" x14ac:dyDescent="0.25">
      <c r="A132">
        <v>5</v>
      </c>
      <c r="B132" s="20" t="s">
        <v>96</v>
      </c>
      <c r="C132" s="2">
        <v>44868.354861111111</v>
      </c>
      <c r="D132" s="20" t="s">
        <v>80</v>
      </c>
    </row>
    <row r="133" spans="1:4" x14ac:dyDescent="0.25">
      <c r="A133">
        <v>5</v>
      </c>
      <c r="B133" s="20" t="s">
        <v>96</v>
      </c>
      <c r="C133" s="2">
        <v>44868.364583333336</v>
      </c>
      <c r="D133" s="20" t="s">
        <v>81</v>
      </c>
    </row>
    <row r="134" spans="1:4" x14ac:dyDescent="0.25">
      <c r="A134">
        <v>28</v>
      </c>
      <c r="B134" s="20" t="s">
        <v>160</v>
      </c>
      <c r="C134" s="2">
        <v>44868.364583333336</v>
      </c>
      <c r="D134" s="20" t="s">
        <v>81</v>
      </c>
    </row>
    <row r="135" spans="1:4" x14ac:dyDescent="0.25">
      <c r="A135">
        <v>30</v>
      </c>
      <c r="B135" s="20" t="s">
        <v>162</v>
      </c>
      <c r="C135" s="2">
        <v>44868.364583333336</v>
      </c>
      <c r="D135" s="20" t="s">
        <v>81</v>
      </c>
    </row>
    <row r="136" spans="1:4" x14ac:dyDescent="0.25">
      <c r="A136">
        <v>31</v>
      </c>
      <c r="B136" s="20" t="s">
        <v>163</v>
      </c>
      <c r="C136" s="2">
        <v>44868.364583333336</v>
      </c>
      <c r="D136" s="20" t="s">
        <v>81</v>
      </c>
    </row>
    <row r="137" spans="1:4" x14ac:dyDescent="0.25">
      <c r="A137">
        <v>33</v>
      </c>
      <c r="B137" s="20" t="s">
        <v>165</v>
      </c>
      <c r="C137" s="2">
        <v>44868.364583333336</v>
      </c>
      <c r="D137" s="20" t="s">
        <v>81</v>
      </c>
    </row>
    <row r="138" spans="1:4" x14ac:dyDescent="0.25">
      <c r="A138">
        <v>35</v>
      </c>
      <c r="B138" s="20" t="s">
        <v>166</v>
      </c>
      <c r="C138" s="2">
        <v>44868.364583333336</v>
      </c>
      <c r="D138" s="20" t="s">
        <v>81</v>
      </c>
    </row>
    <row r="139" spans="1:4" x14ac:dyDescent="0.25">
      <c r="A139">
        <v>5</v>
      </c>
      <c r="B139" s="20" t="s">
        <v>96</v>
      </c>
      <c r="C139" s="2">
        <v>44868.395833333336</v>
      </c>
      <c r="D139" s="20" t="s">
        <v>80</v>
      </c>
    </row>
    <row r="140" spans="1:4" x14ac:dyDescent="0.25">
      <c r="A140">
        <v>5</v>
      </c>
      <c r="B140" s="20" t="s">
        <v>96</v>
      </c>
      <c r="C140" s="2">
        <v>44868.40625</v>
      </c>
      <c r="D140" s="20" t="s">
        <v>81</v>
      </c>
    </row>
    <row r="141" spans="1:4" x14ac:dyDescent="0.25">
      <c r="A141">
        <v>5</v>
      </c>
      <c r="B141" s="20" t="s">
        <v>96</v>
      </c>
      <c r="C141" s="2">
        <v>44868.425000000003</v>
      </c>
      <c r="D141" s="20" t="s">
        <v>81</v>
      </c>
    </row>
    <row r="142" spans="1:4" x14ac:dyDescent="0.25">
      <c r="A142">
        <v>1</v>
      </c>
      <c r="B142" s="20" t="s">
        <v>6</v>
      </c>
      <c r="C142" s="2">
        <v>44868.453472222223</v>
      </c>
      <c r="D142" s="20" t="s">
        <v>81</v>
      </c>
    </row>
    <row r="143" spans="1:4" x14ac:dyDescent="0.25">
      <c r="A143">
        <v>5</v>
      </c>
      <c r="B143" s="20" t="s">
        <v>167</v>
      </c>
      <c r="C143" s="2">
        <v>44868.453472222223</v>
      </c>
      <c r="D143" s="20" t="s">
        <v>81</v>
      </c>
    </row>
    <row r="144" spans="1:4" x14ac:dyDescent="0.25">
      <c r="A144">
        <v>5</v>
      </c>
      <c r="B144" s="20" t="s">
        <v>167</v>
      </c>
      <c r="C144" s="2">
        <v>44868.469444444447</v>
      </c>
      <c r="D144" s="20" t="s">
        <v>81</v>
      </c>
    </row>
    <row r="145" spans="1:4" x14ac:dyDescent="0.25">
      <c r="A145">
        <v>5</v>
      </c>
      <c r="B145" s="20" t="s">
        <v>167</v>
      </c>
      <c r="C145" s="2">
        <v>44868.592361111114</v>
      </c>
      <c r="D145" s="20" t="s">
        <v>81</v>
      </c>
    </row>
    <row r="146" spans="1:4" x14ac:dyDescent="0.25">
      <c r="A146">
        <v>5</v>
      </c>
      <c r="B146" s="20" t="s">
        <v>167</v>
      </c>
      <c r="C146" s="2">
        <v>44868.594444444447</v>
      </c>
      <c r="D146" s="20" t="s">
        <v>81</v>
      </c>
    </row>
    <row r="147" spans="1:4" x14ac:dyDescent="0.25">
      <c r="A147">
        <v>5</v>
      </c>
      <c r="B147" s="20" t="s">
        <v>167</v>
      </c>
      <c r="C147" s="2">
        <v>44868.595833333333</v>
      </c>
      <c r="D147" s="20" t="s">
        <v>81</v>
      </c>
    </row>
    <row r="148" spans="1:4" x14ac:dyDescent="0.25">
      <c r="A148">
        <v>5</v>
      </c>
      <c r="B148" s="20" t="s">
        <v>167</v>
      </c>
      <c r="C148" s="2">
        <v>44868.602777777778</v>
      </c>
      <c r="D148" s="20" t="s">
        <v>81</v>
      </c>
    </row>
    <row r="149" spans="1:4" x14ac:dyDescent="0.25">
      <c r="A149">
        <v>5</v>
      </c>
      <c r="B149" s="20" t="s">
        <v>167</v>
      </c>
      <c r="C149" s="2">
        <v>44868.604166666664</v>
      </c>
      <c r="D149" s="20" t="s">
        <v>81</v>
      </c>
    </row>
    <row r="150" spans="1:4" x14ac:dyDescent="0.25">
      <c r="A150">
        <v>5</v>
      </c>
      <c r="B150" s="20" t="s">
        <v>167</v>
      </c>
      <c r="C150" s="2">
        <v>44868.606249999997</v>
      </c>
      <c r="D150" s="20" t="s">
        <v>81</v>
      </c>
    </row>
    <row r="151" spans="1:4" x14ac:dyDescent="0.25">
      <c r="A151">
        <v>5</v>
      </c>
      <c r="B151" s="20" t="s">
        <v>167</v>
      </c>
      <c r="C151" s="2">
        <v>44868.60833333333</v>
      </c>
      <c r="D151" s="20" t="s">
        <v>81</v>
      </c>
    </row>
    <row r="152" spans="1:4" x14ac:dyDescent="0.25">
      <c r="A152">
        <v>5</v>
      </c>
      <c r="B152" s="20" t="s">
        <v>96</v>
      </c>
      <c r="C152" s="2">
        <v>44869.013888888891</v>
      </c>
      <c r="D152" s="20" t="s">
        <v>81</v>
      </c>
    </row>
    <row r="153" spans="1:4" x14ac:dyDescent="0.25">
      <c r="A153">
        <v>5</v>
      </c>
      <c r="B153" s="20" t="s">
        <v>96</v>
      </c>
      <c r="C153" s="2">
        <v>44869.024305555555</v>
      </c>
      <c r="D153" s="20" t="s">
        <v>81</v>
      </c>
    </row>
    <row r="154" spans="1:4" x14ac:dyDescent="0.25">
      <c r="A154">
        <v>5</v>
      </c>
      <c r="B154" s="20" t="s">
        <v>96</v>
      </c>
      <c r="C154" s="2">
        <v>44869.034722222219</v>
      </c>
      <c r="D154" s="20" t="s">
        <v>81</v>
      </c>
    </row>
    <row r="155" spans="1:4" x14ac:dyDescent="0.25">
      <c r="A155">
        <v>5</v>
      </c>
      <c r="B155" s="20" t="s">
        <v>96</v>
      </c>
      <c r="C155" s="2">
        <v>44869.045138888891</v>
      </c>
      <c r="D155" s="20" t="s">
        <v>81</v>
      </c>
    </row>
    <row r="156" spans="1:4" x14ac:dyDescent="0.25">
      <c r="A156">
        <v>5</v>
      </c>
      <c r="B156" s="20" t="s">
        <v>96</v>
      </c>
      <c r="C156" s="2">
        <v>44869.055555555555</v>
      </c>
      <c r="D156" s="20" t="s">
        <v>81</v>
      </c>
    </row>
    <row r="157" spans="1:4" x14ac:dyDescent="0.25">
      <c r="A157">
        <v>5</v>
      </c>
      <c r="B157" s="20" t="s">
        <v>96</v>
      </c>
      <c r="C157" s="2">
        <v>44869.065972222219</v>
      </c>
      <c r="D157" s="20" t="s">
        <v>81</v>
      </c>
    </row>
    <row r="158" spans="1:4" x14ac:dyDescent="0.25">
      <c r="A158">
        <v>5</v>
      </c>
      <c r="B158" s="20" t="s">
        <v>96</v>
      </c>
      <c r="C158" s="2">
        <v>44869.086805555555</v>
      </c>
      <c r="D158" s="20" t="s">
        <v>81</v>
      </c>
    </row>
    <row r="159" spans="1:4" x14ac:dyDescent="0.25">
      <c r="A159">
        <v>5</v>
      </c>
      <c r="B159" s="20" t="s">
        <v>96</v>
      </c>
      <c r="C159" s="2">
        <v>44869.097222222219</v>
      </c>
      <c r="D159" s="20" t="s">
        <v>81</v>
      </c>
    </row>
    <row r="160" spans="1:4" x14ac:dyDescent="0.25">
      <c r="A160">
        <v>5</v>
      </c>
      <c r="B160" s="20" t="s">
        <v>96</v>
      </c>
      <c r="C160" s="2">
        <v>44869.107638888891</v>
      </c>
      <c r="D160" s="20" t="s">
        <v>81</v>
      </c>
    </row>
    <row r="161" spans="1:4" x14ac:dyDescent="0.25">
      <c r="A161">
        <v>5</v>
      </c>
      <c r="B161" s="20" t="s">
        <v>96</v>
      </c>
      <c r="C161" s="2">
        <v>44869.118055555555</v>
      </c>
      <c r="D161" s="20" t="s">
        <v>81</v>
      </c>
    </row>
    <row r="162" spans="1:4" x14ac:dyDescent="0.25">
      <c r="A162">
        <v>5</v>
      </c>
      <c r="B162" s="20" t="s">
        <v>96</v>
      </c>
      <c r="C162" s="2">
        <v>44869.128472222219</v>
      </c>
      <c r="D162" s="20" t="s">
        <v>81</v>
      </c>
    </row>
    <row r="163" spans="1:4" x14ac:dyDescent="0.25">
      <c r="A163">
        <v>5</v>
      </c>
      <c r="B163" s="20" t="s">
        <v>96</v>
      </c>
      <c r="C163" s="2">
        <v>44869.138888888891</v>
      </c>
      <c r="D163" s="20" t="s">
        <v>81</v>
      </c>
    </row>
    <row r="164" spans="1:4" x14ac:dyDescent="0.25">
      <c r="A164">
        <v>5</v>
      </c>
      <c r="B164" s="20" t="s">
        <v>96</v>
      </c>
      <c r="C164" s="2">
        <v>44869.149305555555</v>
      </c>
      <c r="D164" s="20" t="s">
        <v>81</v>
      </c>
    </row>
    <row r="165" spans="1:4" x14ac:dyDescent="0.25">
      <c r="A165">
        <v>5</v>
      </c>
      <c r="B165" s="20" t="s">
        <v>96</v>
      </c>
      <c r="C165" s="2">
        <v>44869.159722222219</v>
      </c>
      <c r="D165" s="20" t="s">
        <v>81</v>
      </c>
    </row>
    <row r="166" spans="1:4" x14ac:dyDescent="0.25">
      <c r="A166">
        <v>5</v>
      </c>
      <c r="B166" s="20" t="s">
        <v>96</v>
      </c>
      <c r="C166" s="2">
        <v>44869.170138888891</v>
      </c>
      <c r="D166" s="20" t="s">
        <v>81</v>
      </c>
    </row>
    <row r="167" spans="1:4" x14ac:dyDescent="0.25">
      <c r="A167">
        <v>5</v>
      </c>
      <c r="B167" s="20" t="s">
        <v>96</v>
      </c>
      <c r="C167" s="2">
        <v>44869.180555555555</v>
      </c>
      <c r="D167" s="20" t="s">
        <v>81</v>
      </c>
    </row>
    <row r="168" spans="1:4" x14ac:dyDescent="0.25">
      <c r="A168">
        <v>5</v>
      </c>
      <c r="B168" s="20" t="s">
        <v>96</v>
      </c>
      <c r="C168" s="2">
        <v>44869.239583333336</v>
      </c>
      <c r="D168" s="20" t="s">
        <v>81</v>
      </c>
    </row>
    <row r="169" spans="1:4" x14ac:dyDescent="0.25">
      <c r="A169">
        <v>5</v>
      </c>
      <c r="B169" s="20" t="s">
        <v>96</v>
      </c>
      <c r="C169" s="2">
        <v>44869.28125</v>
      </c>
      <c r="D169" s="20" t="s">
        <v>81</v>
      </c>
    </row>
    <row r="170" spans="1:4" x14ac:dyDescent="0.25">
      <c r="A170">
        <v>24</v>
      </c>
      <c r="B170" s="20" t="s">
        <v>28</v>
      </c>
      <c r="C170" s="2">
        <v>44869.28125</v>
      </c>
      <c r="D170" s="20" t="s">
        <v>81</v>
      </c>
    </row>
    <row r="171" spans="1:4" x14ac:dyDescent="0.25">
      <c r="A171">
        <v>26</v>
      </c>
      <c r="B171" s="20" t="s">
        <v>159</v>
      </c>
      <c r="C171" s="2">
        <v>44869.28125</v>
      </c>
      <c r="D171" s="20" t="s">
        <v>81</v>
      </c>
    </row>
    <row r="172" spans="1:4" x14ac:dyDescent="0.25">
      <c r="A172">
        <v>28</v>
      </c>
      <c r="B172" s="20" t="s">
        <v>160</v>
      </c>
      <c r="C172" s="2">
        <v>44869.28125</v>
      </c>
      <c r="D172" s="20" t="s">
        <v>81</v>
      </c>
    </row>
    <row r="173" spans="1:4" x14ac:dyDescent="0.25">
      <c r="A173">
        <v>29</v>
      </c>
      <c r="B173" s="20" t="s">
        <v>161</v>
      </c>
      <c r="C173" s="2">
        <v>44869.28125</v>
      </c>
      <c r="D173" s="20" t="s">
        <v>81</v>
      </c>
    </row>
    <row r="174" spans="1:4" x14ac:dyDescent="0.25">
      <c r="A174">
        <v>31</v>
      </c>
      <c r="B174" s="20" t="s">
        <v>163</v>
      </c>
      <c r="C174" s="2">
        <v>44869.28125</v>
      </c>
      <c r="D174" s="20" t="s">
        <v>81</v>
      </c>
    </row>
    <row r="175" spans="1:4" x14ac:dyDescent="0.25">
      <c r="A175">
        <v>32</v>
      </c>
      <c r="B175" s="20" t="s">
        <v>164</v>
      </c>
      <c r="C175" s="2">
        <v>44869.28125</v>
      </c>
      <c r="D175" s="20" t="s">
        <v>81</v>
      </c>
    </row>
    <row r="176" spans="1:4" x14ac:dyDescent="0.25">
      <c r="A176">
        <v>33</v>
      </c>
      <c r="B176" s="20" t="s">
        <v>165</v>
      </c>
      <c r="C176" s="2">
        <v>44869.28125</v>
      </c>
      <c r="D176" s="20" t="s">
        <v>81</v>
      </c>
    </row>
    <row r="177" spans="1:4" x14ac:dyDescent="0.25">
      <c r="A177">
        <v>34</v>
      </c>
      <c r="B177" s="20" t="s">
        <v>67</v>
      </c>
      <c r="C177" s="2">
        <v>44869.28125</v>
      </c>
      <c r="D177" s="20" t="s">
        <v>81</v>
      </c>
    </row>
    <row r="178" spans="1:4" x14ac:dyDescent="0.25">
      <c r="A178">
        <v>35</v>
      </c>
      <c r="B178" s="20" t="s">
        <v>166</v>
      </c>
      <c r="C178" s="2">
        <v>44869.28125</v>
      </c>
      <c r="D178" s="20" t="s">
        <v>81</v>
      </c>
    </row>
    <row r="179" spans="1:4" x14ac:dyDescent="0.25">
      <c r="A179">
        <v>3</v>
      </c>
      <c r="B179" s="20" t="s">
        <v>39</v>
      </c>
      <c r="C179" s="2">
        <v>44869.304166666669</v>
      </c>
      <c r="D179" s="20" t="s">
        <v>80</v>
      </c>
    </row>
    <row r="180" spans="1:4" x14ac:dyDescent="0.25">
      <c r="A180">
        <v>5</v>
      </c>
      <c r="B180" s="20" t="s">
        <v>96</v>
      </c>
      <c r="C180" s="2">
        <v>44869.304166666669</v>
      </c>
      <c r="D180" s="20" t="s">
        <v>80</v>
      </c>
    </row>
    <row r="181" spans="1:4" x14ac:dyDescent="0.25">
      <c r="A181">
        <v>7</v>
      </c>
      <c r="B181" s="20" t="s">
        <v>59</v>
      </c>
      <c r="C181" s="2">
        <v>44869.304166666669</v>
      </c>
      <c r="D181" s="20" t="s">
        <v>80</v>
      </c>
    </row>
    <row r="182" spans="1:4" x14ac:dyDescent="0.25">
      <c r="A182">
        <v>9</v>
      </c>
      <c r="B182" s="20" t="s">
        <v>61</v>
      </c>
      <c r="C182" s="2">
        <v>44869.304166666669</v>
      </c>
      <c r="D182" s="20" t="s">
        <v>80</v>
      </c>
    </row>
    <row r="183" spans="1:4" x14ac:dyDescent="0.25">
      <c r="A183">
        <v>10</v>
      </c>
      <c r="B183" s="20" t="s">
        <v>62</v>
      </c>
      <c r="C183" s="2">
        <v>44869.304166666669</v>
      </c>
      <c r="D183" s="20" t="s">
        <v>80</v>
      </c>
    </row>
    <row r="184" spans="1:4" x14ac:dyDescent="0.25">
      <c r="A184">
        <v>11</v>
      </c>
      <c r="B184" s="20" t="s">
        <v>63</v>
      </c>
      <c r="C184" s="2">
        <v>44869.304166666669</v>
      </c>
      <c r="D184" s="20" t="s">
        <v>80</v>
      </c>
    </row>
    <row r="185" spans="1:4" x14ac:dyDescent="0.25">
      <c r="A185">
        <v>12</v>
      </c>
      <c r="B185" s="20" t="s">
        <v>64</v>
      </c>
      <c r="C185" s="2">
        <v>44869.304166666669</v>
      </c>
      <c r="D185" s="20" t="s">
        <v>80</v>
      </c>
    </row>
    <row r="186" spans="1:4" x14ac:dyDescent="0.25">
      <c r="A186">
        <v>13</v>
      </c>
      <c r="B186" s="20" t="s">
        <v>65</v>
      </c>
      <c r="C186" s="2">
        <v>44869.304166666669</v>
      </c>
      <c r="D186" s="20" t="s">
        <v>80</v>
      </c>
    </row>
    <row r="187" spans="1:4" x14ac:dyDescent="0.25">
      <c r="A187">
        <v>14</v>
      </c>
      <c r="B187" s="20" t="s">
        <v>66</v>
      </c>
      <c r="C187" s="2">
        <v>44869.304166666669</v>
      </c>
      <c r="D187" s="20" t="s">
        <v>80</v>
      </c>
    </row>
    <row r="188" spans="1:4" x14ac:dyDescent="0.25">
      <c r="A188">
        <v>16</v>
      </c>
      <c r="B188" s="20" t="s">
        <v>68</v>
      </c>
      <c r="C188" s="2">
        <v>44869.304166666669</v>
      </c>
      <c r="D188" s="20" t="s">
        <v>80</v>
      </c>
    </row>
    <row r="189" spans="1:4" x14ac:dyDescent="0.25">
      <c r="A189">
        <v>17</v>
      </c>
      <c r="B189" s="20" t="s">
        <v>105</v>
      </c>
      <c r="C189" s="2">
        <v>44869.304166666669</v>
      </c>
      <c r="D189" s="20" t="s">
        <v>80</v>
      </c>
    </row>
    <row r="190" spans="1:4" x14ac:dyDescent="0.25">
      <c r="A190">
        <v>18</v>
      </c>
      <c r="B190" s="20" t="s">
        <v>106</v>
      </c>
      <c r="C190" s="2">
        <v>44869.304166666669</v>
      </c>
      <c r="D190" s="20" t="s">
        <v>80</v>
      </c>
    </row>
    <row r="191" spans="1:4" x14ac:dyDescent="0.25">
      <c r="A191">
        <v>19</v>
      </c>
      <c r="B191" s="20" t="s">
        <v>107</v>
      </c>
      <c r="C191" s="2">
        <v>44869.304166666669</v>
      </c>
      <c r="D191" s="20" t="s">
        <v>80</v>
      </c>
    </row>
    <row r="192" spans="1:4" x14ac:dyDescent="0.25">
      <c r="A192">
        <v>20</v>
      </c>
      <c r="B192" s="20" t="s">
        <v>108</v>
      </c>
      <c r="C192" s="2">
        <v>44869.304166666669</v>
      </c>
      <c r="D192" s="20" t="s">
        <v>80</v>
      </c>
    </row>
    <row r="193" spans="1:4" x14ac:dyDescent="0.25">
      <c r="A193">
        <v>21</v>
      </c>
      <c r="B193" s="20" t="s">
        <v>109</v>
      </c>
      <c r="C193" s="2">
        <v>44869.304166666669</v>
      </c>
      <c r="D193" s="20" t="s">
        <v>80</v>
      </c>
    </row>
    <row r="194" spans="1:4" x14ac:dyDescent="0.25">
      <c r="A194">
        <v>22</v>
      </c>
      <c r="B194" s="20" t="s">
        <v>110</v>
      </c>
      <c r="C194" s="2">
        <v>44869.304166666669</v>
      </c>
      <c r="D194" s="20" t="s">
        <v>80</v>
      </c>
    </row>
    <row r="195" spans="1:4" x14ac:dyDescent="0.25">
      <c r="A195">
        <v>23</v>
      </c>
      <c r="B195" s="20" t="s">
        <v>111</v>
      </c>
      <c r="C195" s="2">
        <v>44869.304166666669</v>
      </c>
      <c r="D195" s="20" t="s">
        <v>80</v>
      </c>
    </row>
    <row r="196" spans="1:4" x14ac:dyDescent="0.25">
      <c r="A196">
        <v>5</v>
      </c>
      <c r="B196" s="20" t="s">
        <v>96</v>
      </c>
      <c r="C196" s="2">
        <v>44869.313194444447</v>
      </c>
      <c r="D196" s="20" t="s">
        <v>80</v>
      </c>
    </row>
    <row r="197" spans="1:4" x14ac:dyDescent="0.25">
      <c r="A197">
        <v>5</v>
      </c>
      <c r="B197" s="20" t="s">
        <v>96</v>
      </c>
      <c r="C197" s="2">
        <v>44869.322916666664</v>
      </c>
      <c r="D197" s="20" t="s">
        <v>81</v>
      </c>
    </row>
    <row r="198" spans="1:4" x14ac:dyDescent="0.25">
      <c r="A198">
        <v>25</v>
      </c>
      <c r="B198" s="20" t="s">
        <v>41</v>
      </c>
      <c r="C198" s="2">
        <v>44869.322916666664</v>
      </c>
      <c r="D198" s="20" t="s">
        <v>81</v>
      </c>
    </row>
    <row r="199" spans="1:4" x14ac:dyDescent="0.25">
      <c r="A199">
        <v>30</v>
      </c>
      <c r="B199" s="20" t="s">
        <v>162</v>
      </c>
      <c r="C199" s="2">
        <v>44869.322916666664</v>
      </c>
      <c r="D199" s="20" t="s">
        <v>81</v>
      </c>
    </row>
    <row r="200" spans="1:4" x14ac:dyDescent="0.25">
      <c r="A200">
        <v>5</v>
      </c>
      <c r="B200" s="20" t="s">
        <v>96</v>
      </c>
      <c r="C200" s="2">
        <v>44869.354861111111</v>
      </c>
      <c r="D200" s="20" t="s">
        <v>80</v>
      </c>
    </row>
    <row r="201" spans="1:4" x14ac:dyDescent="0.25">
      <c r="A201">
        <v>5</v>
      </c>
      <c r="B201" s="20" t="s">
        <v>96</v>
      </c>
      <c r="C201" s="2">
        <v>44869.364583333336</v>
      </c>
      <c r="D201" s="20" t="s">
        <v>81</v>
      </c>
    </row>
    <row r="202" spans="1:4" x14ac:dyDescent="0.25">
      <c r="A202">
        <v>27</v>
      </c>
      <c r="B202" s="20" t="s">
        <v>60</v>
      </c>
      <c r="C202" s="2">
        <v>44869.364583333336</v>
      </c>
      <c r="D202" s="20" t="s">
        <v>81</v>
      </c>
    </row>
    <row r="203" spans="1:4" x14ac:dyDescent="0.25">
      <c r="A203">
        <v>5</v>
      </c>
      <c r="B203" s="20" t="s">
        <v>96</v>
      </c>
      <c r="C203" s="2">
        <v>44869.395833333336</v>
      </c>
      <c r="D203" s="20" t="s">
        <v>80</v>
      </c>
    </row>
    <row r="204" spans="1:4" x14ac:dyDescent="0.25">
      <c r="A204">
        <v>5</v>
      </c>
      <c r="B204" s="20" t="s">
        <v>96</v>
      </c>
      <c r="C204" s="2">
        <v>44869.40625</v>
      </c>
      <c r="D204" s="20" t="s">
        <v>81</v>
      </c>
    </row>
    <row r="205" spans="1:4" x14ac:dyDescent="0.25">
      <c r="A205">
        <v>5</v>
      </c>
      <c r="B205" s="20" t="s">
        <v>96</v>
      </c>
      <c r="C205" s="2">
        <v>44870.013888888891</v>
      </c>
      <c r="D205" s="20" t="s">
        <v>81</v>
      </c>
    </row>
    <row r="206" spans="1:4" x14ac:dyDescent="0.25">
      <c r="A206">
        <v>5</v>
      </c>
      <c r="B206" s="20" t="s">
        <v>96</v>
      </c>
      <c r="C206" s="2">
        <v>44870.024305555555</v>
      </c>
      <c r="D206" s="20" t="s">
        <v>81</v>
      </c>
    </row>
    <row r="207" spans="1:4" x14ac:dyDescent="0.25">
      <c r="A207">
        <v>5</v>
      </c>
      <c r="B207" s="20" t="s">
        <v>96</v>
      </c>
      <c r="C207" s="2">
        <v>44870.034722222219</v>
      </c>
      <c r="D207" s="20" t="s">
        <v>81</v>
      </c>
    </row>
    <row r="208" spans="1:4" x14ac:dyDescent="0.25">
      <c r="A208">
        <v>5</v>
      </c>
      <c r="B208" s="20" t="s">
        <v>96</v>
      </c>
      <c r="C208" s="2">
        <v>44870.045138888891</v>
      </c>
      <c r="D208" s="20" t="s">
        <v>81</v>
      </c>
    </row>
    <row r="209" spans="1:4" x14ac:dyDescent="0.25">
      <c r="A209">
        <v>5</v>
      </c>
      <c r="B209" s="20" t="s">
        <v>96</v>
      </c>
      <c r="C209" s="2">
        <v>44870.055555555555</v>
      </c>
      <c r="D209" s="20" t="s">
        <v>81</v>
      </c>
    </row>
    <row r="210" spans="1:4" x14ac:dyDescent="0.25">
      <c r="A210">
        <v>5</v>
      </c>
      <c r="B210" s="20" t="s">
        <v>96</v>
      </c>
      <c r="C210" s="2">
        <v>44870.065972222219</v>
      </c>
      <c r="D210" s="20" t="s">
        <v>81</v>
      </c>
    </row>
    <row r="211" spans="1:4" x14ac:dyDescent="0.25">
      <c r="A211">
        <v>5</v>
      </c>
      <c r="B211" s="20" t="s">
        <v>96</v>
      </c>
      <c r="C211" s="2">
        <v>44870.086805555555</v>
      </c>
      <c r="D211" s="20" t="s">
        <v>81</v>
      </c>
    </row>
    <row r="212" spans="1:4" x14ac:dyDescent="0.25">
      <c r="A212">
        <v>5</v>
      </c>
      <c r="B212" s="20" t="s">
        <v>96</v>
      </c>
      <c r="C212" s="2">
        <v>44870.097222222219</v>
      </c>
      <c r="D212" s="20" t="s">
        <v>81</v>
      </c>
    </row>
    <row r="213" spans="1:4" x14ac:dyDescent="0.25">
      <c r="A213">
        <v>5</v>
      </c>
      <c r="B213" s="20" t="s">
        <v>96</v>
      </c>
      <c r="C213" s="2">
        <v>44870.107638888891</v>
      </c>
      <c r="D213" s="20" t="s">
        <v>81</v>
      </c>
    </row>
    <row r="214" spans="1:4" x14ac:dyDescent="0.25">
      <c r="A214">
        <v>5</v>
      </c>
      <c r="B214" s="20" t="s">
        <v>96</v>
      </c>
      <c r="C214" s="2">
        <v>44870.118055555555</v>
      </c>
      <c r="D214" s="20" t="s">
        <v>81</v>
      </c>
    </row>
    <row r="215" spans="1:4" x14ac:dyDescent="0.25">
      <c r="A215">
        <v>5</v>
      </c>
      <c r="B215" s="20" t="s">
        <v>96</v>
      </c>
      <c r="C215" s="2">
        <v>44870.128472222219</v>
      </c>
      <c r="D215" s="20" t="s">
        <v>81</v>
      </c>
    </row>
    <row r="216" spans="1:4" x14ac:dyDescent="0.25">
      <c r="A216">
        <v>5</v>
      </c>
      <c r="B216" s="20" t="s">
        <v>96</v>
      </c>
      <c r="C216" s="2">
        <v>44870.138888888891</v>
      </c>
      <c r="D216" s="20" t="s">
        <v>81</v>
      </c>
    </row>
    <row r="217" spans="1:4" x14ac:dyDescent="0.25">
      <c r="A217">
        <v>5</v>
      </c>
      <c r="B217" s="20" t="s">
        <v>96</v>
      </c>
      <c r="C217" s="2">
        <v>44870.149305555555</v>
      </c>
      <c r="D217" s="20" t="s">
        <v>81</v>
      </c>
    </row>
    <row r="218" spans="1:4" x14ac:dyDescent="0.25">
      <c r="A218">
        <v>5</v>
      </c>
      <c r="B218" s="20" t="s">
        <v>96</v>
      </c>
      <c r="C218" s="2">
        <v>44870.159722222219</v>
      </c>
      <c r="D218" s="20" t="s">
        <v>81</v>
      </c>
    </row>
    <row r="219" spans="1:4" x14ac:dyDescent="0.25">
      <c r="A219">
        <v>5</v>
      </c>
      <c r="B219" s="20" t="s">
        <v>96</v>
      </c>
      <c r="C219" s="2">
        <v>44870.170138888891</v>
      </c>
      <c r="D219" s="20" t="s">
        <v>81</v>
      </c>
    </row>
    <row r="220" spans="1:4" x14ac:dyDescent="0.25">
      <c r="A220">
        <v>5</v>
      </c>
      <c r="B220" s="20" t="s">
        <v>96</v>
      </c>
      <c r="C220" s="2">
        <v>44870.180555555555</v>
      </c>
      <c r="D220" s="20" t="s">
        <v>81</v>
      </c>
    </row>
    <row r="221" spans="1:4" x14ac:dyDescent="0.25">
      <c r="A221">
        <v>5</v>
      </c>
      <c r="B221" s="20" t="s">
        <v>96</v>
      </c>
      <c r="C221" s="2">
        <v>44870.239583333336</v>
      </c>
      <c r="D221" s="20" t="s">
        <v>81</v>
      </c>
    </row>
    <row r="222" spans="1:4" x14ac:dyDescent="0.25">
      <c r="A222">
        <v>5</v>
      </c>
      <c r="B222" s="20" t="s">
        <v>96</v>
      </c>
      <c r="C222" s="2">
        <v>44870.28125</v>
      </c>
      <c r="D222" s="20" t="s">
        <v>81</v>
      </c>
    </row>
    <row r="223" spans="1:4" x14ac:dyDescent="0.25">
      <c r="A223">
        <v>25</v>
      </c>
      <c r="B223" s="20" t="s">
        <v>41</v>
      </c>
      <c r="C223" s="2">
        <v>44870.28125</v>
      </c>
      <c r="D223" s="20" t="s">
        <v>81</v>
      </c>
    </row>
    <row r="224" spans="1:4" x14ac:dyDescent="0.25">
      <c r="A224">
        <v>26</v>
      </c>
      <c r="B224" s="20" t="s">
        <v>159</v>
      </c>
      <c r="C224" s="2">
        <v>44870.28125</v>
      </c>
      <c r="D224" s="20" t="s">
        <v>81</v>
      </c>
    </row>
    <row r="225" spans="1:4" x14ac:dyDescent="0.25">
      <c r="A225">
        <v>27</v>
      </c>
      <c r="B225" s="20" t="s">
        <v>60</v>
      </c>
      <c r="C225" s="2">
        <v>44870.28125</v>
      </c>
      <c r="D225" s="20" t="s">
        <v>81</v>
      </c>
    </row>
    <row r="226" spans="1:4" x14ac:dyDescent="0.25">
      <c r="A226">
        <v>28</v>
      </c>
      <c r="B226" s="20" t="s">
        <v>160</v>
      </c>
      <c r="C226" s="2">
        <v>44870.28125</v>
      </c>
      <c r="D226" s="20" t="s">
        <v>81</v>
      </c>
    </row>
    <row r="227" spans="1:4" x14ac:dyDescent="0.25">
      <c r="A227">
        <v>29</v>
      </c>
      <c r="B227" s="20" t="s">
        <v>161</v>
      </c>
      <c r="C227" s="2">
        <v>44870.28125</v>
      </c>
      <c r="D227" s="20" t="s">
        <v>81</v>
      </c>
    </row>
    <row r="228" spans="1:4" x14ac:dyDescent="0.25">
      <c r="A228">
        <v>30</v>
      </c>
      <c r="B228" s="20" t="s">
        <v>162</v>
      </c>
      <c r="C228" s="2">
        <v>44870.28125</v>
      </c>
      <c r="D228" s="20" t="s">
        <v>81</v>
      </c>
    </row>
    <row r="229" spans="1:4" x14ac:dyDescent="0.25">
      <c r="A229">
        <v>31</v>
      </c>
      <c r="B229" s="20" t="s">
        <v>163</v>
      </c>
      <c r="C229" s="2">
        <v>44870.28125</v>
      </c>
      <c r="D229" s="20" t="s">
        <v>81</v>
      </c>
    </row>
    <row r="230" spans="1:4" x14ac:dyDescent="0.25">
      <c r="A230">
        <v>32</v>
      </c>
      <c r="B230" s="20" t="s">
        <v>164</v>
      </c>
      <c r="C230" s="2">
        <v>44870.28125</v>
      </c>
      <c r="D230" s="20" t="s">
        <v>81</v>
      </c>
    </row>
    <row r="231" spans="1:4" x14ac:dyDescent="0.25">
      <c r="A231">
        <v>33</v>
      </c>
      <c r="B231" s="20" t="s">
        <v>165</v>
      </c>
      <c r="C231" s="2">
        <v>44870.28125</v>
      </c>
      <c r="D231" s="20" t="s">
        <v>81</v>
      </c>
    </row>
    <row r="232" spans="1:4" x14ac:dyDescent="0.25">
      <c r="A232">
        <v>34</v>
      </c>
      <c r="B232" s="20" t="s">
        <v>67</v>
      </c>
      <c r="C232" s="2">
        <v>44870.28125</v>
      </c>
      <c r="D232" s="20" t="s">
        <v>81</v>
      </c>
    </row>
    <row r="233" spans="1:4" x14ac:dyDescent="0.25">
      <c r="A233">
        <v>35</v>
      </c>
      <c r="B233" s="20" t="s">
        <v>166</v>
      </c>
      <c r="C233" s="2">
        <v>44870.28125</v>
      </c>
      <c r="D233" s="20" t="s">
        <v>81</v>
      </c>
    </row>
    <row r="234" spans="1:4" x14ac:dyDescent="0.25">
      <c r="A234">
        <v>3</v>
      </c>
      <c r="B234" s="20" t="s">
        <v>39</v>
      </c>
      <c r="C234" s="2">
        <v>44870.304166666669</v>
      </c>
      <c r="D234" s="20" t="s">
        <v>80</v>
      </c>
    </row>
    <row r="235" spans="1:4" x14ac:dyDescent="0.25">
      <c r="A235">
        <v>5</v>
      </c>
      <c r="B235" s="20" t="s">
        <v>96</v>
      </c>
      <c r="C235" s="2">
        <v>44870.304166666669</v>
      </c>
      <c r="D235" s="20" t="s">
        <v>80</v>
      </c>
    </row>
    <row r="236" spans="1:4" x14ac:dyDescent="0.25">
      <c r="A236">
        <v>7</v>
      </c>
      <c r="B236" s="20" t="s">
        <v>59</v>
      </c>
      <c r="C236" s="2">
        <v>44870.304166666669</v>
      </c>
      <c r="D236" s="20" t="s">
        <v>80</v>
      </c>
    </row>
    <row r="237" spans="1:4" x14ac:dyDescent="0.25">
      <c r="A237">
        <v>9</v>
      </c>
      <c r="B237" s="20" t="s">
        <v>61</v>
      </c>
      <c r="C237" s="2">
        <v>44870.304166666669</v>
      </c>
      <c r="D237" s="20" t="s">
        <v>80</v>
      </c>
    </row>
    <row r="238" spans="1:4" x14ac:dyDescent="0.25">
      <c r="A238">
        <v>10</v>
      </c>
      <c r="B238" s="20" t="s">
        <v>62</v>
      </c>
      <c r="C238" s="2">
        <v>44870.304166666669</v>
      </c>
      <c r="D238" s="20" t="s">
        <v>80</v>
      </c>
    </row>
    <row r="239" spans="1:4" x14ac:dyDescent="0.25">
      <c r="A239">
        <v>11</v>
      </c>
      <c r="B239" s="20" t="s">
        <v>63</v>
      </c>
      <c r="C239" s="2">
        <v>44870.304166666669</v>
      </c>
      <c r="D239" s="20" t="s">
        <v>80</v>
      </c>
    </row>
    <row r="240" spans="1:4" x14ac:dyDescent="0.25">
      <c r="A240">
        <v>12</v>
      </c>
      <c r="B240" s="20" t="s">
        <v>64</v>
      </c>
      <c r="C240" s="2">
        <v>44870.304166666669</v>
      </c>
      <c r="D240" s="20" t="s">
        <v>80</v>
      </c>
    </row>
    <row r="241" spans="1:4" x14ac:dyDescent="0.25">
      <c r="A241">
        <v>13</v>
      </c>
      <c r="B241" s="20" t="s">
        <v>65</v>
      </c>
      <c r="C241" s="2">
        <v>44870.304166666669</v>
      </c>
      <c r="D241" s="20" t="s">
        <v>80</v>
      </c>
    </row>
    <row r="242" spans="1:4" x14ac:dyDescent="0.25">
      <c r="A242">
        <v>14</v>
      </c>
      <c r="B242" s="20" t="s">
        <v>66</v>
      </c>
      <c r="C242" s="2">
        <v>44870.304166666669</v>
      </c>
      <c r="D242" s="20" t="s">
        <v>80</v>
      </c>
    </row>
    <row r="243" spans="1:4" x14ac:dyDescent="0.25">
      <c r="A243">
        <v>16</v>
      </c>
      <c r="B243" s="20" t="s">
        <v>68</v>
      </c>
      <c r="C243" s="2">
        <v>44870.304166666669</v>
      </c>
      <c r="D243" s="20" t="s">
        <v>80</v>
      </c>
    </row>
    <row r="244" spans="1:4" x14ac:dyDescent="0.25">
      <c r="A244">
        <v>17</v>
      </c>
      <c r="B244" s="20" t="s">
        <v>105</v>
      </c>
      <c r="C244" s="2">
        <v>44870.304166666669</v>
      </c>
      <c r="D244" s="20" t="s">
        <v>80</v>
      </c>
    </row>
    <row r="245" spans="1:4" x14ac:dyDescent="0.25">
      <c r="A245">
        <v>18</v>
      </c>
      <c r="B245" s="20" t="s">
        <v>106</v>
      </c>
      <c r="C245" s="2">
        <v>44870.304166666669</v>
      </c>
      <c r="D245" s="20" t="s">
        <v>80</v>
      </c>
    </row>
    <row r="246" spans="1:4" x14ac:dyDescent="0.25">
      <c r="A246">
        <v>19</v>
      </c>
      <c r="B246" s="20" t="s">
        <v>107</v>
      </c>
      <c r="C246" s="2">
        <v>44870.304166666669</v>
      </c>
      <c r="D246" s="20" t="s">
        <v>80</v>
      </c>
    </row>
    <row r="247" spans="1:4" x14ac:dyDescent="0.25">
      <c r="A247">
        <v>20</v>
      </c>
      <c r="B247" s="20" t="s">
        <v>108</v>
      </c>
      <c r="C247" s="2">
        <v>44870.304166666669</v>
      </c>
      <c r="D247" s="20" t="s">
        <v>80</v>
      </c>
    </row>
    <row r="248" spans="1:4" x14ac:dyDescent="0.25">
      <c r="A248">
        <v>21</v>
      </c>
      <c r="B248" s="20" t="s">
        <v>109</v>
      </c>
      <c r="C248" s="2">
        <v>44870.304166666669</v>
      </c>
      <c r="D248" s="20" t="s">
        <v>80</v>
      </c>
    </row>
    <row r="249" spans="1:4" x14ac:dyDescent="0.25">
      <c r="A249">
        <v>22</v>
      </c>
      <c r="B249" s="20" t="s">
        <v>110</v>
      </c>
      <c r="C249" s="2">
        <v>44870.304166666669</v>
      </c>
      <c r="D249" s="20" t="s">
        <v>80</v>
      </c>
    </row>
    <row r="250" spans="1:4" x14ac:dyDescent="0.25">
      <c r="A250">
        <v>23</v>
      </c>
      <c r="B250" s="20" t="s">
        <v>111</v>
      </c>
      <c r="C250" s="2">
        <v>44870.304166666669</v>
      </c>
      <c r="D250" s="20" t="s">
        <v>80</v>
      </c>
    </row>
    <row r="251" spans="1:4" x14ac:dyDescent="0.25">
      <c r="A251">
        <v>5</v>
      </c>
      <c r="B251" s="20" t="s">
        <v>96</v>
      </c>
      <c r="C251" s="2">
        <v>44870.3125</v>
      </c>
      <c r="D251" s="20" t="s">
        <v>80</v>
      </c>
    </row>
    <row r="252" spans="1:4" x14ac:dyDescent="0.25">
      <c r="A252">
        <v>5</v>
      </c>
      <c r="B252" s="20" t="s">
        <v>96</v>
      </c>
      <c r="C252" s="2">
        <v>44870.318055555559</v>
      </c>
      <c r="D252" s="20" t="s">
        <v>80</v>
      </c>
    </row>
    <row r="253" spans="1:4" x14ac:dyDescent="0.25">
      <c r="A253">
        <v>24</v>
      </c>
      <c r="B253" s="20" t="s">
        <v>28</v>
      </c>
      <c r="C253" s="2">
        <v>44870.318055555559</v>
      </c>
      <c r="D253" s="20" t="s">
        <v>80</v>
      </c>
    </row>
    <row r="254" spans="1:4" x14ac:dyDescent="0.25">
      <c r="A254">
        <v>5</v>
      </c>
      <c r="B254" s="20" t="s">
        <v>96</v>
      </c>
      <c r="C254" s="2">
        <v>44870.322916666664</v>
      </c>
      <c r="D254" s="20" t="s">
        <v>81</v>
      </c>
    </row>
    <row r="255" spans="1:4" x14ac:dyDescent="0.25">
      <c r="A255">
        <v>5</v>
      </c>
      <c r="B255" s="20" t="s">
        <v>96</v>
      </c>
      <c r="C255" s="2">
        <v>44870.325694444444</v>
      </c>
      <c r="D255" s="20" t="s">
        <v>81</v>
      </c>
    </row>
    <row r="256" spans="1:4" x14ac:dyDescent="0.25">
      <c r="A256">
        <v>5</v>
      </c>
      <c r="B256" s="20" t="s">
        <v>96</v>
      </c>
      <c r="C256" s="2">
        <v>44870.354166666664</v>
      </c>
      <c r="D256" s="20" t="s">
        <v>80</v>
      </c>
    </row>
    <row r="257" spans="1:4" x14ac:dyDescent="0.25">
      <c r="A257">
        <v>5</v>
      </c>
      <c r="B257" s="20" t="s">
        <v>96</v>
      </c>
      <c r="C257" s="2">
        <v>44870.364583333336</v>
      </c>
      <c r="D257" s="20" t="s">
        <v>81</v>
      </c>
    </row>
    <row r="258" spans="1:4" x14ac:dyDescent="0.25">
      <c r="A258">
        <v>5</v>
      </c>
      <c r="B258" s="20" t="s">
        <v>96</v>
      </c>
      <c r="C258" s="2">
        <v>44870.395833333336</v>
      </c>
      <c r="D258" s="20" t="s">
        <v>80</v>
      </c>
    </row>
    <row r="259" spans="1:4" x14ac:dyDescent="0.25">
      <c r="A259">
        <v>5</v>
      </c>
      <c r="B259" s="20" t="s">
        <v>96</v>
      </c>
      <c r="C259" s="2">
        <v>44870.40625</v>
      </c>
      <c r="D259" s="20" t="s">
        <v>81</v>
      </c>
    </row>
    <row r="260" spans="1:4" x14ac:dyDescent="0.25">
      <c r="A260">
        <v>5</v>
      </c>
      <c r="B260" s="20" t="s">
        <v>96</v>
      </c>
      <c r="C260" s="2">
        <v>44871.013888888891</v>
      </c>
      <c r="D260" s="20" t="s">
        <v>81</v>
      </c>
    </row>
    <row r="261" spans="1:4" x14ac:dyDescent="0.25">
      <c r="A261">
        <v>5</v>
      </c>
      <c r="B261" s="20" t="s">
        <v>96</v>
      </c>
      <c r="C261" s="2">
        <v>44871.024305555555</v>
      </c>
      <c r="D261" s="20" t="s">
        <v>81</v>
      </c>
    </row>
    <row r="262" spans="1:4" x14ac:dyDescent="0.25">
      <c r="A262">
        <v>5</v>
      </c>
      <c r="B262" s="20" t="s">
        <v>96</v>
      </c>
      <c r="C262" s="2">
        <v>44871.034722222219</v>
      </c>
      <c r="D262" s="20" t="s">
        <v>81</v>
      </c>
    </row>
    <row r="263" spans="1:4" x14ac:dyDescent="0.25">
      <c r="A263">
        <v>5</v>
      </c>
      <c r="B263" s="20" t="s">
        <v>96</v>
      </c>
      <c r="C263" s="2">
        <v>44871.045138888891</v>
      </c>
      <c r="D263" s="20" t="s">
        <v>81</v>
      </c>
    </row>
    <row r="264" spans="1:4" x14ac:dyDescent="0.25">
      <c r="A264">
        <v>5</v>
      </c>
      <c r="B264" s="20" t="s">
        <v>96</v>
      </c>
      <c r="C264" s="2">
        <v>44871.055555555555</v>
      </c>
      <c r="D264" s="20" t="s">
        <v>81</v>
      </c>
    </row>
    <row r="265" spans="1:4" x14ac:dyDescent="0.25">
      <c r="A265">
        <v>5</v>
      </c>
      <c r="B265" s="20" t="s">
        <v>96</v>
      </c>
      <c r="C265" s="2">
        <v>44871.065972222219</v>
      </c>
      <c r="D265" s="20" t="s">
        <v>81</v>
      </c>
    </row>
    <row r="266" spans="1:4" x14ac:dyDescent="0.25">
      <c r="A266">
        <v>5</v>
      </c>
      <c r="B266" s="20" t="s">
        <v>96</v>
      </c>
      <c r="C266" s="2">
        <v>44871.086805555555</v>
      </c>
      <c r="D266" s="20" t="s">
        <v>81</v>
      </c>
    </row>
    <row r="267" spans="1:4" x14ac:dyDescent="0.25">
      <c r="A267">
        <v>5</v>
      </c>
      <c r="B267" s="20" t="s">
        <v>96</v>
      </c>
      <c r="C267" s="2">
        <v>44871.097222222219</v>
      </c>
      <c r="D267" s="20" t="s">
        <v>81</v>
      </c>
    </row>
    <row r="268" spans="1:4" x14ac:dyDescent="0.25">
      <c r="A268">
        <v>5</v>
      </c>
      <c r="B268" s="20" t="s">
        <v>96</v>
      </c>
      <c r="C268" s="2">
        <v>44871.107638888891</v>
      </c>
      <c r="D268" s="20" t="s">
        <v>81</v>
      </c>
    </row>
    <row r="269" spans="1:4" x14ac:dyDescent="0.25">
      <c r="A269">
        <v>5</v>
      </c>
      <c r="B269" s="20" t="s">
        <v>96</v>
      </c>
      <c r="C269" s="2">
        <v>44871.118055555555</v>
      </c>
      <c r="D269" s="20" t="s">
        <v>81</v>
      </c>
    </row>
    <row r="270" spans="1:4" x14ac:dyDescent="0.25">
      <c r="A270">
        <v>5</v>
      </c>
      <c r="B270" s="20" t="s">
        <v>96</v>
      </c>
      <c r="C270" s="2">
        <v>44871.128472222219</v>
      </c>
      <c r="D270" s="20" t="s">
        <v>81</v>
      </c>
    </row>
    <row r="271" spans="1:4" x14ac:dyDescent="0.25">
      <c r="A271">
        <v>5</v>
      </c>
      <c r="B271" s="20" t="s">
        <v>96</v>
      </c>
      <c r="C271" s="2">
        <v>44871.138888888891</v>
      </c>
      <c r="D271" s="20" t="s">
        <v>81</v>
      </c>
    </row>
    <row r="272" spans="1:4" x14ac:dyDescent="0.25">
      <c r="A272">
        <v>5</v>
      </c>
      <c r="B272" s="20" t="s">
        <v>96</v>
      </c>
      <c r="C272" s="2">
        <v>44871.149305555555</v>
      </c>
      <c r="D272" s="20" t="s">
        <v>81</v>
      </c>
    </row>
    <row r="273" spans="1:4" x14ac:dyDescent="0.25">
      <c r="A273">
        <v>5</v>
      </c>
      <c r="B273" s="20" t="s">
        <v>96</v>
      </c>
      <c r="C273" s="2">
        <v>44871.159722222219</v>
      </c>
      <c r="D273" s="20" t="s">
        <v>81</v>
      </c>
    </row>
    <row r="274" spans="1:4" x14ac:dyDescent="0.25">
      <c r="A274">
        <v>5</v>
      </c>
      <c r="B274" s="20" t="s">
        <v>96</v>
      </c>
      <c r="C274" s="2">
        <v>44871.170138888891</v>
      </c>
      <c r="D274" s="20" t="s">
        <v>81</v>
      </c>
    </row>
    <row r="275" spans="1:4" x14ac:dyDescent="0.25">
      <c r="A275">
        <v>5</v>
      </c>
      <c r="B275" s="20" t="s">
        <v>96</v>
      </c>
      <c r="C275" s="2">
        <v>44871.180555555555</v>
      </c>
      <c r="D275" s="20" t="s">
        <v>81</v>
      </c>
    </row>
    <row r="276" spans="1:4" x14ac:dyDescent="0.25">
      <c r="A276">
        <v>5</v>
      </c>
      <c r="B276" s="20" t="s">
        <v>96</v>
      </c>
      <c r="C276" s="2">
        <v>44871.239583333336</v>
      </c>
      <c r="D276" s="20" t="s">
        <v>81</v>
      </c>
    </row>
    <row r="277" spans="1:4" x14ac:dyDescent="0.25">
      <c r="A277">
        <v>5</v>
      </c>
      <c r="B277" s="20" t="s">
        <v>96</v>
      </c>
      <c r="C277" s="2">
        <v>44871.273611111108</v>
      </c>
      <c r="D277" s="20" t="s">
        <v>80</v>
      </c>
    </row>
    <row r="278" spans="1:4" x14ac:dyDescent="0.25">
      <c r="A278">
        <v>5</v>
      </c>
      <c r="B278" s="20" t="s">
        <v>96</v>
      </c>
      <c r="C278" s="2">
        <v>44871.28125</v>
      </c>
      <c r="D278" s="20" t="s">
        <v>81</v>
      </c>
    </row>
    <row r="279" spans="1:4" x14ac:dyDescent="0.25">
      <c r="A279">
        <v>5</v>
      </c>
      <c r="B279" s="20" t="s">
        <v>96</v>
      </c>
      <c r="C279" s="2">
        <v>44871.31527777778</v>
      </c>
      <c r="D279" s="20" t="s">
        <v>80</v>
      </c>
    </row>
    <row r="280" spans="1:4" x14ac:dyDescent="0.25">
      <c r="A280">
        <v>5</v>
      </c>
      <c r="B280" s="20" t="s">
        <v>96</v>
      </c>
      <c r="C280" s="2">
        <v>44871.322916666664</v>
      </c>
      <c r="D280" s="20" t="s">
        <v>81</v>
      </c>
    </row>
    <row r="281" spans="1:4" x14ac:dyDescent="0.25">
      <c r="A281">
        <v>5</v>
      </c>
      <c r="B281" s="20" t="s">
        <v>96</v>
      </c>
      <c r="C281" s="2">
        <v>44871.356944444444</v>
      </c>
      <c r="D281" s="20" t="s">
        <v>80</v>
      </c>
    </row>
    <row r="282" spans="1:4" x14ac:dyDescent="0.25">
      <c r="A282">
        <v>5</v>
      </c>
      <c r="B282" s="20" t="s">
        <v>96</v>
      </c>
      <c r="C282" s="2">
        <v>44871.364583333336</v>
      </c>
      <c r="D282" s="20" t="s">
        <v>81</v>
      </c>
    </row>
    <row r="283" spans="1:4" x14ac:dyDescent="0.25">
      <c r="A283">
        <v>5</v>
      </c>
      <c r="B283" s="20" t="s">
        <v>96</v>
      </c>
      <c r="C283" s="2">
        <v>44871.398611111108</v>
      </c>
      <c r="D283" s="20" t="s">
        <v>80</v>
      </c>
    </row>
    <row r="284" spans="1:4" x14ac:dyDescent="0.25">
      <c r="A284">
        <v>5</v>
      </c>
      <c r="B284" s="20" t="s">
        <v>96</v>
      </c>
      <c r="C284" s="2">
        <v>44871.40625</v>
      </c>
      <c r="D284" s="20" t="s">
        <v>81</v>
      </c>
    </row>
    <row r="285" spans="1:4" x14ac:dyDescent="0.25">
      <c r="A285">
        <v>5</v>
      </c>
      <c r="B285" s="20" t="s">
        <v>96</v>
      </c>
      <c r="C285" s="2">
        <v>44871.462500000001</v>
      </c>
      <c r="D285" s="20" t="s">
        <v>80</v>
      </c>
    </row>
    <row r="286" spans="1:4" x14ac:dyDescent="0.25">
      <c r="A286">
        <v>5</v>
      </c>
      <c r="B286" s="20" t="s">
        <v>96</v>
      </c>
      <c r="C286" s="2">
        <v>44871.498611111114</v>
      </c>
      <c r="D286" s="20" t="s">
        <v>81</v>
      </c>
    </row>
    <row r="287" spans="1:4" x14ac:dyDescent="0.25">
      <c r="A287">
        <v>7</v>
      </c>
      <c r="B287" s="20" t="s">
        <v>59</v>
      </c>
      <c r="C287" s="2">
        <v>44871.498611111114</v>
      </c>
      <c r="D287" s="20" t="s">
        <v>81</v>
      </c>
    </row>
    <row r="288" spans="1:4" x14ac:dyDescent="0.25">
      <c r="A288">
        <v>9</v>
      </c>
      <c r="B288" s="20" t="s">
        <v>61</v>
      </c>
      <c r="C288" s="2">
        <v>44871.498611111114</v>
      </c>
      <c r="D288" s="20" t="s">
        <v>81</v>
      </c>
    </row>
    <row r="289" spans="1:4" x14ac:dyDescent="0.25">
      <c r="A289">
        <v>10</v>
      </c>
      <c r="B289" s="20" t="s">
        <v>62</v>
      </c>
      <c r="C289" s="2">
        <v>44871.498611111114</v>
      </c>
      <c r="D289" s="20" t="s">
        <v>81</v>
      </c>
    </row>
    <row r="290" spans="1:4" x14ac:dyDescent="0.25">
      <c r="A290">
        <v>11</v>
      </c>
      <c r="B290" s="20" t="s">
        <v>63</v>
      </c>
      <c r="C290" s="2">
        <v>44871.498611111114</v>
      </c>
      <c r="D290" s="20" t="s">
        <v>81</v>
      </c>
    </row>
    <row r="291" spans="1:4" x14ac:dyDescent="0.25">
      <c r="A291">
        <v>12</v>
      </c>
      <c r="B291" s="20" t="s">
        <v>64</v>
      </c>
      <c r="C291" s="2">
        <v>44871.498611111114</v>
      </c>
      <c r="D291" s="20" t="s">
        <v>81</v>
      </c>
    </row>
    <row r="292" spans="1:4" x14ac:dyDescent="0.25">
      <c r="A292">
        <v>13</v>
      </c>
      <c r="B292" s="20" t="s">
        <v>65</v>
      </c>
      <c r="C292" s="2">
        <v>44871.498611111114</v>
      </c>
      <c r="D292" s="20" t="s">
        <v>81</v>
      </c>
    </row>
    <row r="293" spans="1:4" x14ac:dyDescent="0.25">
      <c r="A293">
        <v>14</v>
      </c>
      <c r="B293" s="20" t="s">
        <v>66</v>
      </c>
      <c r="C293" s="2">
        <v>44871.498611111114</v>
      </c>
      <c r="D293" s="20" t="s">
        <v>81</v>
      </c>
    </row>
    <row r="294" spans="1:4" x14ac:dyDescent="0.25">
      <c r="A294">
        <v>16</v>
      </c>
      <c r="B294" s="20" t="s">
        <v>68</v>
      </c>
      <c r="C294" s="2">
        <v>44871.498611111114</v>
      </c>
      <c r="D294" s="20" t="s">
        <v>81</v>
      </c>
    </row>
    <row r="295" spans="1:4" x14ac:dyDescent="0.25">
      <c r="A295">
        <v>24</v>
      </c>
      <c r="B295" s="20" t="s">
        <v>28</v>
      </c>
      <c r="C295" s="2">
        <v>44871.498611111114</v>
      </c>
      <c r="D295" s="20" t="s">
        <v>81</v>
      </c>
    </row>
    <row r="296" spans="1:4" x14ac:dyDescent="0.25">
      <c r="A296">
        <v>25</v>
      </c>
      <c r="B296" s="20" t="s">
        <v>41</v>
      </c>
      <c r="C296" s="2">
        <v>44871.498611111114</v>
      </c>
      <c r="D296" s="20" t="s">
        <v>81</v>
      </c>
    </row>
    <row r="297" spans="1:4" x14ac:dyDescent="0.25">
      <c r="A297">
        <v>26</v>
      </c>
      <c r="B297" s="20" t="s">
        <v>159</v>
      </c>
      <c r="C297" s="2">
        <v>44871.498611111114</v>
      </c>
      <c r="D297" s="20" t="s">
        <v>81</v>
      </c>
    </row>
    <row r="298" spans="1:4" x14ac:dyDescent="0.25">
      <c r="A298">
        <v>27</v>
      </c>
      <c r="B298" s="20" t="s">
        <v>60</v>
      </c>
      <c r="C298" s="2">
        <v>44871.498611111114</v>
      </c>
      <c r="D298" s="20" t="s">
        <v>81</v>
      </c>
    </row>
    <row r="299" spans="1:4" x14ac:dyDescent="0.25">
      <c r="A299">
        <v>28</v>
      </c>
      <c r="B299" s="20" t="s">
        <v>160</v>
      </c>
      <c r="C299" s="2">
        <v>44871.498611111114</v>
      </c>
      <c r="D299" s="20" t="s">
        <v>81</v>
      </c>
    </row>
    <row r="300" spans="1:4" x14ac:dyDescent="0.25">
      <c r="A300">
        <v>29</v>
      </c>
      <c r="B300" s="20" t="s">
        <v>161</v>
      </c>
      <c r="C300" s="2">
        <v>44871.498611111114</v>
      </c>
      <c r="D300" s="20" t="s">
        <v>81</v>
      </c>
    </row>
    <row r="301" spans="1:4" x14ac:dyDescent="0.25">
      <c r="A301">
        <v>30</v>
      </c>
      <c r="B301" s="20" t="s">
        <v>162</v>
      </c>
      <c r="C301" s="2">
        <v>44871.498611111114</v>
      </c>
      <c r="D301" s="20" t="s">
        <v>81</v>
      </c>
    </row>
    <row r="302" spans="1:4" x14ac:dyDescent="0.25">
      <c r="A302">
        <v>31</v>
      </c>
      <c r="B302" s="20" t="s">
        <v>163</v>
      </c>
      <c r="C302" s="2">
        <v>44871.499305555553</v>
      </c>
      <c r="D302" s="20" t="s">
        <v>81</v>
      </c>
    </row>
    <row r="303" spans="1:4" x14ac:dyDescent="0.25">
      <c r="A303">
        <v>32</v>
      </c>
      <c r="B303" s="20" t="s">
        <v>164</v>
      </c>
      <c r="C303" s="2">
        <v>44871.499305555553</v>
      </c>
      <c r="D303" s="20" t="s">
        <v>81</v>
      </c>
    </row>
    <row r="304" spans="1:4" x14ac:dyDescent="0.25">
      <c r="A304">
        <v>33</v>
      </c>
      <c r="B304" s="20" t="s">
        <v>165</v>
      </c>
      <c r="C304" s="2">
        <v>44871.499305555553</v>
      </c>
      <c r="D304" s="20" t="s">
        <v>81</v>
      </c>
    </row>
    <row r="305" spans="1:4" x14ac:dyDescent="0.25">
      <c r="A305">
        <v>34</v>
      </c>
      <c r="B305" s="20" t="s">
        <v>67</v>
      </c>
      <c r="C305" s="2">
        <v>44871.499305555553</v>
      </c>
      <c r="D305" s="20" t="s">
        <v>81</v>
      </c>
    </row>
    <row r="306" spans="1:4" x14ac:dyDescent="0.25">
      <c r="A306">
        <v>35</v>
      </c>
      <c r="B306" s="20" t="s">
        <v>166</v>
      </c>
      <c r="C306" s="2">
        <v>44871.499305555553</v>
      </c>
      <c r="D306" s="20" t="s">
        <v>81</v>
      </c>
    </row>
    <row r="307" spans="1:4" x14ac:dyDescent="0.25">
      <c r="A307">
        <v>3</v>
      </c>
      <c r="B307" s="20" t="s">
        <v>39</v>
      </c>
      <c r="C307" s="2">
        <v>44871.511805555558</v>
      </c>
      <c r="D307" s="20" t="s">
        <v>80</v>
      </c>
    </row>
    <row r="308" spans="1:4" x14ac:dyDescent="0.25">
      <c r="A308">
        <v>5</v>
      </c>
      <c r="B308" s="20" t="s">
        <v>96</v>
      </c>
      <c r="C308" s="2">
        <v>44871.511805555558</v>
      </c>
      <c r="D308" s="20" t="s">
        <v>80</v>
      </c>
    </row>
    <row r="309" spans="1:4" x14ac:dyDescent="0.25">
      <c r="A309">
        <v>17</v>
      </c>
      <c r="B309" s="20" t="s">
        <v>105</v>
      </c>
      <c r="C309" s="2">
        <v>44871.511805555558</v>
      </c>
      <c r="D309" s="20" t="s">
        <v>80</v>
      </c>
    </row>
    <row r="310" spans="1:4" x14ac:dyDescent="0.25">
      <c r="A310">
        <v>18</v>
      </c>
      <c r="B310" s="20" t="s">
        <v>106</v>
      </c>
      <c r="C310" s="2">
        <v>44871.511805555558</v>
      </c>
      <c r="D310" s="20" t="s">
        <v>80</v>
      </c>
    </row>
    <row r="311" spans="1:4" x14ac:dyDescent="0.25">
      <c r="A311">
        <v>19</v>
      </c>
      <c r="B311" s="20" t="s">
        <v>107</v>
      </c>
      <c r="C311" s="2">
        <v>44871.511805555558</v>
      </c>
      <c r="D311" s="20" t="s">
        <v>80</v>
      </c>
    </row>
    <row r="312" spans="1:4" x14ac:dyDescent="0.25">
      <c r="A312">
        <v>20</v>
      </c>
      <c r="B312" s="20" t="s">
        <v>108</v>
      </c>
      <c r="C312" s="2">
        <v>44871.511805555558</v>
      </c>
      <c r="D312" s="20" t="s">
        <v>80</v>
      </c>
    </row>
    <row r="313" spans="1:4" x14ac:dyDescent="0.25">
      <c r="A313">
        <v>21</v>
      </c>
      <c r="B313" s="20" t="s">
        <v>109</v>
      </c>
      <c r="C313" s="2">
        <v>44871.511805555558</v>
      </c>
      <c r="D313" s="20" t="s">
        <v>80</v>
      </c>
    </row>
    <row r="314" spans="1:4" x14ac:dyDescent="0.25">
      <c r="A314">
        <v>22</v>
      </c>
      <c r="B314" s="20" t="s">
        <v>110</v>
      </c>
      <c r="C314" s="2">
        <v>44871.511805555558</v>
      </c>
      <c r="D314" s="20" t="s">
        <v>80</v>
      </c>
    </row>
    <row r="315" spans="1:4" x14ac:dyDescent="0.25">
      <c r="A315">
        <v>23</v>
      </c>
      <c r="B315" s="20" t="s">
        <v>111</v>
      </c>
      <c r="C315" s="2">
        <v>44871.511805555558</v>
      </c>
      <c r="D315" s="20" t="s">
        <v>80</v>
      </c>
    </row>
    <row r="316" spans="1:4" x14ac:dyDescent="0.25">
      <c r="A316">
        <v>5</v>
      </c>
      <c r="B316" s="20" t="s">
        <v>96</v>
      </c>
      <c r="C316" s="2">
        <v>44872.013888888891</v>
      </c>
      <c r="D316" s="20" t="s">
        <v>81</v>
      </c>
    </row>
    <row r="317" spans="1:4" x14ac:dyDescent="0.25">
      <c r="A317">
        <v>5</v>
      </c>
      <c r="B317" s="20" t="s">
        <v>96</v>
      </c>
      <c r="C317" s="2">
        <v>44872.024305555555</v>
      </c>
      <c r="D317" s="20" t="s">
        <v>81</v>
      </c>
    </row>
    <row r="318" spans="1:4" x14ac:dyDescent="0.25">
      <c r="A318">
        <v>5</v>
      </c>
      <c r="B318" s="20" t="s">
        <v>96</v>
      </c>
      <c r="C318" s="2">
        <v>44872.034722222219</v>
      </c>
      <c r="D318" s="20" t="s">
        <v>81</v>
      </c>
    </row>
    <row r="319" spans="1:4" x14ac:dyDescent="0.25">
      <c r="A319">
        <v>5</v>
      </c>
      <c r="B319" s="20" t="s">
        <v>96</v>
      </c>
      <c r="C319" s="2">
        <v>44872.045138888891</v>
      </c>
      <c r="D319" s="20" t="s">
        <v>81</v>
      </c>
    </row>
    <row r="320" spans="1:4" x14ac:dyDescent="0.25">
      <c r="A320">
        <v>5</v>
      </c>
      <c r="B320" s="20" t="s">
        <v>96</v>
      </c>
      <c r="C320" s="2">
        <v>44872.055555555555</v>
      </c>
      <c r="D320" s="20" t="s">
        <v>81</v>
      </c>
    </row>
    <row r="321" spans="1:4" x14ac:dyDescent="0.25">
      <c r="A321">
        <v>5</v>
      </c>
      <c r="B321" s="20" t="s">
        <v>96</v>
      </c>
      <c r="C321" s="2">
        <v>44872.065972222219</v>
      </c>
      <c r="D321" s="20" t="s">
        <v>81</v>
      </c>
    </row>
    <row r="322" spans="1:4" x14ac:dyDescent="0.25">
      <c r="A322">
        <v>5</v>
      </c>
      <c r="B322" s="20" t="s">
        <v>96</v>
      </c>
      <c r="C322" s="2">
        <v>44872.086805555555</v>
      </c>
      <c r="D322" s="20" t="s">
        <v>81</v>
      </c>
    </row>
    <row r="323" spans="1:4" x14ac:dyDescent="0.25">
      <c r="A323">
        <v>5</v>
      </c>
      <c r="B323" s="20" t="s">
        <v>96</v>
      </c>
      <c r="C323" s="2">
        <v>44872.097222222219</v>
      </c>
      <c r="D323" s="20" t="s">
        <v>81</v>
      </c>
    </row>
    <row r="324" spans="1:4" x14ac:dyDescent="0.25">
      <c r="A324">
        <v>5</v>
      </c>
      <c r="B324" s="20" t="s">
        <v>96</v>
      </c>
      <c r="C324" s="2">
        <v>44872.107638888891</v>
      </c>
      <c r="D324" s="20" t="s">
        <v>81</v>
      </c>
    </row>
    <row r="325" spans="1:4" x14ac:dyDescent="0.25">
      <c r="A325">
        <v>5</v>
      </c>
      <c r="B325" s="20" t="s">
        <v>96</v>
      </c>
      <c r="C325" s="2">
        <v>44872.118055555555</v>
      </c>
      <c r="D325" s="20" t="s">
        <v>81</v>
      </c>
    </row>
    <row r="326" spans="1:4" x14ac:dyDescent="0.25">
      <c r="A326">
        <v>5</v>
      </c>
      <c r="B326" s="20" t="s">
        <v>96</v>
      </c>
      <c r="C326" s="2">
        <v>44872.128472222219</v>
      </c>
      <c r="D326" s="20" t="s">
        <v>81</v>
      </c>
    </row>
    <row r="327" spans="1:4" x14ac:dyDescent="0.25">
      <c r="A327">
        <v>5</v>
      </c>
      <c r="B327" s="20" t="s">
        <v>96</v>
      </c>
      <c r="C327" s="2">
        <v>44872.138888888891</v>
      </c>
      <c r="D327" s="20" t="s">
        <v>81</v>
      </c>
    </row>
    <row r="328" spans="1:4" x14ac:dyDescent="0.25">
      <c r="A328">
        <v>5</v>
      </c>
      <c r="B328" s="20" t="s">
        <v>96</v>
      </c>
      <c r="C328" s="2">
        <v>44872.149305555555</v>
      </c>
      <c r="D328" s="20" t="s">
        <v>81</v>
      </c>
    </row>
    <row r="329" spans="1:4" x14ac:dyDescent="0.25">
      <c r="A329">
        <v>5</v>
      </c>
      <c r="B329" s="20" t="s">
        <v>96</v>
      </c>
      <c r="C329" s="2">
        <v>44872.159722222219</v>
      </c>
      <c r="D329" s="20" t="s">
        <v>81</v>
      </c>
    </row>
    <row r="330" spans="1:4" x14ac:dyDescent="0.25">
      <c r="A330">
        <v>5</v>
      </c>
      <c r="B330" s="20" t="s">
        <v>96</v>
      </c>
      <c r="C330" s="2">
        <v>44872.170138888891</v>
      </c>
      <c r="D330" s="20" t="s">
        <v>81</v>
      </c>
    </row>
    <row r="331" spans="1:4" x14ac:dyDescent="0.25">
      <c r="A331">
        <v>5</v>
      </c>
      <c r="B331" s="20" t="s">
        <v>96</v>
      </c>
      <c r="C331" s="2">
        <v>44872.180555555555</v>
      </c>
      <c r="D331" s="20" t="s">
        <v>81</v>
      </c>
    </row>
    <row r="332" spans="1:4" x14ac:dyDescent="0.25">
      <c r="A332">
        <v>5</v>
      </c>
      <c r="B332" s="20" t="s">
        <v>96</v>
      </c>
      <c r="C332" s="2">
        <v>44872.239583333336</v>
      </c>
      <c r="D332" s="20" t="s">
        <v>81</v>
      </c>
    </row>
    <row r="333" spans="1:4" x14ac:dyDescent="0.25">
      <c r="A333">
        <v>5</v>
      </c>
      <c r="B333" s="20" t="s">
        <v>96</v>
      </c>
      <c r="C333" s="2">
        <v>44872.275000000001</v>
      </c>
      <c r="D333" s="20" t="s">
        <v>80</v>
      </c>
    </row>
    <row r="334" spans="1:4" x14ac:dyDescent="0.25">
      <c r="A334">
        <v>5</v>
      </c>
      <c r="B334" s="20" t="s">
        <v>96</v>
      </c>
      <c r="C334" s="2">
        <v>44872.28125</v>
      </c>
      <c r="D334" s="20" t="s">
        <v>81</v>
      </c>
    </row>
    <row r="335" spans="1:4" x14ac:dyDescent="0.25">
      <c r="A335">
        <v>24</v>
      </c>
      <c r="B335" s="20" t="s">
        <v>28</v>
      </c>
      <c r="C335" s="2">
        <v>44872.28125</v>
      </c>
      <c r="D335" s="20" t="s">
        <v>81</v>
      </c>
    </row>
    <row r="336" spans="1:4" x14ac:dyDescent="0.25">
      <c r="A336">
        <v>25</v>
      </c>
      <c r="B336" s="20" t="s">
        <v>41</v>
      </c>
      <c r="C336" s="2">
        <v>44872.28125</v>
      </c>
      <c r="D336" s="20" t="s">
        <v>81</v>
      </c>
    </row>
    <row r="337" spans="1:4" x14ac:dyDescent="0.25">
      <c r="A337">
        <v>27</v>
      </c>
      <c r="B337" s="20" t="s">
        <v>60</v>
      </c>
      <c r="C337" s="2">
        <v>44872.28125</v>
      </c>
      <c r="D337" s="20" t="s">
        <v>81</v>
      </c>
    </row>
    <row r="338" spans="1:4" x14ac:dyDescent="0.25">
      <c r="A338">
        <v>29</v>
      </c>
      <c r="B338" s="20" t="s">
        <v>161</v>
      </c>
      <c r="C338" s="2">
        <v>44872.28125</v>
      </c>
      <c r="D338" s="20" t="s">
        <v>81</v>
      </c>
    </row>
    <row r="339" spans="1:4" x14ac:dyDescent="0.25">
      <c r="A339">
        <v>31</v>
      </c>
      <c r="B339" s="20" t="s">
        <v>163</v>
      </c>
      <c r="C339" s="2">
        <v>44872.28125</v>
      </c>
      <c r="D339" s="20" t="s">
        <v>81</v>
      </c>
    </row>
    <row r="340" spans="1:4" x14ac:dyDescent="0.25">
      <c r="A340">
        <v>32</v>
      </c>
      <c r="B340" s="20" t="s">
        <v>164</v>
      </c>
      <c r="C340" s="2">
        <v>44872.28125</v>
      </c>
      <c r="D340" s="20" t="s">
        <v>81</v>
      </c>
    </row>
    <row r="341" spans="1:4" x14ac:dyDescent="0.25">
      <c r="A341">
        <v>33</v>
      </c>
      <c r="B341" s="20" t="s">
        <v>165</v>
      </c>
      <c r="C341" s="2">
        <v>44872.28125</v>
      </c>
      <c r="D341" s="20" t="s">
        <v>81</v>
      </c>
    </row>
    <row r="342" spans="1:4" x14ac:dyDescent="0.25">
      <c r="A342">
        <v>5</v>
      </c>
      <c r="B342" s="20" t="s">
        <v>96</v>
      </c>
      <c r="C342" s="2">
        <v>44872.315972222219</v>
      </c>
      <c r="D342" s="20" t="s">
        <v>80</v>
      </c>
    </row>
    <row r="343" spans="1:4" x14ac:dyDescent="0.25">
      <c r="A343">
        <v>5</v>
      </c>
      <c r="B343" s="20" t="s">
        <v>96</v>
      </c>
      <c r="C343" s="2">
        <v>44872.322916666664</v>
      </c>
      <c r="D343" s="20" t="s">
        <v>81</v>
      </c>
    </row>
    <row r="344" spans="1:4" x14ac:dyDescent="0.25">
      <c r="A344">
        <v>26</v>
      </c>
      <c r="B344" s="20" t="s">
        <v>159</v>
      </c>
      <c r="C344" s="2">
        <v>44872.322916666664</v>
      </c>
      <c r="D344" s="20" t="s">
        <v>81</v>
      </c>
    </row>
    <row r="345" spans="1:4" x14ac:dyDescent="0.25">
      <c r="A345">
        <v>28</v>
      </c>
      <c r="B345" s="20" t="s">
        <v>160</v>
      </c>
      <c r="C345" s="2">
        <v>44872.322916666664</v>
      </c>
      <c r="D345" s="20" t="s">
        <v>81</v>
      </c>
    </row>
    <row r="346" spans="1:4" x14ac:dyDescent="0.25">
      <c r="A346">
        <v>30</v>
      </c>
      <c r="B346" s="20" t="s">
        <v>162</v>
      </c>
      <c r="C346" s="2">
        <v>44872.322916666664</v>
      </c>
      <c r="D346" s="20" t="s">
        <v>81</v>
      </c>
    </row>
    <row r="347" spans="1:4" x14ac:dyDescent="0.25">
      <c r="A347">
        <v>34</v>
      </c>
      <c r="B347" s="20" t="s">
        <v>67</v>
      </c>
      <c r="C347" s="2">
        <v>44872.322916666664</v>
      </c>
      <c r="D347" s="20" t="s">
        <v>81</v>
      </c>
    </row>
    <row r="348" spans="1:4" x14ac:dyDescent="0.25">
      <c r="A348">
        <v>35</v>
      </c>
      <c r="B348" s="20" t="s">
        <v>166</v>
      </c>
      <c r="C348" s="2">
        <v>44872.322916666664</v>
      </c>
      <c r="D348" s="20" t="s">
        <v>81</v>
      </c>
    </row>
    <row r="349" spans="1:4" x14ac:dyDescent="0.25">
      <c r="A349">
        <v>5</v>
      </c>
      <c r="B349" s="20" t="s">
        <v>96</v>
      </c>
      <c r="C349" s="2">
        <v>44872.364583333336</v>
      </c>
      <c r="D349" s="20" t="s">
        <v>81</v>
      </c>
    </row>
    <row r="350" spans="1:4" x14ac:dyDescent="0.25">
      <c r="A350">
        <v>3</v>
      </c>
      <c r="B350" s="20" t="s">
        <v>39</v>
      </c>
      <c r="C350" s="2">
        <v>44872.388194444444</v>
      </c>
      <c r="D350" s="20" t="s">
        <v>80</v>
      </c>
    </row>
    <row r="351" spans="1:4" x14ac:dyDescent="0.25">
      <c r="A351">
        <v>5</v>
      </c>
      <c r="B351" s="20" t="s">
        <v>96</v>
      </c>
      <c r="C351" s="2">
        <v>44872.388194444444</v>
      </c>
      <c r="D351" s="20" t="s">
        <v>80</v>
      </c>
    </row>
    <row r="352" spans="1:4" x14ac:dyDescent="0.25">
      <c r="A352">
        <v>7</v>
      </c>
      <c r="B352" s="20" t="s">
        <v>59</v>
      </c>
      <c r="C352" s="2">
        <v>44872.388194444444</v>
      </c>
      <c r="D352" s="20" t="s">
        <v>80</v>
      </c>
    </row>
    <row r="353" spans="1:4" x14ac:dyDescent="0.25">
      <c r="A353">
        <v>9</v>
      </c>
      <c r="B353" s="20" t="s">
        <v>61</v>
      </c>
      <c r="C353" s="2">
        <v>44872.388194444444</v>
      </c>
      <c r="D353" s="20" t="s">
        <v>80</v>
      </c>
    </row>
    <row r="354" spans="1:4" x14ac:dyDescent="0.25">
      <c r="A354">
        <v>10</v>
      </c>
      <c r="B354" s="20" t="s">
        <v>62</v>
      </c>
      <c r="C354" s="2">
        <v>44872.388194444444</v>
      </c>
      <c r="D354" s="20" t="s">
        <v>80</v>
      </c>
    </row>
    <row r="355" spans="1:4" x14ac:dyDescent="0.25">
      <c r="A355">
        <v>11</v>
      </c>
      <c r="B355" s="20" t="s">
        <v>63</v>
      </c>
      <c r="C355" s="2">
        <v>44872.388194444444</v>
      </c>
      <c r="D355" s="20" t="s">
        <v>80</v>
      </c>
    </row>
    <row r="356" spans="1:4" x14ac:dyDescent="0.25">
      <c r="A356">
        <v>12</v>
      </c>
      <c r="B356" s="20" t="s">
        <v>64</v>
      </c>
      <c r="C356" s="2">
        <v>44872.388194444444</v>
      </c>
      <c r="D356" s="20" t="s">
        <v>80</v>
      </c>
    </row>
    <row r="357" spans="1:4" x14ac:dyDescent="0.25">
      <c r="A357">
        <v>13</v>
      </c>
      <c r="B357" s="20" t="s">
        <v>65</v>
      </c>
      <c r="C357" s="2">
        <v>44872.388194444444</v>
      </c>
      <c r="D357" s="20" t="s">
        <v>80</v>
      </c>
    </row>
    <row r="358" spans="1:4" x14ac:dyDescent="0.25">
      <c r="A358">
        <v>14</v>
      </c>
      <c r="B358" s="20" t="s">
        <v>66</v>
      </c>
      <c r="C358" s="2">
        <v>44872.388194444444</v>
      </c>
      <c r="D358" s="20" t="s">
        <v>80</v>
      </c>
    </row>
    <row r="359" spans="1:4" x14ac:dyDescent="0.25">
      <c r="A359">
        <v>16</v>
      </c>
      <c r="B359" s="20" t="s">
        <v>68</v>
      </c>
      <c r="C359" s="2">
        <v>44872.388194444444</v>
      </c>
      <c r="D359" s="20" t="s">
        <v>80</v>
      </c>
    </row>
    <row r="360" spans="1:4" x14ac:dyDescent="0.25">
      <c r="A360">
        <v>17</v>
      </c>
      <c r="B360" s="20" t="s">
        <v>105</v>
      </c>
      <c r="C360" s="2">
        <v>44872.388194444444</v>
      </c>
      <c r="D360" s="20" t="s">
        <v>80</v>
      </c>
    </row>
    <row r="361" spans="1:4" x14ac:dyDescent="0.25">
      <c r="A361">
        <v>18</v>
      </c>
      <c r="B361" s="20" t="s">
        <v>106</v>
      </c>
      <c r="C361" s="2">
        <v>44872.388194444444</v>
      </c>
      <c r="D361" s="20" t="s">
        <v>80</v>
      </c>
    </row>
    <row r="362" spans="1:4" x14ac:dyDescent="0.25">
      <c r="A362">
        <v>19</v>
      </c>
      <c r="B362" s="20" t="s">
        <v>107</v>
      </c>
      <c r="C362" s="2">
        <v>44872.388194444444</v>
      </c>
      <c r="D362" s="20" t="s">
        <v>80</v>
      </c>
    </row>
    <row r="363" spans="1:4" x14ac:dyDescent="0.25">
      <c r="A363">
        <v>20</v>
      </c>
      <c r="B363" s="20" t="s">
        <v>108</v>
      </c>
      <c r="C363" s="2">
        <v>44872.388194444444</v>
      </c>
      <c r="D363" s="20" t="s">
        <v>80</v>
      </c>
    </row>
    <row r="364" spans="1:4" x14ac:dyDescent="0.25">
      <c r="A364">
        <v>21</v>
      </c>
      <c r="B364" s="20" t="s">
        <v>109</v>
      </c>
      <c r="C364" s="2">
        <v>44872.388194444444</v>
      </c>
      <c r="D364" s="20" t="s">
        <v>80</v>
      </c>
    </row>
    <row r="365" spans="1:4" x14ac:dyDescent="0.25">
      <c r="A365">
        <v>22</v>
      </c>
      <c r="B365" s="20" t="s">
        <v>110</v>
      </c>
      <c r="C365" s="2">
        <v>44872.388194444444</v>
      </c>
      <c r="D365" s="20" t="s">
        <v>80</v>
      </c>
    </row>
    <row r="366" spans="1:4" x14ac:dyDescent="0.25">
      <c r="A366">
        <v>23</v>
      </c>
      <c r="B366" s="20" t="s">
        <v>111</v>
      </c>
      <c r="C366" s="2">
        <v>44872.388194444444</v>
      </c>
      <c r="D366" s="20" t="s">
        <v>80</v>
      </c>
    </row>
    <row r="367" spans="1:4" x14ac:dyDescent="0.25">
      <c r="A367">
        <v>5</v>
      </c>
      <c r="B367" s="20" t="s">
        <v>96</v>
      </c>
      <c r="C367" s="2">
        <v>44872.395833333336</v>
      </c>
      <c r="D367" s="20" t="s">
        <v>80</v>
      </c>
    </row>
    <row r="368" spans="1:4" x14ac:dyDescent="0.25">
      <c r="A368">
        <v>5</v>
      </c>
      <c r="B368" s="20" t="s">
        <v>96</v>
      </c>
      <c r="C368" s="2">
        <v>44872.40625</v>
      </c>
      <c r="D368" s="20" t="s">
        <v>81</v>
      </c>
    </row>
    <row r="369" spans="1:4" x14ac:dyDescent="0.25">
      <c r="A369">
        <v>5</v>
      </c>
      <c r="B369" s="20" t="s">
        <v>96</v>
      </c>
      <c r="C369" s="2">
        <v>44873.013888888891</v>
      </c>
      <c r="D369" s="20" t="s">
        <v>81</v>
      </c>
    </row>
    <row r="370" spans="1:4" x14ac:dyDescent="0.25">
      <c r="A370">
        <v>5</v>
      </c>
      <c r="B370" s="20" t="s">
        <v>96</v>
      </c>
      <c r="C370" s="2">
        <v>44873.024305555555</v>
      </c>
      <c r="D370" s="20" t="s">
        <v>81</v>
      </c>
    </row>
    <row r="371" spans="1:4" x14ac:dyDescent="0.25">
      <c r="A371">
        <v>5</v>
      </c>
      <c r="B371" s="20" t="s">
        <v>96</v>
      </c>
      <c r="C371" s="2">
        <v>44873.034722222219</v>
      </c>
      <c r="D371" s="20" t="s">
        <v>81</v>
      </c>
    </row>
    <row r="372" spans="1:4" x14ac:dyDescent="0.25">
      <c r="A372">
        <v>5</v>
      </c>
      <c r="B372" s="20" t="s">
        <v>96</v>
      </c>
      <c r="C372" s="2">
        <v>44873.045138888891</v>
      </c>
      <c r="D372" s="20" t="s">
        <v>81</v>
      </c>
    </row>
    <row r="373" spans="1:4" x14ac:dyDescent="0.25">
      <c r="A373">
        <v>5</v>
      </c>
      <c r="B373" s="20" t="s">
        <v>96</v>
      </c>
      <c r="C373" s="2">
        <v>44873.055555555555</v>
      </c>
      <c r="D373" s="20" t="s">
        <v>81</v>
      </c>
    </row>
    <row r="374" spans="1:4" x14ac:dyDescent="0.25">
      <c r="A374">
        <v>5</v>
      </c>
      <c r="B374" s="20" t="s">
        <v>96</v>
      </c>
      <c r="C374" s="2">
        <v>44873.065972222219</v>
      </c>
      <c r="D374" s="20" t="s">
        <v>81</v>
      </c>
    </row>
    <row r="375" spans="1:4" x14ac:dyDescent="0.25">
      <c r="A375">
        <v>5</v>
      </c>
      <c r="B375" s="20" t="s">
        <v>96</v>
      </c>
      <c r="C375" s="2">
        <v>44873.086805555555</v>
      </c>
      <c r="D375" s="20" t="s">
        <v>81</v>
      </c>
    </row>
    <row r="376" spans="1:4" x14ac:dyDescent="0.25">
      <c r="A376">
        <v>5</v>
      </c>
      <c r="B376" s="20" t="s">
        <v>96</v>
      </c>
      <c r="C376" s="2">
        <v>44873.097222222219</v>
      </c>
      <c r="D376" s="20" t="s">
        <v>81</v>
      </c>
    </row>
    <row r="377" spans="1:4" x14ac:dyDescent="0.25">
      <c r="A377">
        <v>5</v>
      </c>
      <c r="B377" s="20" t="s">
        <v>96</v>
      </c>
      <c r="C377" s="2">
        <v>44873.107638888891</v>
      </c>
      <c r="D377" s="20" t="s">
        <v>81</v>
      </c>
    </row>
    <row r="378" spans="1:4" x14ac:dyDescent="0.25">
      <c r="A378">
        <v>5</v>
      </c>
      <c r="B378" s="20" t="s">
        <v>96</v>
      </c>
      <c r="C378" s="2">
        <v>44873.118055555555</v>
      </c>
      <c r="D378" s="20" t="s">
        <v>81</v>
      </c>
    </row>
    <row r="379" spans="1:4" x14ac:dyDescent="0.25">
      <c r="A379">
        <v>5</v>
      </c>
      <c r="B379" s="20" t="s">
        <v>96</v>
      </c>
      <c r="C379" s="2">
        <v>44873.128472222219</v>
      </c>
      <c r="D379" s="20" t="s">
        <v>81</v>
      </c>
    </row>
    <row r="380" spans="1:4" x14ac:dyDescent="0.25">
      <c r="A380">
        <v>5</v>
      </c>
      <c r="B380" s="20" t="s">
        <v>96</v>
      </c>
      <c r="C380" s="2">
        <v>44873.138888888891</v>
      </c>
      <c r="D380" s="20" t="s">
        <v>81</v>
      </c>
    </row>
    <row r="381" spans="1:4" x14ac:dyDescent="0.25">
      <c r="A381">
        <v>5</v>
      </c>
      <c r="B381" s="20" t="s">
        <v>96</v>
      </c>
      <c r="C381" s="2">
        <v>44873.149305555555</v>
      </c>
      <c r="D381" s="20" t="s">
        <v>81</v>
      </c>
    </row>
    <row r="382" spans="1:4" x14ac:dyDescent="0.25">
      <c r="A382">
        <v>5</v>
      </c>
      <c r="B382" s="20" t="s">
        <v>96</v>
      </c>
      <c r="C382" s="2">
        <v>44873.159722222219</v>
      </c>
      <c r="D382" s="20" t="s">
        <v>81</v>
      </c>
    </row>
    <row r="383" spans="1:4" x14ac:dyDescent="0.25">
      <c r="A383">
        <v>5</v>
      </c>
      <c r="B383" s="20" t="s">
        <v>96</v>
      </c>
      <c r="C383" s="2">
        <v>44873.170138888891</v>
      </c>
      <c r="D383" s="20" t="s">
        <v>81</v>
      </c>
    </row>
    <row r="384" spans="1:4" x14ac:dyDescent="0.25">
      <c r="A384">
        <v>5</v>
      </c>
      <c r="B384" s="20" t="s">
        <v>96</v>
      </c>
      <c r="C384" s="2">
        <v>44873.180555555555</v>
      </c>
      <c r="D384" s="20" t="s">
        <v>81</v>
      </c>
    </row>
    <row r="385" spans="1:4" x14ac:dyDescent="0.25">
      <c r="A385">
        <v>5</v>
      </c>
      <c r="B385" s="20" t="s">
        <v>96</v>
      </c>
      <c r="C385" s="2">
        <v>44873.239583333336</v>
      </c>
      <c r="D385" s="20" t="s">
        <v>81</v>
      </c>
    </row>
    <row r="386" spans="1:4" x14ac:dyDescent="0.25">
      <c r="A386">
        <v>5</v>
      </c>
      <c r="B386" s="20" t="s">
        <v>96</v>
      </c>
      <c r="C386" s="2">
        <v>44873.28125</v>
      </c>
      <c r="D386" s="20" t="s">
        <v>81</v>
      </c>
    </row>
    <row r="387" spans="1:4" x14ac:dyDescent="0.25">
      <c r="A387">
        <v>24</v>
      </c>
      <c r="B387" s="20" t="s">
        <v>28</v>
      </c>
      <c r="C387" s="2">
        <v>44873.28125</v>
      </c>
      <c r="D387" s="20" t="s">
        <v>81</v>
      </c>
    </row>
    <row r="388" spans="1:4" x14ac:dyDescent="0.25">
      <c r="A388">
        <v>25</v>
      </c>
      <c r="B388" s="20" t="s">
        <v>41</v>
      </c>
      <c r="C388" s="2">
        <v>44873.28125</v>
      </c>
      <c r="D388" s="20" t="s">
        <v>81</v>
      </c>
    </row>
    <row r="389" spans="1:4" x14ac:dyDescent="0.25">
      <c r="A389">
        <v>27</v>
      </c>
      <c r="B389" s="20" t="s">
        <v>60</v>
      </c>
      <c r="C389" s="2">
        <v>44873.28125</v>
      </c>
      <c r="D389" s="20" t="s">
        <v>81</v>
      </c>
    </row>
    <row r="390" spans="1:4" x14ac:dyDescent="0.25">
      <c r="A390">
        <v>29</v>
      </c>
      <c r="B390" s="20" t="s">
        <v>161</v>
      </c>
      <c r="C390" s="2">
        <v>44873.28125</v>
      </c>
      <c r="D390" s="20" t="s">
        <v>81</v>
      </c>
    </row>
    <row r="391" spans="1:4" x14ac:dyDescent="0.25">
      <c r="A391">
        <v>30</v>
      </c>
      <c r="B391" s="20" t="s">
        <v>162</v>
      </c>
      <c r="C391" s="2">
        <v>44873.28125</v>
      </c>
      <c r="D391" s="20" t="s">
        <v>81</v>
      </c>
    </row>
    <row r="392" spans="1:4" x14ac:dyDescent="0.25">
      <c r="A392">
        <v>31</v>
      </c>
      <c r="B392" s="20" t="s">
        <v>163</v>
      </c>
      <c r="C392" s="2">
        <v>44873.28125</v>
      </c>
      <c r="D392" s="20" t="s">
        <v>81</v>
      </c>
    </row>
    <row r="393" spans="1:4" x14ac:dyDescent="0.25">
      <c r="A393">
        <v>32</v>
      </c>
      <c r="B393" s="20" t="s">
        <v>164</v>
      </c>
      <c r="C393" s="2">
        <v>44873.28125</v>
      </c>
      <c r="D393" s="20" t="s">
        <v>81</v>
      </c>
    </row>
    <row r="394" spans="1:4" x14ac:dyDescent="0.25">
      <c r="A394">
        <v>33</v>
      </c>
      <c r="B394" s="20" t="s">
        <v>165</v>
      </c>
      <c r="C394" s="2">
        <v>44873.28125</v>
      </c>
      <c r="D394" s="20" t="s">
        <v>81</v>
      </c>
    </row>
    <row r="395" spans="1:4" x14ac:dyDescent="0.25">
      <c r="A395">
        <v>35</v>
      </c>
      <c r="B395" s="20" t="s">
        <v>166</v>
      </c>
      <c r="C395" s="2">
        <v>44873.28125</v>
      </c>
      <c r="D395" s="20" t="s">
        <v>81</v>
      </c>
    </row>
    <row r="396" spans="1:4" x14ac:dyDescent="0.25">
      <c r="A396">
        <v>3</v>
      </c>
      <c r="B396" s="20" t="s">
        <v>39</v>
      </c>
      <c r="C396" s="2">
        <v>44873.302777777775</v>
      </c>
      <c r="D396" s="20" t="s">
        <v>80</v>
      </c>
    </row>
    <row r="397" spans="1:4" x14ac:dyDescent="0.25">
      <c r="A397">
        <v>5</v>
      </c>
      <c r="B397" s="20" t="s">
        <v>96</v>
      </c>
      <c r="C397" s="2">
        <v>44873.302777777775</v>
      </c>
      <c r="D397" s="20" t="s">
        <v>80</v>
      </c>
    </row>
    <row r="398" spans="1:4" x14ac:dyDescent="0.25">
      <c r="A398">
        <v>7</v>
      </c>
      <c r="B398" s="20" t="s">
        <v>59</v>
      </c>
      <c r="C398" s="2">
        <v>44873.302777777775</v>
      </c>
      <c r="D398" s="20" t="s">
        <v>80</v>
      </c>
    </row>
    <row r="399" spans="1:4" x14ac:dyDescent="0.25">
      <c r="A399">
        <v>9</v>
      </c>
      <c r="B399" s="20" t="s">
        <v>61</v>
      </c>
      <c r="C399" s="2">
        <v>44873.302777777775</v>
      </c>
      <c r="D399" s="20" t="s">
        <v>80</v>
      </c>
    </row>
    <row r="400" spans="1:4" x14ac:dyDescent="0.25">
      <c r="A400">
        <v>10</v>
      </c>
      <c r="B400" s="20" t="s">
        <v>62</v>
      </c>
      <c r="C400" s="2">
        <v>44873.302777777775</v>
      </c>
      <c r="D400" s="20" t="s">
        <v>80</v>
      </c>
    </row>
    <row r="401" spans="1:4" x14ac:dyDescent="0.25">
      <c r="A401">
        <v>11</v>
      </c>
      <c r="B401" s="20" t="s">
        <v>63</v>
      </c>
      <c r="C401" s="2">
        <v>44873.302777777775</v>
      </c>
      <c r="D401" s="20" t="s">
        <v>80</v>
      </c>
    </row>
    <row r="402" spans="1:4" x14ac:dyDescent="0.25">
      <c r="A402">
        <v>12</v>
      </c>
      <c r="B402" s="20" t="s">
        <v>64</v>
      </c>
      <c r="C402" s="2">
        <v>44873.302777777775</v>
      </c>
      <c r="D402" s="20" t="s">
        <v>80</v>
      </c>
    </row>
    <row r="403" spans="1:4" x14ac:dyDescent="0.25">
      <c r="A403">
        <v>13</v>
      </c>
      <c r="B403" s="20" t="s">
        <v>65</v>
      </c>
      <c r="C403" s="2">
        <v>44873.302777777775</v>
      </c>
      <c r="D403" s="20" t="s">
        <v>80</v>
      </c>
    </row>
    <row r="404" spans="1:4" x14ac:dyDescent="0.25">
      <c r="A404">
        <v>14</v>
      </c>
      <c r="B404" s="20" t="s">
        <v>66</v>
      </c>
      <c r="C404" s="2">
        <v>44873.302777777775</v>
      </c>
      <c r="D404" s="20" t="s">
        <v>80</v>
      </c>
    </row>
    <row r="405" spans="1:4" x14ac:dyDescent="0.25">
      <c r="A405">
        <v>16</v>
      </c>
      <c r="B405" s="20" t="s">
        <v>68</v>
      </c>
      <c r="C405" s="2">
        <v>44873.302777777775</v>
      </c>
      <c r="D405" s="20" t="s">
        <v>80</v>
      </c>
    </row>
    <row r="406" spans="1:4" x14ac:dyDescent="0.25">
      <c r="A406">
        <v>17</v>
      </c>
      <c r="B406" s="20" t="s">
        <v>105</v>
      </c>
      <c r="C406" s="2">
        <v>44873.302777777775</v>
      </c>
      <c r="D406" s="20" t="s">
        <v>80</v>
      </c>
    </row>
    <row r="407" spans="1:4" x14ac:dyDescent="0.25">
      <c r="A407">
        <v>18</v>
      </c>
      <c r="B407" s="20" t="s">
        <v>106</v>
      </c>
      <c r="C407" s="2">
        <v>44873.302777777775</v>
      </c>
      <c r="D407" s="20" t="s">
        <v>80</v>
      </c>
    </row>
    <row r="408" spans="1:4" x14ac:dyDescent="0.25">
      <c r="A408">
        <v>19</v>
      </c>
      <c r="B408" s="20" t="s">
        <v>107</v>
      </c>
      <c r="C408" s="2">
        <v>44873.302777777775</v>
      </c>
      <c r="D408" s="20" t="s">
        <v>80</v>
      </c>
    </row>
    <row r="409" spans="1:4" x14ac:dyDescent="0.25">
      <c r="A409">
        <v>20</v>
      </c>
      <c r="B409" s="20" t="s">
        <v>108</v>
      </c>
      <c r="C409" s="2">
        <v>44873.302777777775</v>
      </c>
      <c r="D409" s="20" t="s">
        <v>80</v>
      </c>
    </row>
    <row r="410" spans="1:4" x14ac:dyDescent="0.25">
      <c r="A410">
        <v>21</v>
      </c>
      <c r="B410" s="20" t="s">
        <v>109</v>
      </c>
      <c r="C410" s="2">
        <v>44873.302777777775</v>
      </c>
      <c r="D410" s="20" t="s">
        <v>80</v>
      </c>
    </row>
    <row r="411" spans="1:4" x14ac:dyDescent="0.25">
      <c r="A411">
        <v>22</v>
      </c>
      <c r="B411" s="20" t="s">
        <v>110</v>
      </c>
      <c r="C411" s="2">
        <v>44873.302777777775</v>
      </c>
      <c r="D411" s="20" t="s">
        <v>80</v>
      </c>
    </row>
    <row r="412" spans="1:4" x14ac:dyDescent="0.25">
      <c r="A412">
        <v>23</v>
      </c>
      <c r="B412" s="20" t="s">
        <v>111</v>
      </c>
      <c r="C412" s="2">
        <v>44873.302777777775</v>
      </c>
      <c r="D412" s="20" t="s">
        <v>80</v>
      </c>
    </row>
    <row r="413" spans="1:4" x14ac:dyDescent="0.25">
      <c r="A413">
        <v>5</v>
      </c>
      <c r="B413" s="20" t="s">
        <v>96</v>
      </c>
      <c r="C413" s="2">
        <v>44873.313194444447</v>
      </c>
      <c r="D413" s="20" t="s">
        <v>80</v>
      </c>
    </row>
    <row r="414" spans="1:4" x14ac:dyDescent="0.25">
      <c r="A414">
        <v>5</v>
      </c>
      <c r="B414" s="20" t="s">
        <v>96</v>
      </c>
      <c r="C414" s="2">
        <v>44873.322916666664</v>
      </c>
      <c r="D414" s="20" t="s">
        <v>81</v>
      </c>
    </row>
    <row r="415" spans="1:4" x14ac:dyDescent="0.25">
      <c r="A415">
        <v>34</v>
      </c>
      <c r="B415" s="20" t="s">
        <v>67</v>
      </c>
      <c r="C415" s="2">
        <v>44873.322916666664</v>
      </c>
      <c r="D415" s="20" t="s">
        <v>81</v>
      </c>
    </row>
    <row r="416" spans="1:4" x14ac:dyDescent="0.25">
      <c r="A416">
        <v>3</v>
      </c>
      <c r="B416" s="20" t="s">
        <v>39</v>
      </c>
      <c r="C416" s="2">
        <v>44873.342361111114</v>
      </c>
      <c r="D416" s="20" t="s">
        <v>81</v>
      </c>
    </row>
    <row r="417" spans="1:4" x14ac:dyDescent="0.25">
      <c r="A417">
        <v>5</v>
      </c>
      <c r="B417" s="20" t="s">
        <v>96</v>
      </c>
      <c r="C417" s="2">
        <v>44873.342361111114</v>
      </c>
      <c r="D417" s="20" t="s">
        <v>81</v>
      </c>
    </row>
    <row r="418" spans="1:4" x14ac:dyDescent="0.25">
      <c r="A418">
        <v>26</v>
      </c>
      <c r="B418" s="20" t="s">
        <v>159</v>
      </c>
      <c r="C418" s="2">
        <v>44873.342361111114</v>
      </c>
      <c r="D418" s="20" t="s">
        <v>81</v>
      </c>
    </row>
    <row r="419" spans="1:4" x14ac:dyDescent="0.25">
      <c r="A419">
        <v>28</v>
      </c>
      <c r="B419" s="20" t="s">
        <v>160</v>
      </c>
      <c r="C419" s="2">
        <v>44873.342361111114</v>
      </c>
      <c r="D419" s="20" t="s">
        <v>81</v>
      </c>
    </row>
    <row r="420" spans="1:4" x14ac:dyDescent="0.25">
      <c r="A420">
        <v>5</v>
      </c>
      <c r="B420" s="20" t="s">
        <v>96</v>
      </c>
      <c r="C420" s="2">
        <v>44873.345138888886</v>
      </c>
      <c r="D420" s="20" t="s">
        <v>81</v>
      </c>
    </row>
    <row r="421" spans="1:4" x14ac:dyDescent="0.25">
      <c r="A421">
        <v>24</v>
      </c>
      <c r="B421" s="20" t="s">
        <v>28</v>
      </c>
      <c r="C421" s="2">
        <v>44873.345138888886</v>
      </c>
      <c r="D421" s="20" t="s">
        <v>81</v>
      </c>
    </row>
    <row r="422" spans="1:4" x14ac:dyDescent="0.25">
      <c r="A422">
        <v>5</v>
      </c>
      <c r="B422" s="20" t="s">
        <v>96</v>
      </c>
      <c r="C422" s="2">
        <v>44873.354166666664</v>
      </c>
      <c r="D422" s="20" t="s">
        <v>80</v>
      </c>
    </row>
    <row r="423" spans="1:4" x14ac:dyDescent="0.25">
      <c r="A423">
        <v>5</v>
      </c>
      <c r="B423" s="20" t="s">
        <v>96</v>
      </c>
      <c r="C423" s="2">
        <v>44873.364583333336</v>
      </c>
      <c r="D423" s="20" t="s">
        <v>81</v>
      </c>
    </row>
    <row r="424" spans="1:4" x14ac:dyDescent="0.25">
      <c r="A424">
        <v>5</v>
      </c>
      <c r="B424" s="20" t="s">
        <v>96</v>
      </c>
      <c r="C424" s="2">
        <v>44873.395833333336</v>
      </c>
      <c r="D424" s="20" t="s">
        <v>80</v>
      </c>
    </row>
    <row r="425" spans="1:4" x14ac:dyDescent="0.25">
      <c r="A425">
        <v>5</v>
      </c>
      <c r="B425" s="20" t="s">
        <v>96</v>
      </c>
      <c r="C425" s="2">
        <v>44873.4</v>
      </c>
      <c r="D425" s="20" t="s">
        <v>81</v>
      </c>
    </row>
    <row r="426" spans="1:4" x14ac:dyDescent="0.25">
      <c r="A426">
        <v>25</v>
      </c>
      <c r="B426" s="20" t="s">
        <v>41</v>
      </c>
      <c r="C426" s="2">
        <v>44873.4</v>
      </c>
      <c r="D426" s="20" t="s">
        <v>81</v>
      </c>
    </row>
    <row r="427" spans="1:4" x14ac:dyDescent="0.25">
      <c r="A427">
        <v>5</v>
      </c>
      <c r="B427" s="20" t="s">
        <v>96</v>
      </c>
      <c r="C427" s="2">
        <v>44873.40625</v>
      </c>
      <c r="D427" s="20" t="s">
        <v>81</v>
      </c>
    </row>
    <row r="428" spans="1:4" x14ac:dyDescent="0.25">
      <c r="A428">
        <v>5</v>
      </c>
      <c r="B428" s="20" t="s">
        <v>96</v>
      </c>
      <c r="C428" s="2">
        <v>44873.762499999997</v>
      </c>
      <c r="D428" s="20" t="s">
        <v>81</v>
      </c>
    </row>
    <row r="429" spans="1:4" x14ac:dyDescent="0.25">
      <c r="A429">
        <v>25</v>
      </c>
      <c r="B429" s="20" t="s">
        <v>41</v>
      </c>
      <c r="C429" s="2">
        <v>44873.762499999997</v>
      </c>
      <c r="D429" s="20" t="s">
        <v>81</v>
      </c>
    </row>
    <row r="430" spans="1:4" x14ac:dyDescent="0.25">
      <c r="A430">
        <v>5</v>
      </c>
      <c r="B430" s="20" t="s">
        <v>96</v>
      </c>
      <c r="C430" s="2">
        <v>44874.284722222219</v>
      </c>
      <c r="D430" s="20" t="s">
        <v>81</v>
      </c>
    </row>
    <row r="431" spans="1:4" x14ac:dyDescent="0.25">
      <c r="A431">
        <v>24</v>
      </c>
      <c r="B431" s="20" t="s">
        <v>28</v>
      </c>
      <c r="C431" s="2">
        <v>44874.284722222219</v>
      </c>
      <c r="D431" s="20" t="s">
        <v>81</v>
      </c>
    </row>
    <row r="432" spans="1:4" x14ac:dyDescent="0.25">
      <c r="A432">
        <v>25</v>
      </c>
      <c r="B432" s="20" t="s">
        <v>41</v>
      </c>
      <c r="C432" s="2">
        <v>44874.284722222219</v>
      </c>
      <c r="D432" s="20" t="s">
        <v>81</v>
      </c>
    </row>
    <row r="433" spans="1:4" x14ac:dyDescent="0.25">
      <c r="A433">
        <v>28</v>
      </c>
      <c r="B433" s="20" t="s">
        <v>160</v>
      </c>
      <c r="C433" s="2">
        <v>44874.284722222219</v>
      </c>
      <c r="D433" s="20" t="s">
        <v>81</v>
      </c>
    </row>
    <row r="434" spans="1:4" x14ac:dyDescent="0.25">
      <c r="A434">
        <v>5</v>
      </c>
      <c r="B434" s="20" t="s">
        <v>96</v>
      </c>
      <c r="C434" s="2">
        <v>44874.295138888891</v>
      </c>
      <c r="D434" s="20" t="s">
        <v>81</v>
      </c>
    </row>
    <row r="435" spans="1:4" x14ac:dyDescent="0.25">
      <c r="A435">
        <v>7</v>
      </c>
      <c r="B435" s="20" t="s">
        <v>59</v>
      </c>
      <c r="C435" s="2">
        <v>44874.295138888891</v>
      </c>
      <c r="D435" s="20" t="s">
        <v>81</v>
      </c>
    </row>
    <row r="436" spans="1:4" x14ac:dyDescent="0.25">
      <c r="A436">
        <v>9</v>
      </c>
      <c r="B436" s="20" t="s">
        <v>61</v>
      </c>
      <c r="C436" s="2">
        <v>44874.295138888891</v>
      </c>
      <c r="D436" s="20" t="s">
        <v>81</v>
      </c>
    </row>
    <row r="437" spans="1:4" x14ac:dyDescent="0.25">
      <c r="A437">
        <v>10</v>
      </c>
      <c r="B437" s="20" t="s">
        <v>62</v>
      </c>
      <c r="C437" s="2">
        <v>44874.295138888891</v>
      </c>
      <c r="D437" s="20" t="s">
        <v>81</v>
      </c>
    </row>
    <row r="438" spans="1:4" x14ac:dyDescent="0.25">
      <c r="A438">
        <v>11</v>
      </c>
      <c r="B438" s="20" t="s">
        <v>63</v>
      </c>
      <c r="C438" s="2">
        <v>44874.295138888891</v>
      </c>
      <c r="D438" s="20" t="s">
        <v>81</v>
      </c>
    </row>
    <row r="439" spans="1:4" x14ac:dyDescent="0.25">
      <c r="A439">
        <v>12</v>
      </c>
      <c r="B439" s="20" t="s">
        <v>64</v>
      </c>
      <c r="C439" s="2">
        <v>44874.295138888891</v>
      </c>
      <c r="D439" s="20" t="s">
        <v>81</v>
      </c>
    </row>
    <row r="440" spans="1:4" x14ac:dyDescent="0.25">
      <c r="A440">
        <v>13</v>
      </c>
      <c r="B440" s="20" t="s">
        <v>65</v>
      </c>
      <c r="C440" s="2">
        <v>44874.295138888891</v>
      </c>
      <c r="D440" s="20" t="s">
        <v>81</v>
      </c>
    </row>
    <row r="441" spans="1:4" x14ac:dyDescent="0.25">
      <c r="A441">
        <v>14</v>
      </c>
      <c r="B441" s="20" t="s">
        <v>66</v>
      </c>
      <c r="C441" s="2">
        <v>44874.295138888891</v>
      </c>
      <c r="D441" s="20" t="s">
        <v>81</v>
      </c>
    </row>
    <row r="442" spans="1:4" x14ac:dyDescent="0.25">
      <c r="A442">
        <v>15</v>
      </c>
      <c r="B442" s="20" t="s">
        <v>157</v>
      </c>
      <c r="C442" s="2">
        <v>44874.295138888891</v>
      </c>
      <c r="D442" s="20" t="s">
        <v>81</v>
      </c>
    </row>
    <row r="443" spans="1:4" x14ac:dyDescent="0.25">
      <c r="A443">
        <v>16</v>
      </c>
      <c r="B443" s="20" t="s">
        <v>68</v>
      </c>
      <c r="C443" s="2">
        <v>44874.295138888891</v>
      </c>
      <c r="D443" s="20" t="s">
        <v>81</v>
      </c>
    </row>
    <row r="444" spans="1:4" x14ac:dyDescent="0.25">
      <c r="A444">
        <v>3</v>
      </c>
      <c r="B444" s="20" t="s">
        <v>39</v>
      </c>
      <c r="C444" s="2">
        <v>44874.303472222222</v>
      </c>
      <c r="D444" s="20" t="s">
        <v>80</v>
      </c>
    </row>
    <row r="445" spans="1:4" x14ac:dyDescent="0.25">
      <c r="A445">
        <v>5</v>
      </c>
      <c r="B445" s="20" t="s">
        <v>96</v>
      </c>
      <c r="C445" s="2">
        <v>44874.303472222222</v>
      </c>
      <c r="D445" s="20" t="s">
        <v>80</v>
      </c>
    </row>
    <row r="446" spans="1:4" x14ac:dyDescent="0.25">
      <c r="A446">
        <v>17</v>
      </c>
      <c r="B446" s="20" t="s">
        <v>105</v>
      </c>
      <c r="C446" s="2">
        <v>44874.303472222222</v>
      </c>
      <c r="D446" s="20" t="s">
        <v>80</v>
      </c>
    </row>
    <row r="447" spans="1:4" x14ac:dyDescent="0.25">
      <c r="A447">
        <v>18</v>
      </c>
      <c r="B447" s="20" t="s">
        <v>106</v>
      </c>
      <c r="C447" s="2">
        <v>44874.303472222222</v>
      </c>
      <c r="D447" s="20" t="s">
        <v>80</v>
      </c>
    </row>
    <row r="448" spans="1:4" x14ac:dyDescent="0.25">
      <c r="A448">
        <v>19</v>
      </c>
      <c r="B448" s="20" t="s">
        <v>107</v>
      </c>
      <c r="C448" s="2">
        <v>44874.303472222222</v>
      </c>
      <c r="D448" s="20" t="s">
        <v>80</v>
      </c>
    </row>
    <row r="449" spans="1:4" x14ac:dyDescent="0.25">
      <c r="A449">
        <v>20</v>
      </c>
      <c r="B449" s="20" t="s">
        <v>108</v>
      </c>
      <c r="C449" s="2">
        <v>44874.303472222222</v>
      </c>
      <c r="D449" s="20" t="s">
        <v>80</v>
      </c>
    </row>
    <row r="450" spans="1:4" x14ac:dyDescent="0.25">
      <c r="A450">
        <v>21</v>
      </c>
      <c r="B450" s="20" t="s">
        <v>109</v>
      </c>
      <c r="C450" s="2">
        <v>44874.303472222222</v>
      </c>
      <c r="D450" s="20" t="s">
        <v>80</v>
      </c>
    </row>
    <row r="451" spans="1:4" x14ac:dyDescent="0.25">
      <c r="A451">
        <v>22</v>
      </c>
      <c r="B451" s="20" t="s">
        <v>110</v>
      </c>
      <c r="C451" s="2">
        <v>44874.303472222222</v>
      </c>
      <c r="D451" s="20" t="s">
        <v>80</v>
      </c>
    </row>
    <row r="452" spans="1:4" x14ac:dyDescent="0.25">
      <c r="A452">
        <v>23</v>
      </c>
      <c r="B452" s="20" t="s">
        <v>111</v>
      </c>
      <c r="C452" s="2">
        <v>44874.303472222222</v>
      </c>
      <c r="D452" s="20" t="s">
        <v>80</v>
      </c>
    </row>
    <row r="453" spans="1:4" x14ac:dyDescent="0.25">
      <c r="A453">
        <v>5</v>
      </c>
      <c r="B453" s="20" t="s">
        <v>96</v>
      </c>
      <c r="C453" s="2">
        <v>44874.3125</v>
      </c>
      <c r="D453" s="20" t="s">
        <v>80</v>
      </c>
    </row>
    <row r="454" spans="1:4" x14ac:dyDescent="0.25">
      <c r="A454">
        <v>5</v>
      </c>
      <c r="B454" s="20" t="s">
        <v>96</v>
      </c>
      <c r="C454" s="2">
        <v>44874.315972222219</v>
      </c>
      <c r="D454" s="20" t="s">
        <v>81</v>
      </c>
    </row>
    <row r="455" spans="1:4" x14ac:dyDescent="0.25">
      <c r="A455">
        <v>26</v>
      </c>
      <c r="B455" s="20" t="s">
        <v>159</v>
      </c>
      <c r="C455" s="2">
        <v>44874.315972222219</v>
      </c>
      <c r="D455" s="20" t="s">
        <v>81</v>
      </c>
    </row>
    <row r="456" spans="1:4" x14ac:dyDescent="0.25">
      <c r="A456">
        <v>5</v>
      </c>
      <c r="B456" s="20" t="s">
        <v>96</v>
      </c>
      <c r="C456" s="2">
        <v>44874.329861111109</v>
      </c>
      <c r="D456" s="20" t="s">
        <v>81</v>
      </c>
    </row>
    <row r="457" spans="1:4" x14ac:dyDescent="0.25">
      <c r="A457">
        <v>24</v>
      </c>
      <c r="B457" s="20" t="s">
        <v>28</v>
      </c>
      <c r="C457" s="2">
        <v>44874.329861111109</v>
      </c>
      <c r="D457" s="20" t="s">
        <v>81</v>
      </c>
    </row>
    <row r="458" spans="1:4" x14ac:dyDescent="0.25">
      <c r="A458">
        <v>27</v>
      </c>
      <c r="B458" s="20" t="s">
        <v>60</v>
      </c>
      <c r="C458" s="2">
        <v>44874.329861111109</v>
      </c>
      <c r="D458" s="20" t="s">
        <v>81</v>
      </c>
    </row>
    <row r="459" spans="1:4" x14ac:dyDescent="0.25">
      <c r="A459">
        <v>29</v>
      </c>
      <c r="B459" s="20" t="s">
        <v>161</v>
      </c>
      <c r="C459" s="2">
        <v>44874.329861111109</v>
      </c>
      <c r="D459" s="20" t="s">
        <v>81</v>
      </c>
    </row>
    <row r="460" spans="1:4" x14ac:dyDescent="0.25">
      <c r="A460">
        <v>30</v>
      </c>
      <c r="B460" s="20" t="s">
        <v>162</v>
      </c>
      <c r="C460" s="2">
        <v>44874.329861111109</v>
      </c>
      <c r="D460" s="20" t="s">
        <v>81</v>
      </c>
    </row>
    <row r="461" spans="1:4" x14ac:dyDescent="0.25">
      <c r="A461">
        <v>32</v>
      </c>
      <c r="B461" s="20" t="s">
        <v>164</v>
      </c>
      <c r="C461" s="2">
        <v>44874.329861111109</v>
      </c>
      <c r="D461" s="20" t="s">
        <v>81</v>
      </c>
    </row>
    <row r="462" spans="1:4" x14ac:dyDescent="0.25">
      <c r="A462">
        <v>34</v>
      </c>
      <c r="B462" s="20" t="s">
        <v>67</v>
      </c>
      <c r="C462" s="2">
        <v>44874.329861111109</v>
      </c>
      <c r="D462" s="20" t="s">
        <v>81</v>
      </c>
    </row>
    <row r="463" spans="1:4" x14ac:dyDescent="0.25">
      <c r="A463">
        <v>5</v>
      </c>
      <c r="B463" s="20" t="s">
        <v>96</v>
      </c>
      <c r="C463" s="2">
        <v>44874.336805555555</v>
      </c>
      <c r="D463" s="20" t="s">
        <v>81</v>
      </c>
    </row>
    <row r="464" spans="1:4" x14ac:dyDescent="0.25">
      <c r="A464">
        <v>5</v>
      </c>
      <c r="B464" s="20" t="s">
        <v>96</v>
      </c>
      <c r="C464" s="2">
        <v>44874.347222222219</v>
      </c>
      <c r="D464" s="20" t="s">
        <v>81</v>
      </c>
    </row>
    <row r="465" spans="1:4" x14ac:dyDescent="0.25">
      <c r="A465">
        <v>5</v>
      </c>
      <c r="B465" s="20" t="s">
        <v>96</v>
      </c>
      <c r="C465" s="2">
        <v>44874.354166666664</v>
      </c>
      <c r="D465" s="20" t="s">
        <v>80</v>
      </c>
    </row>
    <row r="466" spans="1:4" x14ac:dyDescent="0.25">
      <c r="A466">
        <v>5</v>
      </c>
      <c r="B466" s="20" t="s">
        <v>96</v>
      </c>
      <c r="C466" s="2">
        <v>44874.357638888891</v>
      </c>
      <c r="D466" s="20" t="s">
        <v>81</v>
      </c>
    </row>
    <row r="467" spans="1:4" x14ac:dyDescent="0.25">
      <c r="A467">
        <v>31</v>
      </c>
      <c r="B467" s="20" t="s">
        <v>163</v>
      </c>
      <c r="C467" s="2">
        <v>44874.357638888891</v>
      </c>
      <c r="D467" s="20" t="s">
        <v>81</v>
      </c>
    </row>
    <row r="468" spans="1:4" x14ac:dyDescent="0.25">
      <c r="A468">
        <v>35</v>
      </c>
      <c r="B468" s="20" t="s">
        <v>166</v>
      </c>
      <c r="C468" s="2">
        <v>44874.357638888891</v>
      </c>
      <c r="D468" s="20" t="s">
        <v>81</v>
      </c>
    </row>
    <row r="469" spans="1:4" x14ac:dyDescent="0.25">
      <c r="A469">
        <v>5</v>
      </c>
      <c r="B469" s="20" t="s">
        <v>96</v>
      </c>
      <c r="C469" s="2">
        <v>44874.368055555555</v>
      </c>
      <c r="D469" s="20" t="s">
        <v>81</v>
      </c>
    </row>
    <row r="470" spans="1:4" x14ac:dyDescent="0.25">
      <c r="A470">
        <v>33</v>
      </c>
      <c r="B470" s="20" t="s">
        <v>165</v>
      </c>
      <c r="C470" s="2">
        <v>44874.368055555555</v>
      </c>
      <c r="D470" s="20" t="s">
        <v>81</v>
      </c>
    </row>
    <row r="471" spans="1:4" x14ac:dyDescent="0.25">
      <c r="A471">
        <v>5</v>
      </c>
      <c r="B471" s="20" t="s">
        <v>96</v>
      </c>
      <c r="C471" s="2">
        <v>44874.378472222219</v>
      </c>
      <c r="D471" s="20" t="s">
        <v>81</v>
      </c>
    </row>
    <row r="472" spans="1:4" x14ac:dyDescent="0.25">
      <c r="A472">
        <v>5</v>
      </c>
      <c r="B472" s="20" t="s">
        <v>96</v>
      </c>
      <c r="C472" s="2">
        <v>44874.388888888891</v>
      </c>
      <c r="D472" s="20" t="s">
        <v>81</v>
      </c>
    </row>
    <row r="473" spans="1:4" x14ac:dyDescent="0.25">
      <c r="A473">
        <v>5</v>
      </c>
      <c r="B473" s="20" t="s">
        <v>96</v>
      </c>
      <c r="C473" s="2">
        <v>44874.396527777775</v>
      </c>
      <c r="D473" s="20" t="s">
        <v>80</v>
      </c>
    </row>
    <row r="474" spans="1:4" x14ac:dyDescent="0.25">
      <c r="A474">
        <v>5</v>
      </c>
      <c r="B474" s="20" t="s">
        <v>96</v>
      </c>
      <c r="C474" s="2">
        <v>44874.399305555555</v>
      </c>
      <c r="D474" s="20" t="s">
        <v>81</v>
      </c>
    </row>
    <row r="475" spans="1:4" x14ac:dyDescent="0.25">
      <c r="A475">
        <v>5</v>
      </c>
      <c r="B475" s="20" t="s">
        <v>96</v>
      </c>
      <c r="C475" s="2">
        <v>44874.409722222219</v>
      </c>
      <c r="D475" s="20" t="s">
        <v>81</v>
      </c>
    </row>
    <row r="476" spans="1:4" x14ac:dyDescent="0.25">
      <c r="A476">
        <v>5</v>
      </c>
      <c r="B476" s="20" t="s">
        <v>96</v>
      </c>
      <c r="C476" s="2">
        <v>44874.420138888891</v>
      </c>
      <c r="D476" s="20" t="s">
        <v>81</v>
      </c>
    </row>
    <row r="477" spans="1:4" x14ac:dyDescent="0.25">
      <c r="A477">
        <v>5</v>
      </c>
      <c r="B477" s="20" t="s">
        <v>96</v>
      </c>
      <c r="C477" s="2">
        <v>44874.430555555555</v>
      </c>
      <c r="D477" s="20" t="s">
        <v>81</v>
      </c>
    </row>
    <row r="478" spans="1:4" x14ac:dyDescent="0.25">
      <c r="A478">
        <v>5</v>
      </c>
      <c r="B478" s="20" t="s">
        <v>96</v>
      </c>
      <c r="C478" s="2">
        <v>44874.440972222219</v>
      </c>
      <c r="D478" s="20" t="s">
        <v>81</v>
      </c>
    </row>
    <row r="479" spans="1:4" x14ac:dyDescent="0.25">
      <c r="A479">
        <v>5</v>
      </c>
      <c r="B479" s="20" t="s">
        <v>96</v>
      </c>
      <c r="C479" s="2">
        <v>44874.451388888891</v>
      </c>
      <c r="D479" s="20" t="s">
        <v>81</v>
      </c>
    </row>
    <row r="480" spans="1:4" x14ac:dyDescent="0.25">
      <c r="A480">
        <v>5</v>
      </c>
      <c r="B480" s="20" t="s">
        <v>96</v>
      </c>
      <c r="C480" s="2">
        <v>44875.284722222219</v>
      </c>
      <c r="D480" s="20" t="s">
        <v>81</v>
      </c>
    </row>
    <row r="481" spans="1:4" x14ac:dyDescent="0.25">
      <c r="A481">
        <v>26</v>
      </c>
      <c r="B481" s="20" t="s">
        <v>159</v>
      </c>
      <c r="C481" s="2">
        <v>44875.284722222219</v>
      </c>
      <c r="D481" s="20" t="s">
        <v>81</v>
      </c>
    </row>
    <row r="482" spans="1:4" x14ac:dyDescent="0.25">
      <c r="A482">
        <v>27</v>
      </c>
      <c r="B482" s="20" t="s">
        <v>60</v>
      </c>
      <c r="C482" s="2">
        <v>44875.284722222219</v>
      </c>
      <c r="D482" s="20" t="s">
        <v>81</v>
      </c>
    </row>
    <row r="483" spans="1:4" x14ac:dyDescent="0.25">
      <c r="A483">
        <v>31</v>
      </c>
      <c r="B483" s="20" t="s">
        <v>163</v>
      </c>
      <c r="C483" s="2">
        <v>44875.284722222219</v>
      </c>
      <c r="D483" s="20" t="s">
        <v>81</v>
      </c>
    </row>
    <row r="484" spans="1:4" x14ac:dyDescent="0.25">
      <c r="A484">
        <v>5</v>
      </c>
      <c r="B484" s="20" t="s">
        <v>96</v>
      </c>
      <c r="C484" s="2">
        <v>44875.295138888891</v>
      </c>
      <c r="D484" s="20" t="s">
        <v>81</v>
      </c>
    </row>
    <row r="485" spans="1:4" x14ac:dyDescent="0.25">
      <c r="A485">
        <v>7</v>
      </c>
      <c r="B485" s="20" t="s">
        <v>59</v>
      </c>
      <c r="C485" s="2">
        <v>44875.295138888891</v>
      </c>
      <c r="D485" s="20" t="s">
        <v>81</v>
      </c>
    </row>
    <row r="486" spans="1:4" x14ac:dyDescent="0.25">
      <c r="A486">
        <v>9</v>
      </c>
      <c r="B486" s="20" t="s">
        <v>61</v>
      </c>
      <c r="C486" s="2">
        <v>44875.295138888891</v>
      </c>
      <c r="D486" s="20" t="s">
        <v>81</v>
      </c>
    </row>
    <row r="487" spans="1:4" x14ac:dyDescent="0.25">
      <c r="A487">
        <v>10</v>
      </c>
      <c r="B487" s="20" t="s">
        <v>62</v>
      </c>
      <c r="C487" s="2">
        <v>44875.295138888891</v>
      </c>
      <c r="D487" s="20" t="s">
        <v>81</v>
      </c>
    </row>
    <row r="488" spans="1:4" x14ac:dyDescent="0.25">
      <c r="A488">
        <v>11</v>
      </c>
      <c r="B488" s="20" t="s">
        <v>63</v>
      </c>
      <c r="C488" s="2">
        <v>44875.295138888891</v>
      </c>
      <c r="D488" s="20" t="s">
        <v>81</v>
      </c>
    </row>
    <row r="489" spans="1:4" x14ac:dyDescent="0.25">
      <c r="A489">
        <v>12</v>
      </c>
      <c r="B489" s="20" t="s">
        <v>64</v>
      </c>
      <c r="C489" s="2">
        <v>44875.295138888891</v>
      </c>
      <c r="D489" s="20" t="s">
        <v>81</v>
      </c>
    </row>
    <row r="490" spans="1:4" x14ac:dyDescent="0.25">
      <c r="A490">
        <v>13</v>
      </c>
      <c r="B490" s="20" t="s">
        <v>65</v>
      </c>
      <c r="C490" s="2">
        <v>44875.295138888891</v>
      </c>
      <c r="D490" s="20" t="s">
        <v>81</v>
      </c>
    </row>
    <row r="491" spans="1:4" x14ac:dyDescent="0.25">
      <c r="A491">
        <v>14</v>
      </c>
      <c r="B491" s="20" t="s">
        <v>66</v>
      </c>
      <c r="C491" s="2">
        <v>44875.295138888891</v>
      </c>
      <c r="D491" s="20" t="s">
        <v>81</v>
      </c>
    </row>
    <row r="492" spans="1:4" x14ac:dyDescent="0.25">
      <c r="A492">
        <v>15</v>
      </c>
      <c r="B492" s="20" t="s">
        <v>157</v>
      </c>
      <c r="C492" s="2">
        <v>44875.295138888891</v>
      </c>
      <c r="D492" s="20" t="s">
        <v>81</v>
      </c>
    </row>
    <row r="493" spans="1:4" x14ac:dyDescent="0.25">
      <c r="A493">
        <v>16</v>
      </c>
      <c r="B493" s="20" t="s">
        <v>68</v>
      </c>
      <c r="C493" s="2">
        <v>44875.295138888891</v>
      </c>
      <c r="D493" s="20" t="s">
        <v>81</v>
      </c>
    </row>
    <row r="494" spans="1:4" x14ac:dyDescent="0.25">
      <c r="A494">
        <v>30</v>
      </c>
      <c r="B494" s="20" t="s">
        <v>162</v>
      </c>
      <c r="C494" s="2">
        <v>44875.295138888891</v>
      </c>
      <c r="D494" s="20" t="s">
        <v>81</v>
      </c>
    </row>
    <row r="495" spans="1:4" x14ac:dyDescent="0.25">
      <c r="A495">
        <v>33</v>
      </c>
      <c r="B495" s="20" t="s">
        <v>165</v>
      </c>
      <c r="C495" s="2">
        <v>44875.295138888891</v>
      </c>
      <c r="D495" s="20" t="s">
        <v>81</v>
      </c>
    </row>
    <row r="496" spans="1:4" x14ac:dyDescent="0.25">
      <c r="A496">
        <v>34</v>
      </c>
      <c r="B496" s="20" t="s">
        <v>67</v>
      </c>
      <c r="C496" s="2">
        <v>44875.295138888891</v>
      </c>
      <c r="D496" s="20" t="s">
        <v>81</v>
      </c>
    </row>
    <row r="497" spans="1:4" x14ac:dyDescent="0.25">
      <c r="A497">
        <v>35</v>
      </c>
      <c r="B497" s="20" t="s">
        <v>166</v>
      </c>
      <c r="C497" s="2">
        <v>44875.295138888891</v>
      </c>
      <c r="D497" s="20" t="s">
        <v>81</v>
      </c>
    </row>
    <row r="498" spans="1:4" x14ac:dyDescent="0.25">
      <c r="A498">
        <v>3</v>
      </c>
      <c r="B498" s="20" t="s">
        <v>39</v>
      </c>
      <c r="C498" s="2">
        <v>44875.303472222222</v>
      </c>
      <c r="D498" s="20" t="s">
        <v>80</v>
      </c>
    </row>
    <row r="499" spans="1:4" x14ac:dyDescent="0.25">
      <c r="A499">
        <v>5</v>
      </c>
      <c r="B499" s="20" t="s">
        <v>96</v>
      </c>
      <c r="C499" s="2">
        <v>44875.303472222222</v>
      </c>
      <c r="D499" s="20" t="s">
        <v>80</v>
      </c>
    </row>
    <row r="500" spans="1:4" x14ac:dyDescent="0.25">
      <c r="A500">
        <v>17</v>
      </c>
      <c r="B500" s="20" t="s">
        <v>105</v>
      </c>
      <c r="C500" s="2">
        <v>44875.303472222222</v>
      </c>
      <c r="D500" s="20" t="s">
        <v>80</v>
      </c>
    </row>
    <row r="501" spans="1:4" x14ac:dyDescent="0.25">
      <c r="A501">
        <v>18</v>
      </c>
      <c r="B501" s="20" t="s">
        <v>106</v>
      </c>
      <c r="C501" s="2">
        <v>44875.303472222222</v>
      </c>
      <c r="D501" s="20" t="s">
        <v>80</v>
      </c>
    </row>
    <row r="502" spans="1:4" x14ac:dyDescent="0.25">
      <c r="A502">
        <v>19</v>
      </c>
      <c r="B502" s="20" t="s">
        <v>107</v>
      </c>
      <c r="C502" s="2">
        <v>44875.303472222222</v>
      </c>
      <c r="D502" s="20" t="s">
        <v>80</v>
      </c>
    </row>
    <row r="503" spans="1:4" x14ac:dyDescent="0.25">
      <c r="A503">
        <v>20</v>
      </c>
      <c r="B503" s="20" t="s">
        <v>108</v>
      </c>
      <c r="C503" s="2">
        <v>44875.303472222222</v>
      </c>
      <c r="D503" s="20" t="s">
        <v>80</v>
      </c>
    </row>
    <row r="504" spans="1:4" x14ac:dyDescent="0.25">
      <c r="A504">
        <v>21</v>
      </c>
      <c r="B504" s="20" t="s">
        <v>109</v>
      </c>
      <c r="C504" s="2">
        <v>44875.303472222222</v>
      </c>
      <c r="D504" s="20" t="s">
        <v>80</v>
      </c>
    </row>
    <row r="505" spans="1:4" x14ac:dyDescent="0.25">
      <c r="A505">
        <v>22</v>
      </c>
      <c r="B505" s="20" t="s">
        <v>110</v>
      </c>
      <c r="C505" s="2">
        <v>44875.303472222222</v>
      </c>
      <c r="D505" s="20" t="s">
        <v>80</v>
      </c>
    </row>
    <row r="506" spans="1:4" x14ac:dyDescent="0.25">
      <c r="A506">
        <v>23</v>
      </c>
      <c r="B506" s="20" t="s">
        <v>111</v>
      </c>
      <c r="C506" s="2">
        <v>44875.303472222222</v>
      </c>
      <c r="D506" s="20" t="s">
        <v>80</v>
      </c>
    </row>
    <row r="507" spans="1:4" x14ac:dyDescent="0.25">
      <c r="A507">
        <v>5</v>
      </c>
      <c r="B507" s="20" t="s">
        <v>96</v>
      </c>
      <c r="C507" s="2">
        <v>44875.305555555555</v>
      </c>
      <c r="D507" s="20" t="s">
        <v>81</v>
      </c>
    </row>
    <row r="508" spans="1:4" x14ac:dyDescent="0.25">
      <c r="A508">
        <v>5</v>
      </c>
      <c r="B508" s="20" t="s">
        <v>96</v>
      </c>
      <c r="C508" s="2">
        <v>44875.3125</v>
      </c>
      <c r="D508" s="20" t="s">
        <v>80</v>
      </c>
    </row>
    <row r="509" spans="1:4" x14ac:dyDescent="0.25">
      <c r="A509">
        <v>5</v>
      </c>
      <c r="B509" s="20" t="s">
        <v>96</v>
      </c>
      <c r="C509" s="2">
        <v>44875.315972222219</v>
      </c>
      <c r="D509" s="20" t="s">
        <v>81</v>
      </c>
    </row>
    <row r="510" spans="1:4" x14ac:dyDescent="0.25">
      <c r="A510">
        <v>25</v>
      </c>
      <c r="B510" s="20" t="s">
        <v>41</v>
      </c>
      <c r="C510" s="2">
        <v>44875.315972222219</v>
      </c>
      <c r="D510" s="20" t="s">
        <v>81</v>
      </c>
    </row>
    <row r="511" spans="1:4" x14ac:dyDescent="0.25">
      <c r="A511">
        <v>5</v>
      </c>
      <c r="B511" s="20" t="s">
        <v>96</v>
      </c>
      <c r="C511" s="2">
        <v>44875.326388888891</v>
      </c>
      <c r="D511" s="20" t="s">
        <v>81</v>
      </c>
    </row>
    <row r="512" spans="1:4" x14ac:dyDescent="0.25">
      <c r="A512">
        <v>24</v>
      </c>
      <c r="B512" s="20" t="s">
        <v>28</v>
      </c>
      <c r="C512" s="2">
        <v>44875.326388888891</v>
      </c>
      <c r="D512" s="20" t="s">
        <v>81</v>
      </c>
    </row>
    <row r="513" spans="1:4" x14ac:dyDescent="0.25">
      <c r="A513">
        <v>29</v>
      </c>
      <c r="B513" s="20" t="s">
        <v>161</v>
      </c>
      <c r="C513" s="2">
        <v>44875.326388888891</v>
      </c>
      <c r="D513" s="20" t="s">
        <v>81</v>
      </c>
    </row>
    <row r="514" spans="1:4" x14ac:dyDescent="0.25">
      <c r="A514">
        <v>5</v>
      </c>
      <c r="B514" s="20" t="s">
        <v>96</v>
      </c>
      <c r="C514" s="2">
        <v>44875.32916666667</v>
      </c>
      <c r="D514" s="20" t="s">
        <v>81</v>
      </c>
    </row>
    <row r="515" spans="1:4" x14ac:dyDescent="0.25">
      <c r="A515">
        <v>28</v>
      </c>
      <c r="B515" s="20" t="s">
        <v>160</v>
      </c>
      <c r="C515" s="2">
        <v>44875.32916666667</v>
      </c>
      <c r="D515" s="20" t="s">
        <v>81</v>
      </c>
    </row>
    <row r="516" spans="1:4" x14ac:dyDescent="0.25">
      <c r="A516">
        <v>32</v>
      </c>
      <c r="B516" s="20" t="s">
        <v>164</v>
      </c>
      <c r="C516" s="2">
        <v>44875.32916666667</v>
      </c>
      <c r="D516" s="20" t="s">
        <v>81</v>
      </c>
    </row>
    <row r="517" spans="1:4" x14ac:dyDescent="0.25">
      <c r="A517">
        <v>5</v>
      </c>
      <c r="B517" s="20" t="s">
        <v>96</v>
      </c>
      <c r="C517" s="2">
        <v>44875.336805555555</v>
      </c>
      <c r="D517" s="20" t="s">
        <v>81</v>
      </c>
    </row>
    <row r="518" spans="1:4" x14ac:dyDescent="0.25">
      <c r="A518">
        <v>5</v>
      </c>
      <c r="B518" s="20" t="s">
        <v>96</v>
      </c>
      <c r="C518" s="2">
        <v>44875.347222222219</v>
      </c>
      <c r="D518" s="20" t="s">
        <v>81</v>
      </c>
    </row>
    <row r="519" spans="1:4" x14ac:dyDescent="0.25">
      <c r="A519">
        <v>5</v>
      </c>
      <c r="B519" s="20" t="s">
        <v>96</v>
      </c>
      <c r="C519" s="2">
        <v>44875.357638888891</v>
      </c>
      <c r="D519" s="20" t="s">
        <v>81</v>
      </c>
    </row>
    <row r="520" spans="1:4" x14ac:dyDescent="0.25">
      <c r="A520">
        <v>5</v>
      </c>
      <c r="B520" s="20" t="s">
        <v>96</v>
      </c>
      <c r="C520" s="2">
        <v>44875.368055555555</v>
      </c>
      <c r="D520" s="20" t="s">
        <v>81</v>
      </c>
    </row>
    <row r="521" spans="1:4" x14ac:dyDescent="0.25">
      <c r="A521">
        <v>5</v>
      </c>
      <c r="B521" s="20" t="s">
        <v>96</v>
      </c>
      <c r="C521" s="2">
        <v>44875.378472222219</v>
      </c>
      <c r="D521" s="20" t="s">
        <v>81</v>
      </c>
    </row>
    <row r="522" spans="1:4" x14ac:dyDescent="0.25">
      <c r="A522">
        <v>5</v>
      </c>
      <c r="B522" s="20" t="s">
        <v>96</v>
      </c>
      <c r="C522" s="2">
        <v>44875.388888888891</v>
      </c>
      <c r="D522" s="20" t="s">
        <v>81</v>
      </c>
    </row>
    <row r="523" spans="1:4" x14ac:dyDescent="0.25">
      <c r="A523">
        <v>5</v>
      </c>
      <c r="B523" s="20" t="s">
        <v>96</v>
      </c>
      <c r="C523" s="2">
        <v>44875.399305555555</v>
      </c>
      <c r="D523" s="20" t="s">
        <v>81</v>
      </c>
    </row>
    <row r="524" spans="1:4" x14ac:dyDescent="0.25">
      <c r="A524">
        <v>5</v>
      </c>
      <c r="B524" s="20" t="s">
        <v>96</v>
      </c>
      <c r="C524" s="2">
        <v>44875.409722222219</v>
      </c>
      <c r="D524" s="20" t="s">
        <v>81</v>
      </c>
    </row>
    <row r="525" spans="1:4" x14ac:dyDescent="0.25">
      <c r="A525">
        <v>5</v>
      </c>
      <c r="B525" s="20" t="s">
        <v>96</v>
      </c>
      <c r="C525" s="2">
        <v>44875.420138888891</v>
      </c>
      <c r="D525" s="20" t="s">
        <v>81</v>
      </c>
    </row>
    <row r="526" spans="1:4" x14ac:dyDescent="0.25">
      <c r="A526">
        <v>5</v>
      </c>
      <c r="B526" s="20" t="s">
        <v>96</v>
      </c>
      <c r="C526" s="2">
        <v>44875.430555555555</v>
      </c>
      <c r="D526" s="20" t="s">
        <v>81</v>
      </c>
    </row>
    <row r="527" spans="1:4" x14ac:dyDescent="0.25">
      <c r="A527">
        <v>5</v>
      </c>
      <c r="B527" s="20" t="s">
        <v>96</v>
      </c>
      <c r="C527" s="2">
        <v>44875.440972222219</v>
      </c>
      <c r="D527" s="20" t="s">
        <v>81</v>
      </c>
    </row>
    <row r="528" spans="1:4" x14ac:dyDescent="0.25">
      <c r="A528">
        <v>5</v>
      </c>
      <c r="B528" s="20" t="s">
        <v>96</v>
      </c>
      <c r="C528" s="2">
        <v>44875.451388888891</v>
      </c>
      <c r="D528" s="20" t="s">
        <v>81</v>
      </c>
    </row>
    <row r="529" spans="1:4" x14ac:dyDescent="0.25">
      <c r="A529">
        <v>5</v>
      </c>
      <c r="B529" s="20" t="s">
        <v>96</v>
      </c>
      <c r="C529" s="2">
        <v>44876.284722222219</v>
      </c>
      <c r="D529" s="20" t="s">
        <v>81</v>
      </c>
    </row>
    <row r="530" spans="1:4" x14ac:dyDescent="0.25">
      <c r="A530">
        <v>25</v>
      </c>
      <c r="B530" s="20" t="s">
        <v>41</v>
      </c>
      <c r="C530" s="2">
        <v>44876.284722222219</v>
      </c>
      <c r="D530" s="20" t="s">
        <v>81</v>
      </c>
    </row>
    <row r="531" spans="1:4" x14ac:dyDescent="0.25">
      <c r="A531">
        <v>27</v>
      </c>
      <c r="B531" s="20" t="s">
        <v>60</v>
      </c>
      <c r="C531" s="2">
        <v>44876.284722222219</v>
      </c>
      <c r="D531" s="20" t="s">
        <v>81</v>
      </c>
    </row>
    <row r="532" spans="1:4" x14ac:dyDescent="0.25">
      <c r="A532">
        <v>28</v>
      </c>
      <c r="B532" s="20" t="s">
        <v>160</v>
      </c>
      <c r="C532" s="2">
        <v>44876.284722222219</v>
      </c>
      <c r="D532" s="20" t="s">
        <v>81</v>
      </c>
    </row>
    <row r="533" spans="1:4" x14ac:dyDescent="0.25">
      <c r="A533">
        <v>29</v>
      </c>
      <c r="B533" s="20" t="s">
        <v>161</v>
      </c>
      <c r="C533" s="2">
        <v>44876.284722222219</v>
      </c>
      <c r="D533" s="20" t="s">
        <v>81</v>
      </c>
    </row>
    <row r="534" spans="1:4" x14ac:dyDescent="0.25">
      <c r="A534">
        <v>30</v>
      </c>
      <c r="B534" s="20" t="s">
        <v>162</v>
      </c>
      <c r="C534" s="2">
        <v>44876.284722222219</v>
      </c>
      <c r="D534" s="20" t="s">
        <v>81</v>
      </c>
    </row>
    <row r="535" spans="1:4" x14ac:dyDescent="0.25">
      <c r="A535">
        <v>5</v>
      </c>
      <c r="B535" s="20" t="s">
        <v>96</v>
      </c>
      <c r="C535" s="2">
        <v>44876.295138888891</v>
      </c>
      <c r="D535" s="20" t="s">
        <v>81</v>
      </c>
    </row>
    <row r="536" spans="1:4" x14ac:dyDescent="0.25">
      <c r="A536">
        <v>7</v>
      </c>
      <c r="B536" s="20" t="s">
        <v>59</v>
      </c>
      <c r="C536" s="2">
        <v>44876.295138888891</v>
      </c>
      <c r="D536" s="20" t="s">
        <v>81</v>
      </c>
    </row>
    <row r="537" spans="1:4" x14ac:dyDescent="0.25">
      <c r="A537">
        <v>9</v>
      </c>
      <c r="B537" s="20" t="s">
        <v>61</v>
      </c>
      <c r="C537" s="2">
        <v>44876.295138888891</v>
      </c>
      <c r="D537" s="20" t="s">
        <v>81</v>
      </c>
    </row>
    <row r="538" spans="1:4" x14ac:dyDescent="0.25">
      <c r="A538">
        <v>10</v>
      </c>
      <c r="B538" s="20" t="s">
        <v>62</v>
      </c>
      <c r="C538" s="2">
        <v>44876.295138888891</v>
      </c>
      <c r="D538" s="20" t="s">
        <v>81</v>
      </c>
    </row>
    <row r="539" spans="1:4" x14ac:dyDescent="0.25">
      <c r="A539">
        <v>11</v>
      </c>
      <c r="B539" s="20" t="s">
        <v>63</v>
      </c>
      <c r="C539" s="2">
        <v>44876.295138888891</v>
      </c>
      <c r="D539" s="20" t="s">
        <v>81</v>
      </c>
    </row>
    <row r="540" spans="1:4" x14ac:dyDescent="0.25">
      <c r="A540">
        <v>12</v>
      </c>
      <c r="B540" s="20" t="s">
        <v>64</v>
      </c>
      <c r="C540" s="2">
        <v>44876.295138888891</v>
      </c>
      <c r="D540" s="20" t="s">
        <v>81</v>
      </c>
    </row>
    <row r="541" spans="1:4" x14ac:dyDescent="0.25">
      <c r="A541">
        <v>13</v>
      </c>
      <c r="B541" s="20" t="s">
        <v>65</v>
      </c>
      <c r="C541" s="2">
        <v>44876.295138888891</v>
      </c>
      <c r="D541" s="20" t="s">
        <v>81</v>
      </c>
    </row>
    <row r="542" spans="1:4" x14ac:dyDescent="0.25">
      <c r="A542">
        <v>14</v>
      </c>
      <c r="B542" s="20" t="s">
        <v>66</v>
      </c>
      <c r="C542" s="2">
        <v>44876.295138888891</v>
      </c>
      <c r="D542" s="20" t="s">
        <v>81</v>
      </c>
    </row>
    <row r="543" spans="1:4" x14ac:dyDescent="0.25">
      <c r="A543">
        <v>15</v>
      </c>
      <c r="B543" s="20" t="s">
        <v>157</v>
      </c>
      <c r="C543" s="2">
        <v>44876.295138888891</v>
      </c>
      <c r="D543" s="20" t="s">
        <v>81</v>
      </c>
    </row>
    <row r="544" spans="1:4" x14ac:dyDescent="0.25">
      <c r="A544">
        <v>16</v>
      </c>
      <c r="B544" s="20" t="s">
        <v>68</v>
      </c>
      <c r="C544" s="2">
        <v>44876.295138888891</v>
      </c>
      <c r="D544" s="20" t="s">
        <v>81</v>
      </c>
    </row>
    <row r="545" spans="1:4" x14ac:dyDescent="0.25">
      <c r="A545">
        <v>32</v>
      </c>
      <c r="B545" s="20" t="s">
        <v>164</v>
      </c>
      <c r="C545" s="2">
        <v>44876.295138888891</v>
      </c>
      <c r="D545" s="20" t="s">
        <v>81</v>
      </c>
    </row>
    <row r="546" spans="1:4" x14ac:dyDescent="0.25">
      <c r="A546">
        <v>33</v>
      </c>
      <c r="B546" s="20" t="s">
        <v>165</v>
      </c>
      <c r="C546" s="2">
        <v>44876.295138888891</v>
      </c>
      <c r="D546" s="20" t="s">
        <v>81</v>
      </c>
    </row>
    <row r="547" spans="1:4" x14ac:dyDescent="0.25">
      <c r="A547">
        <v>34</v>
      </c>
      <c r="B547" s="20" t="s">
        <v>67</v>
      </c>
      <c r="C547" s="2">
        <v>44876.295138888891</v>
      </c>
      <c r="D547" s="20" t="s">
        <v>81</v>
      </c>
    </row>
    <row r="548" spans="1:4" x14ac:dyDescent="0.25">
      <c r="A548">
        <v>35</v>
      </c>
      <c r="B548" s="20" t="s">
        <v>166</v>
      </c>
      <c r="C548" s="2">
        <v>44876.295138888891</v>
      </c>
      <c r="D548" s="20" t="s">
        <v>81</v>
      </c>
    </row>
    <row r="549" spans="1:4" x14ac:dyDescent="0.25">
      <c r="A549">
        <v>3</v>
      </c>
      <c r="B549" s="20" t="s">
        <v>39</v>
      </c>
      <c r="C549" s="2">
        <v>44876.303472222222</v>
      </c>
      <c r="D549" s="20" t="s">
        <v>80</v>
      </c>
    </row>
    <row r="550" spans="1:4" x14ac:dyDescent="0.25">
      <c r="A550">
        <v>5</v>
      </c>
      <c r="B550" s="20" t="s">
        <v>96</v>
      </c>
      <c r="C550" s="2">
        <v>44876.303472222222</v>
      </c>
      <c r="D550" s="20" t="s">
        <v>80</v>
      </c>
    </row>
    <row r="551" spans="1:4" x14ac:dyDescent="0.25">
      <c r="A551">
        <v>17</v>
      </c>
      <c r="B551" s="20" t="s">
        <v>105</v>
      </c>
      <c r="C551" s="2">
        <v>44876.303472222222</v>
      </c>
      <c r="D551" s="20" t="s">
        <v>80</v>
      </c>
    </row>
    <row r="552" spans="1:4" x14ac:dyDescent="0.25">
      <c r="A552">
        <v>18</v>
      </c>
      <c r="B552" s="20" t="s">
        <v>106</v>
      </c>
      <c r="C552" s="2">
        <v>44876.303472222222</v>
      </c>
      <c r="D552" s="20" t="s">
        <v>80</v>
      </c>
    </row>
    <row r="553" spans="1:4" x14ac:dyDescent="0.25">
      <c r="A553">
        <v>19</v>
      </c>
      <c r="B553" s="20" t="s">
        <v>107</v>
      </c>
      <c r="C553" s="2">
        <v>44876.303472222222</v>
      </c>
      <c r="D553" s="20" t="s">
        <v>80</v>
      </c>
    </row>
    <row r="554" spans="1:4" x14ac:dyDescent="0.25">
      <c r="A554">
        <v>20</v>
      </c>
      <c r="B554" s="20" t="s">
        <v>108</v>
      </c>
      <c r="C554" s="2">
        <v>44876.303472222222</v>
      </c>
      <c r="D554" s="20" t="s">
        <v>80</v>
      </c>
    </row>
    <row r="555" spans="1:4" x14ac:dyDescent="0.25">
      <c r="A555">
        <v>21</v>
      </c>
      <c r="B555" s="20" t="s">
        <v>109</v>
      </c>
      <c r="C555" s="2">
        <v>44876.303472222222</v>
      </c>
      <c r="D555" s="20" t="s">
        <v>80</v>
      </c>
    </row>
    <row r="556" spans="1:4" x14ac:dyDescent="0.25">
      <c r="A556">
        <v>22</v>
      </c>
      <c r="B556" s="20" t="s">
        <v>110</v>
      </c>
      <c r="C556" s="2">
        <v>44876.303472222222</v>
      </c>
      <c r="D556" s="20" t="s">
        <v>80</v>
      </c>
    </row>
    <row r="557" spans="1:4" x14ac:dyDescent="0.25">
      <c r="A557">
        <v>23</v>
      </c>
      <c r="B557" s="20" t="s">
        <v>111</v>
      </c>
      <c r="C557" s="2">
        <v>44876.303472222222</v>
      </c>
      <c r="D557" s="20" t="s">
        <v>80</v>
      </c>
    </row>
    <row r="558" spans="1:4" x14ac:dyDescent="0.25">
      <c r="A558">
        <v>5</v>
      </c>
      <c r="B558" s="20" t="s">
        <v>96</v>
      </c>
      <c r="C558" s="2">
        <v>44876.305555555555</v>
      </c>
      <c r="D558" s="20" t="s">
        <v>81</v>
      </c>
    </row>
    <row r="559" spans="1:4" x14ac:dyDescent="0.25">
      <c r="A559">
        <v>5</v>
      </c>
      <c r="B559" s="20" t="s">
        <v>96</v>
      </c>
      <c r="C559" s="2">
        <v>44876.305555555555</v>
      </c>
      <c r="D559" s="20" t="s">
        <v>80</v>
      </c>
    </row>
    <row r="560" spans="1:4" x14ac:dyDescent="0.25">
      <c r="A560">
        <v>5</v>
      </c>
      <c r="B560" s="20" t="s">
        <v>96</v>
      </c>
      <c r="C560" s="2">
        <v>44876.315972222219</v>
      </c>
      <c r="D560" s="20" t="s">
        <v>81</v>
      </c>
    </row>
    <row r="561" spans="1:4" x14ac:dyDescent="0.25">
      <c r="A561">
        <v>24</v>
      </c>
      <c r="B561" s="20" t="s">
        <v>28</v>
      </c>
      <c r="C561" s="2">
        <v>44876.315972222219</v>
      </c>
      <c r="D561" s="20" t="s">
        <v>81</v>
      </c>
    </row>
    <row r="562" spans="1:4" x14ac:dyDescent="0.25">
      <c r="A562">
        <v>26</v>
      </c>
      <c r="B562" s="20" t="s">
        <v>159</v>
      </c>
      <c r="C562" s="2">
        <v>44876.315972222219</v>
      </c>
      <c r="D562" s="20" t="s">
        <v>81</v>
      </c>
    </row>
    <row r="563" spans="1:4" x14ac:dyDescent="0.25">
      <c r="A563">
        <v>31</v>
      </c>
      <c r="B563" s="20" t="s">
        <v>163</v>
      </c>
      <c r="C563" s="2">
        <v>44876.315972222219</v>
      </c>
      <c r="D563" s="20" t="s">
        <v>81</v>
      </c>
    </row>
    <row r="564" spans="1:4" x14ac:dyDescent="0.25">
      <c r="A564">
        <v>5</v>
      </c>
      <c r="B564" s="20" t="s">
        <v>96</v>
      </c>
      <c r="C564" s="2">
        <v>44876.326388888891</v>
      </c>
      <c r="D564" s="20" t="s">
        <v>81</v>
      </c>
    </row>
    <row r="565" spans="1:4" x14ac:dyDescent="0.25">
      <c r="A565">
        <v>5</v>
      </c>
      <c r="B565" s="20" t="s">
        <v>96</v>
      </c>
      <c r="C565" s="2">
        <v>44876.336805555555</v>
      </c>
      <c r="D565" s="20" t="s">
        <v>81</v>
      </c>
    </row>
    <row r="566" spans="1:4" x14ac:dyDescent="0.25">
      <c r="A566">
        <v>5</v>
      </c>
      <c r="B566" s="20" t="s">
        <v>96</v>
      </c>
      <c r="C566" s="2">
        <v>44876.347222222219</v>
      </c>
      <c r="D566" s="20" t="s">
        <v>81</v>
      </c>
    </row>
    <row r="567" spans="1:4" x14ac:dyDescent="0.25">
      <c r="A567">
        <v>5</v>
      </c>
      <c r="B567" s="20" t="s">
        <v>96</v>
      </c>
      <c r="C567" s="2">
        <v>44876.357638888891</v>
      </c>
      <c r="D567" s="20" t="s">
        <v>81</v>
      </c>
    </row>
    <row r="568" spans="1:4" x14ac:dyDescent="0.25">
      <c r="A568">
        <v>1</v>
      </c>
      <c r="B568" s="20" t="s">
        <v>6</v>
      </c>
      <c r="C568" s="2">
        <v>44876.368055555555</v>
      </c>
      <c r="D568" s="20" t="s">
        <v>81</v>
      </c>
    </row>
    <row r="569" spans="1:4" x14ac:dyDescent="0.25">
      <c r="A569">
        <v>5</v>
      </c>
      <c r="B569" s="20" t="s">
        <v>167</v>
      </c>
      <c r="C569" s="2">
        <v>44876.368055555555</v>
      </c>
      <c r="D569" s="20" t="s">
        <v>81</v>
      </c>
    </row>
    <row r="570" spans="1:4" x14ac:dyDescent="0.25">
      <c r="A570">
        <v>5</v>
      </c>
      <c r="B570" s="20" t="s">
        <v>167</v>
      </c>
      <c r="C570" s="2">
        <v>44876.378472222219</v>
      </c>
      <c r="D570" s="20" t="s">
        <v>81</v>
      </c>
    </row>
    <row r="571" spans="1:4" x14ac:dyDescent="0.25">
      <c r="A571">
        <v>5</v>
      </c>
      <c r="B571" s="20" t="s">
        <v>167</v>
      </c>
      <c r="C571" s="2">
        <v>44876.388888888891</v>
      </c>
      <c r="D571" s="20" t="s">
        <v>81</v>
      </c>
    </row>
    <row r="572" spans="1:4" x14ac:dyDescent="0.25">
      <c r="A572">
        <v>5</v>
      </c>
      <c r="B572" s="20" t="s">
        <v>167</v>
      </c>
      <c r="C572" s="2">
        <v>44876.399305555555</v>
      </c>
      <c r="D572" s="20" t="s">
        <v>81</v>
      </c>
    </row>
    <row r="573" spans="1:4" x14ac:dyDescent="0.25">
      <c r="A573">
        <v>5</v>
      </c>
      <c r="B573" s="20" t="s">
        <v>167</v>
      </c>
      <c r="C573" s="2">
        <v>44876.409722222219</v>
      </c>
      <c r="D573" s="20" t="s">
        <v>81</v>
      </c>
    </row>
    <row r="574" spans="1:4" x14ac:dyDescent="0.25">
      <c r="A574">
        <v>5</v>
      </c>
      <c r="B574" s="20" t="s">
        <v>167</v>
      </c>
      <c r="C574" s="2">
        <v>44876.420138888891</v>
      </c>
      <c r="D574" s="20" t="s">
        <v>81</v>
      </c>
    </row>
    <row r="575" spans="1:4" x14ac:dyDescent="0.25">
      <c r="A575">
        <v>5</v>
      </c>
      <c r="B575" s="20" t="s">
        <v>167</v>
      </c>
      <c r="C575" s="2">
        <v>44876.430555555555</v>
      </c>
      <c r="D575" s="20" t="s">
        <v>81</v>
      </c>
    </row>
    <row r="576" spans="1:4" x14ac:dyDescent="0.25">
      <c r="A576">
        <v>5</v>
      </c>
      <c r="B576" s="20" t="s">
        <v>167</v>
      </c>
      <c r="C576" s="2">
        <v>44876.440972222219</v>
      </c>
      <c r="D576" s="20" t="s">
        <v>81</v>
      </c>
    </row>
    <row r="577" spans="1:4" x14ac:dyDescent="0.25">
      <c r="A577">
        <v>5</v>
      </c>
      <c r="B577" s="20" t="s">
        <v>167</v>
      </c>
      <c r="C577" s="2">
        <v>44876.451388888891</v>
      </c>
      <c r="D577" s="20" t="s">
        <v>81</v>
      </c>
    </row>
    <row r="578" spans="1:4" x14ac:dyDescent="0.25">
      <c r="A578">
        <v>5</v>
      </c>
      <c r="B578" s="20" t="s">
        <v>167</v>
      </c>
      <c r="C578" s="2">
        <v>44876.78402777778</v>
      </c>
      <c r="D578" s="20" t="s">
        <v>81</v>
      </c>
    </row>
    <row r="579" spans="1:4" x14ac:dyDescent="0.25">
      <c r="A579">
        <v>5</v>
      </c>
      <c r="B579" s="20" t="s">
        <v>167</v>
      </c>
      <c r="C579" s="2">
        <v>44876.814583333333</v>
      </c>
      <c r="D579" s="20" t="s">
        <v>81</v>
      </c>
    </row>
    <row r="580" spans="1:4" x14ac:dyDescent="0.25">
      <c r="A580">
        <v>5</v>
      </c>
      <c r="B580" s="20" t="s">
        <v>167</v>
      </c>
      <c r="C580" s="2">
        <v>44876.84375</v>
      </c>
      <c r="D580" s="20" t="s">
        <v>81</v>
      </c>
    </row>
    <row r="581" spans="1:4" x14ac:dyDescent="0.25">
      <c r="A581">
        <v>5</v>
      </c>
      <c r="B581" s="20" t="s">
        <v>167</v>
      </c>
      <c r="C581" s="2">
        <v>44876.847222222219</v>
      </c>
      <c r="D581" s="20" t="s">
        <v>81</v>
      </c>
    </row>
    <row r="582" spans="1:4" x14ac:dyDescent="0.25">
      <c r="A582">
        <v>5</v>
      </c>
      <c r="B582" s="20" t="s">
        <v>167</v>
      </c>
      <c r="C582" s="2">
        <v>44876.850694444445</v>
      </c>
      <c r="D582" s="20" t="s">
        <v>81</v>
      </c>
    </row>
    <row r="583" spans="1:4" x14ac:dyDescent="0.25">
      <c r="A583">
        <v>5</v>
      </c>
      <c r="B583" s="20" t="s">
        <v>167</v>
      </c>
      <c r="C583" s="2">
        <v>44876.854166666664</v>
      </c>
      <c r="D583" s="20" t="s">
        <v>81</v>
      </c>
    </row>
    <row r="584" spans="1:4" x14ac:dyDescent="0.25">
      <c r="A584">
        <v>5</v>
      </c>
      <c r="B584" s="20" t="s">
        <v>167</v>
      </c>
      <c r="C584" s="2">
        <v>44876.857638888891</v>
      </c>
      <c r="D584" s="20" t="s">
        <v>81</v>
      </c>
    </row>
    <row r="585" spans="1:4" x14ac:dyDescent="0.25">
      <c r="A585">
        <v>5</v>
      </c>
      <c r="B585" s="20" t="s">
        <v>167</v>
      </c>
      <c r="C585" s="2">
        <v>44876.861111111109</v>
      </c>
      <c r="D585" s="20" t="s">
        <v>81</v>
      </c>
    </row>
    <row r="586" spans="1:4" x14ac:dyDescent="0.25">
      <c r="A586">
        <v>5</v>
      </c>
      <c r="B586" s="20" t="s">
        <v>96</v>
      </c>
      <c r="C586" s="2">
        <v>44877.284722222219</v>
      </c>
      <c r="D586" s="20" t="s">
        <v>81</v>
      </c>
    </row>
    <row r="587" spans="1:4" x14ac:dyDescent="0.25">
      <c r="A587">
        <v>24</v>
      </c>
      <c r="B587" s="20" t="s">
        <v>28</v>
      </c>
      <c r="C587" s="2">
        <v>44877.284722222219</v>
      </c>
      <c r="D587" s="20" t="s">
        <v>81</v>
      </c>
    </row>
    <row r="588" spans="1:4" x14ac:dyDescent="0.25">
      <c r="A588">
        <v>25</v>
      </c>
      <c r="B588" s="20" t="s">
        <v>41</v>
      </c>
      <c r="C588" s="2">
        <v>44877.284722222219</v>
      </c>
      <c r="D588" s="20" t="s">
        <v>81</v>
      </c>
    </row>
    <row r="589" spans="1:4" x14ac:dyDescent="0.25">
      <c r="A589">
        <v>26</v>
      </c>
      <c r="B589" s="20" t="s">
        <v>159</v>
      </c>
      <c r="C589" s="2">
        <v>44877.284722222219</v>
      </c>
      <c r="D589" s="20" t="s">
        <v>81</v>
      </c>
    </row>
    <row r="590" spans="1:4" x14ac:dyDescent="0.25">
      <c r="A590">
        <v>27</v>
      </c>
      <c r="B590" s="20" t="s">
        <v>60</v>
      </c>
      <c r="C590" s="2">
        <v>44877.284722222219</v>
      </c>
      <c r="D590" s="20" t="s">
        <v>81</v>
      </c>
    </row>
    <row r="591" spans="1:4" x14ac:dyDescent="0.25">
      <c r="A591">
        <v>28</v>
      </c>
      <c r="B591" s="20" t="s">
        <v>160</v>
      </c>
      <c r="C591" s="2">
        <v>44877.284722222219</v>
      </c>
      <c r="D591" s="20" t="s">
        <v>81</v>
      </c>
    </row>
    <row r="592" spans="1:4" x14ac:dyDescent="0.25">
      <c r="A592">
        <v>29</v>
      </c>
      <c r="B592" s="20" t="s">
        <v>161</v>
      </c>
      <c r="C592" s="2">
        <v>44877.284722222219</v>
      </c>
      <c r="D592" s="20" t="s">
        <v>81</v>
      </c>
    </row>
    <row r="593" spans="1:4" x14ac:dyDescent="0.25">
      <c r="A593">
        <v>30</v>
      </c>
      <c r="B593" s="20" t="s">
        <v>162</v>
      </c>
      <c r="C593" s="2">
        <v>44877.284722222219</v>
      </c>
      <c r="D593" s="20" t="s">
        <v>81</v>
      </c>
    </row>
    <row r="594" spans="1:4" x14ac:dyDescent="0.25">
      <c r="A594">
        <v>31</v>
      </c>
      <c r="B594" s="20" t="s">
        <v>163</v>
      </c>
      <c r="C594" s="2">
        <v>44877.284722222219</v>
      </c>
      <c r="D594" s="20" t="s">
        <v>81</v>
      </c>
    </row>
    <row r="595" spans="1:4" x14ac:dyDescent="0.25">
      <c r="A595">
        <v>5</v>
      </c>
      <c r="B595" s="20" t="s">
        <v>96</v>
      </c>
      <c r="C595" s="2">
        <v>44877.295138888891</v>
      </c>
      <c r="D595" s="20" t="s">
        <v>81</v>
      </c>
    </row>
    <row r="596" spans="1:4" x14ac:dyDescent="0.25">
      <c r="A596">
        <v>7</v>
      </c>
      <c r="B596" s="20" t="s">
        <v>59</v>
      </c>
      <c r="C596" s="2">
        <v>44877.295138888891</v>
      </c>
      <c r="D596" s="20" t="s">
        <v>81</v>
      </c>
    </row>
    <row r="597" spans="1:4" x14ac:dyDescent="0.25">
      <c r="A597">
        <v>9</v>
      </c>
      <c r="B597" s="20" t="s">
        <v>61</v>
      </c>
      <c r="C597" s="2">
        <v>44877.295138888891</v>
      </c>
      <c r="D597" s="20" t="s">
        <v>81</v>
      </c>
    </row>
    <row r="598" spans="1:4" x14ac:dyDescent="0.25">
      <c r="A598">
        <v>10</v>
      </c>
      <c r="B598" s="20" t="s">
        <v>62</v>
      </c>
      <c r="C598" s="2">
        <v>44877.295138888891</v>
      </c>
      <c r="D598" s="20" t="s">
        <v>81</v>
      </c>
    </row>
    <row r="599" spans="1:4" x14ac:dyDescent="0.25">
      <c r="A599">
        <v>11</v>
      </c>
      <c r="B599" s="20" t="s">
        <v>63</v>
      </c>
      <c r="C599" s="2">
        <v>44877.295138888891</v>
      </c>
      <c r="D599" s="20" t="s">
        <v>81</v>
      </c>
    </row>
    <row r="600" spans="1:4" x14ac:dyDescent="0.25">
      <c r="A600">
        <v>12</v>
      </c>
      <c r="B600" s="20" t="s">
        <v>64</v>
      </c>
      <c r="C600" s="2">
        <v>44877.295138888891</v>
      </c>
      <c r="D600" s="20" t="s">
        <v>81</v>
      </c>
    </row>
    <row r="601" spans="1:4" x14ac:dyDescent="0.25">
      <c r="A601">
        <v>13</v>
      </c>
      <c r="B601" s="20" t="s">
        <v>65</v>
      </c>
      <c r="C601" s="2">
        <v>44877.295138888891</v>
      </c>
      <c r="D601" s="20" t="s">
        <v>81</v>
      </c>
    </row>
    <row r="602" spans="1:4" x14ac:dyDescent="0.25">
      <c r="A602">
        <v>14</v>
      </c>
      <c r="B602" s="20" t="s">
        <v>66</v>
      </c>
      <c r="C602" s="2">
        <v>44877.295138888891</v>
      </c>
      <c r="D602" s="20" t="s">
        <v>81</v>
      </c>
    </row>
    <row r="603" spans="1:4" x14ac:dyDescent="0.25">
      <c r="A603">
        <v>15</v>
      </c>
      <c r="B603" s="20" t="s">
        <v>157</v>
      </c>
      <c r="C603" s="2">
        <v>44877.295138888891</v>
      </c>
      <c r="D603" s="20" t="s">
        <v>81</v>
      </c>
    </row>
    <row r="604" spans="1:4" x14ac:dyDescent="0.25">
      <c r="A604">
        <v>16</v>
      </c>
      <c r="B604" s="20" t="s">
        <v>68</v>
      </c>
      <c r="C604" s="2">
        <v>44877.295138888891</v>
      </c>
      <c r="D604" s="20" t="s">
        <v>81</v>
      </c>
    </row>
    <row r="605" spans="1:4" x14ac:dyDescent="0.25">
      <c r="A605">
        <v>32</v>
      </c>
      <c r="B605" s="20" t="s">
        <v>164</v>
      </c>
      <c r="C605" s="2">
        <v>44877.295138888891</v>
      </c>
      <c r="D605" s="20" t="s">
        <v>81</v>
      </c>
    </row>
    <row r="606" spans="1:4" x14ac:dyDescent="0.25">
      <c r="A606">
        <v>33</v>
      </c>
      <c r="B606" s="20" t="s">
        <v>165</v>
      </c>
      <c r="C606" s="2">
        <v>44877.295138888891</v>
      </c>
      <c r="D606" s="20" t="s">
        <v>81</v>
      </c>
    </row>
    <row r="607" spans="1:4" x14ac:dyDescent="0.25">
      <c r="A607">
        <v>34</v>
      </c>
      <c r="B607" s="20" t="s">
        <v>67</v>
      </c>
      <c r="C607" s="2">
        <v>44877.295138888891</v>
      </c>
      <c r="D607" s="20" t="s">
        <v>81</v>
      </c>
    </row>
    <row r="608" spans="1:4" x14ac:dyDescent="0.25">
      <c r="A608">
        <v>35</v>
      </c>
      <c r="B608" s="20" t="s">
        <v>166</v>
      </c>
      <c r="C608" s="2">
        <v>44877.295138888891</v>
      </c>
      <c r="D608" s="20" t="s">
        <v>81</v>
      </c>
    </row>
    <row r="609" spans="1:4" x14ac:dyDescent="0.25">
      <c r="A609">
        <v>3</v>
      </c>
      <c r="B609" s="20" t="s">
        <v>39</v>
      </c>
      <c r="C609" s="2">
        <v>44877.304166666669</v>
      </c>
      <c r="D609" s="20" t="s">
        <v>80</v>
      </c>
    </row>
    <row r="610" spans="1:4" x14ac:dyDescent="0.25">
      <c r="A610">
        <v>5</v>
      </c>
      <c r="B610" s="20" t="s">
        <v>96</v>
      </c>
      <c r="C610" s="2">
        <v>44877.304166666669</v>
      </c>
      <c r="D610" s="20" t="s">
        <v>80</v>
      </c>
    </row>
    <row r="611" spans="1:4" x14ac:dyDescent="0.25">
      <c r="A611">
        <v>17</v>
      </c>
      <c r="B611" s="20" t="s">
        <v>105</v>
      </c>
      <c r="C611" s="2">
        <v>44877.304166666669</v>
      </c>
      <c r="D611" s="20" t="s">
        <v>80</v>
      </c>
    </row>
    <row r="612" spans="1:4" x14ac:dyDescent="0.25">
      <c r="A612">
        <v>18</v>
      </c>
      <c r="B612" s="20" t="s">
        <v>106</v>
      </c>
      <c r="C612" s="2">
        <v>44877.304166666669</v>
      </c>
      <c r="D612" s="20" t="s">
        <v>80</v>
      </c>
    </row>
    <row r="613" spans="1:4" x14ac:dyDescent="0.25">
      <c r="A613">
        <v>19</v>
      </c>
      <c r="B613" s="20" t="s">
        <v>107</v>
      </c>
      <c r="C613" s="2">
        <v>44877.304166666669</v>
      </c>
      <c r="D613" s="20" t="s">
        <v>80</v>
      </c>
    </row>
    <row r="614" spans="1:4" x14ac:dyDescent="0.25">
      <c r="A614">
        <v>20</v>
      </c>
      <c r="B614" s="20" t="s">
        <v>108</v>
      </c>
      <c r="C614" s="2">
        <v>44877.304166666669</v>
      </c>
      <c r="D614" s="20" t="s">
        <v>80</v>
      </c>
    </row>
    <row r="615" spans="1:4" x14ac:dyDescent="0.25">
      <c r="A615">
        <v>21</v>
      </c>
      <c r="B615" s="20" t="s">
        <v>109</v>
      </c>
      <c r="C615" s="2">
        <v>44877.304166666669</v>
      </c>
      <c r="D615" s="20" t="s">
        <v>80</v>
      </c>
    </row>
    <row r="616" spans="1:4" x14ac:dyDescent="0.25">
      <c r="A616">
        <v>22</v>
      </c>
      <c r="B616" s="20" t="s">
        <v>110</v>
      </c>
      <c r="C616" s="2">
        <v>44877.304166666669</v>
      </c>
      <c r="D616" s="20" t="s">
        <v>80</v>
      </c>
    </row>
    <row r="617" spans="1:4" x14ac:dyDescent="0.25">
      <c r="A617">
        <v>23</v>
      </c>
      <c r="B617" s="20" t="s">
        <v>111</v>
      </c>
      <c r="C617" s="2">
        <v>44877.304166666669</v>
      </c>
      <c r="D617" s="20" t="s">
        <v>80</v>
      </c>
    </row>
    <row r="618" spans="1:4" x14ac:dyDescent="0.25">
      <c r="A618">
        <v>5</v>
      </c>
      <c r="B618" s="20" t="s">
        <v>96</v>
      </c>
      <c r="C618" s="2">
        <v>44877.305555555555</v>
      </c>
      <c r="D618" s="20" t="s">
        <v>81</v>
      </c>
    </row>
    <row r="619" spans="1:4" x14ac:dyDescent="0.25">
      <c r="A619">
        <v>5</v>
      </c>
      <c r="B619" s="20" t="s">
        <v>96</v>
      </c>
      <c r="C619" s="2">
        <v>44877.305555555555</v>
      </c>
      <c r="D619" s="20" t="s">
        <v>80</v>
      </c>
    </row>
    <row r="620" spans="1:4" x14ac:dyDescent="0.25">
      <c r="A620">
        <v>5</v>
      </c>
      <c r="B620" s="20" t="s">
        <v>96</v>
      </c>
      <c r="C620" s="2">
        <v>44877.315972222219</v>
      </c>
      <c r="D620" s="20" t="s">
        <v>81</v>
      </c>
    </row>
    <row r="621" spans="1:4" x14ac:dyDescent="0.25">
      <c r="A621">
        <v>5</v>
      </c>
      <c r="B621" s="20" t="s">
        <v>96</v>
      </c>
      <c r="C621" s="2">
        <v>44877.365972222222</v>
      </c>
      <c r="D621" s="20" t="s">
        <v>81</v>
      </c>
    </row>
    <row r="622" spans="1:4" x14ac:dyDescent="0.25">
      <c r="A622">
        <v>1</v>
      </c>
      <c r="B622" s="20" t="s">
        <v>6</v>
      </c>
      <c r="C622" s="2">
        <v>44877.368055555555</v>
      </c>
      <c r="D622" s="20" t="s">
        <v>81</v>
      </c>
    </row>
    <row r="623" spans="1:4" x14ac:dyDescent="0.25">
      <c r="A623">
        <v>5</v>
      </c>
      <c r="B623" s="20" t="s">
        <v>167</v>
      </c>
      <c r="C623" s="2">
        <v>44877.368055555555</v>
      </c>
      <c r="D623" s="20" t="s">
        <v>81</v>
      </c>
    </row>
    <row r="624" spans="1:4" x14ac:dyDescent="0.25">
      <c r="A624">
        <v>5</v>
      </c>
      <c r="B624" s="20" t="s">
        <v>167</v>
      </c>
      <c r="C624" s="2">
        <v>44877.378472222219</v>
      </c>
      <c r="D624" s="20" t="s">
        <v>81</v>
      </c>
    </row>
    <row r="625" spans="1:4" x14ac:dyDescent="0.25">
      <c r="A625">
        <v>5</v>
      </c>
      <c r="B625" s="20" t="s">
        <v>167</v>
      </c>
      <c r="C625" s="2">
        <v>44877.388888888891</v>
      </c>
      <c r="D625" s="20" t="s">
        <v>81</v>
      </c>
    </row>
    <row r="626" spans="1:4" x14ac:dyDescent="0.25">
      <c r="A626">
        <v>5</v>
      </c>
      <c r="B626" s="20" t="s">
        <v>167</v>
      </c>
      <c r="C626" s="2">
        <v>44877.399305555555</v>
      </c>
      <c r="D626" s="20" t="s">
        <v>81</v>
      </c>
    </row>
    <row r="627" spans="1:4" x14ac:dyDescent="0.25">
      <c r="A627">
        <v>5</v>
      </c>
      <c r="B627" s="20" t="s">
        <v>167</v>
      </c>
      <c r="C627" s="2">
        <v>44877.409722222219</v>
      </c>
      <c r="D627" s="20" t="s">
        <v>81</v>
      </c>
    </row>
    <row r="628" spans="1:4" x14ac:dyDescent="0.25">
      <c r="A628">
        <v>5</v>
      </c>
      <c r="B628" s="20" t="s">
        <v>167</v>
      </c>
      <c r="C628" s="2">
        <v>44877.420138888891</v>
      </c>
      <c r="D628" s="20" t="s">
        <v>81</v>
      </c>
    </row>
    <row r="629" spans="1:4" x14ac:dyDescent="0.25">
      <c r="A629">
        <v>5</v>
      </c>
      <c r="B629" s="20" t="s">
        <v>167</v>
      </c>
      <c r="C629" s="2">
        <v>44877.430555555555</v>
      </c>
      <c r="D629" s="20" t="s">
        <v>81</v>
      </c>
    </row>
    <row r="630" spans="1:4" x14ac:dyDescent="0.25">
      <c r="A630">
        <v>5</v>
      </c>
      <c r="B630" s="20" t="s">
        <v>167</v>
      </c>
      <c r="C630" s="2">
        <v>44877.440972222219</v>
      </c>
      <c r="D630" s="20" t="s">
        <v>81</v>
      </c>
    </row>
    <row r="631" spans="1:4" x14ac:dyDescent="0.25">
      <c r="A631">
        <v>5</v>
      </c>
      <c r="B631" s="20" t="s">
        <v>167</v>
      </c>
      <c r="C631" s="2">
        <v>44877.451388888891</v>
      </c>
      <c r="D631" s="20" t="s">
        <v>81</v>
      </c>
    </row>
    <row r="632" spans="1:4" x14ac:dyDescent="0.25">
      <c r="A632">
        <v>5</v>
      </c>
      <c r="B632" s="20" t="s">
        <v>167</v>
      </c>
      <c r="C632" s="2">
        <v>44877.84375</v>
      </c>
      <c r="D632" s="20" t="s">
        <v>81</v>
      </c>
    </row>
    <row r="633" spans="1:4" x14ac:dyDescent="0.25">
      <c r="A633">
        <v>5</v>
      </c>
      <c r="B633" s="20" t="s">
        <v>167</v>
      </c>
      <c r="C633" s="2">
        <v>44877.847222222219</v>
      </c>
      <c r="D633" s="20" t="s">
        <v>81</v>
      </c>
    </row>
    <row r="634" spans="1:4" x14ac:dyDescent="0.25">
      <c r="A634">
        <v>5</v>
      </c>
      <c r="B634" s="20" t="s">
        <v>167</v>
      </c>
      <c r="C634" s="2">
        <v>44877.850694444445</v>
      </c>
      <c r="D634" s="20" t="s">
        <v>81</v>
      </c>
    </row>
    <row r="635" spans="1:4" x14ac:dyDescent="0.25">
      <c r="A635">
        <v>5</v>
      </c>
      <c r="B635" s="20" t="s">
        <v>167</v>
      </c>
      <c r="C635" s="2">
        <v>44877.854166666664</v>
      </c>
      <c r="D635" s="20" t="s">
        <v>81</v>
      </c>
    </row>
    <row r="636" spans="1:4" x14ac:dyDescent="0.25">
      <c r="A636">
        <v>5</v>
      </c>
      <c r="B636" s="20" t="s">
        <v>167</v>
      </c>
      <c r="C636" s="2">
        <v>44877.857638888891</v>
      </c>
      <c r="D636" s="20" t="s">
        <v>81</v>
      </c>
    </row>
    <row r="637" spans="1:4" x14ac:dyDescent="0.25">
      <c r="A637">
        <v>5</v>
      </c>
      <c r="B637" s="20" t="s">
        <v>167</v>
      </c>
      <c r="C637" s="2">
        <v>44877.862500000003</v>
      </c>
      <c r="D637" s="20" t="s">
        <v>81</v>
      </c>
    </row>
    <row r="638" spans="1:4" x14ac:dyDescent="0.25">
      <c r="A638">
        <v>5</v>
      </c>
      <c r="B638" s="20" t="s">
        <v>96</v>
      </c>
      <c r="C638" s="2">
        <v>44878.284722222219</v>
      </c>
      <c r="D638" s="20" t="s">
        <v>81</v>
      </c>
    </row>
    <row r="639" spans="1:4" x14ac:dyDescent="0.25">
      <c r="A639">
        <v>26</v>
      </c>
      <c r="B639" s="20" t="s">
        <v>159</v>
      </c>
      <c r="C639" s="2">
        <v>44878.284722222219</v>
      </c>
      <c r="D639" s="20" t="s">
        <v>81</v>
      </c>
    </row>
    <row r="640" spans="1:4" x14ac:dyDescent="0.25">
      <c r="A640">
        <v>27</v>
      </c>
      <c r="B640" s="20" t="s">
        <v>60</v>
      </c>
      <c r="C640" s="2">
        <v>44878.284722222219</v>
      </c>
      <c r="D640" s="20" t="s">
        <v>81</v>
      </c>
    </row>
    <row r="641" spans="1:4" x14ac:dyDescent="0.25">
      <c r="A641">
        <v>28</v>
      </c>
      <c r="B641" s="20" t="s">
        <v>160</v>
      </c>
      <c r="C641" s="2">
        <v>44878.284722222219</v>
      </c>
      <c r="D641" s="20" t="s">
        <v>81</v>
      </c>
    </row>
    <row r="642" spans="1:4" x14ac:dyDescent="0.25">
      <c r="A642">
        <v>29</v>
      </c>
      <c r="B642" s="20" t="s">
        <v>161</v>
      </c>
      <c r="C642" s="2">
        <v>44878.284722222219</v>
      </c>
      <c r="D642" s="20" t="s">
        <v>81</v>
      </c>
    </row>
    <row r="643" spans="1:4" x14ac:dyDescent="0.25">
      <c r="A643">
        <v>30</v>
      </c>
      <c r="B643" s="20" t="s">
        <v>162</v>
      </c>
      <c r="C643" s="2">
        <v>44878.284722222219</v>
      </c>
      <c r="D643" s="20" t="s">
        <v>81</v>
      </c>
    </row>
    <row r="644" spans="1:4" x14ac:dyDescent="0.25">
      <c r="A644">
        <v>31</v>
      </c>
      <c r="B644" s="20" t="s">
        <v>163</v>
      </c>
      <c r="C644" s="2">
        <v>44878.284722222219</v>
      </c>
      <c r="D644" s="20" t="s">
        <v>81</v>
      </c>
    </row>
    <row r="645" spans="1:4" x14ac:dyDescent="0.25">
      <c r="A645">
        <v>5</v>
      </c>
      <c r="B645" s="20" t="s">
        <v>96</v>
      </c>
      <c r="C645" s="2">
        <v>44878.295138888891</v>
      </c>
      <c r="D645" s="20" t="s">
        <v>81</v>
      </c>
    </row>
    <row r="646" spans="1:4" x14ac:dyDescent="0.25">
      <c r="A646">
        <v>7</v>
      </c>
      <c r="B646" s="20" t="s">
        <v>59</v>
      </c>
      <c r="C646" s="2">
        <v>44878.295138888891</v>
      </c>
      <c r="D646" s="20" t="s">
        <v>81</v>
      </c>
    </row>
    <row r="647" spans="1:4" x14ac:dyDescent="0.25">
      <c r="A647">
        <v>9</v>
      </c>
      <c r="B647" s="20" t="s">
        <v>61</v>
      </c>
      <c r="C647" s="2">
        <v>44878.295138888891</v>
      </c>
      <c r="D647" s="20" t="s">
        <v>81</v>
      </c>
    </row>
    <row r="648" spans="1:4" x14ac:dyDescent="0.25">
      <c r="A648">
        <v>10</v>
      </c>
      <c r="B648" s="20" t="s">
        <v>62</v>
      </c>
      <c r="C648" s="2">
        <v>44878.295138888891</v>
      </c>
      <c r="D648" s="20" t="s">
        <v>81</v>
      </c>
    </row>
    <row r="649" spans="1:4" x14ac:dyDescent="0.25">
      <c r="A649">
        <v>11</v>
      </c>
      <c r="B649" s="20" t="s">
        <v>63</v>
      </c>
      <c r="C649" s="2">
        <v>44878.295138888891</v>
      </c>
      <c r="D649" s="20" t="s">
        <v>81</v>
      </c>
    </row>
    <row r="650" spans="1:4" x14ac:dyDescent="0.25">
      <c r="A650">
        <v>12</v>
      </c>
      <c r="B650" s="20" t="s">
        <v>64</v>
      </c>
      <c r="C650" s="2">
        <v>44878.295138888891</v>
      </c>
      <c r="D650" s="20" t="s">
        <v>81</v>
      </c>
    </row>
    <row r="651" spans="1:4" x14ac:dyDescent="0.25">
      <c r="A651">
        <v>13</v>
      </c>
      <c r="B651" s="20" t="s">
        <v>65</v>
      </c>
      <c r="C651" s="2">
        <v>44878.295138888891</v>
      </c>
      <c r="D651" s="20" t="s">
        <v>81</v>
      </c>
    </row>
    <row r="652" spans="1:4" x14ac:dyDescent="0.25">
      <c r="A652">
        <v>14</v>
      </c>
      <c r="B652" s="20" t="s">
        <v>66</v>
      </c>
      <c r="C652" s="2">
        <v>44878.295138888891</v>
      </c>
      <c r="D652" s="20" t="s">
        <v>81</v>
      </c>
    </row>
    <row r="653" spans="1:4" x14ac:dyDescent="0.25">
      <c r="A653">
        <v>15</v>
      </c>
      <c r="B653" s="20" t="s">
        <v>157</v>
      </c>
      <c r="C653" s="2">
        <v>44878.295138888891</v>
      </c>
      <c r="D653" s="20" t="s">
        <v>81</v>
      </c>
    </row>
    <row r="654" spans="1:4" x14ac:dyDescent="0.25">
      <c r="A654">
        <v>16</v>
      </c>
      <c r="B654" s="20" t="s">
        <v>68</v>
      </c>
      <c r="C654" s="2">
        <v>44878.295138888891</v>
      </c>
      <c r="D654" s="20" t="s">
        <v>81</v>
      </c>
    </row>
    <row r="655" spans="1:4" x14ac:dyDescent="0.25">
      <c r="A655">
        <v>32</v>
      </c>
      <c r="B655" s="20" t="s">
        <v>164</v>
      </c>
      <c r="C655" s="2">
        <v>44878.295138888891</v>
      </c>
      <c r="D655" s="20" t="s">
        <v>81</v>
      </c>
    </row>
    <row r="656" spans="1:4" x14ac:dyDescent="0.25">
      <c r="A656">
        <v>33</v>
      </c>
      <c r="B656" s="20" t="s">
        <v>165</v>
      </c>
      <c r="C656" s="2">
        <v>44878.295138888891</v>
      </c>
      <c r="D656" s="20" t="s">
        <v>81</v>
      </c>
    </row>
    <row r="657" spans="1:4" x14ac:dyDescent="0.25">
      <c r="A657">
        <v>35</v>
      </c>
      <c r="B657" s="20" t="s">
        <v>166</v>
      </c>
      <c r="C657" s="2">
        <v>44878.295138888891</v>
      </c>
      <c r="D657" s="20" t="s">
        <v>81</v>
      </c>
    </row>
    <row r="658" spans="1:4" x14ac:dyDescent="0.25">
      <c r="A658">
        <v>3</v>
      </c>
      <c r="B658" s="20" t="s">
        <v>39</v>
      </c>
      <c r="C658" s="2">
        <v>44878.303472222222</v>
      </c>
      <c r="D658" s="20" t="s">
        <v>80</v>
      </c>
    </row>
    <row r="659" spans="1:4" x14ac:dyDescent="0.25">
      <c r="A659">
        <v>5</v>
      </c>
      <c r="B659" s="20" t="s">
        <v>96</v>
      </c>
      <c r="C659" s="2">
        <v>44878.303472222222</v>
      </c>
      <c r="D659" s="20" t="s">
        <v>80</v>
      </c>
    </row>
    <row r="660" spans="1:4" x14ac:dyDescent="0.25">
      <c r="A660">
        <v>17</v>
      </c>
      <c r="B660" s="20" t="s">
        <v>105</v>
      </c>
      <c r="C660" s="2">
        <v>44878.303472222222</v>
      </c>
      <c r="D660" s="20" t="s">
        <v>80</v>
      </c>
    </row>
    <row r="661" spans="1:4" x14ac:dyDescent="0.25">
      <c r="A661">
        <v>18</v>
      </c>
      <c r="B661" s="20" t="s">
        <v>106</v>
      </c>
      <c r="C661" s="2">
        <v>44878.303472222222</v>
      </c>
      <c r="D661" s="20" t="s">
        <v>80</v>
      </c>
    </row>
    <row r="662" spans="1:4" x14ac:dyDescent="0.25">
      <c r="A662">
        <v>19</v>
      </c>
      <c r="B662" s="20" t="s">
        <v>107</v>
      </c>
      <c r="C662" s="2">
        <v>44878.303472222222</v>
      </c>
      <c r="D662" s="20" t="s">
        <v>80</v>
      </c>
    </row>
    <row r="663" spans="1:4" x14ac:dyDescent="0.25">
      <c r="A663">
        <v>20</v>
      </c>
      <c r="B663" s="20" t="s">
        <v>108</v>
      </c>
      <c r="C663" s="2">
        <v>44878.303472222222</v>
      </c>
      <c r="D663" s="20" t="s">
        <v>80</v>
      </c>
    </row>
    <row r="664" spans="1:4" x14ac:dyDescent="0.25">
      <c r="A664">
        <v>21</v>
      </c>
      <c r="B664" s="20" t="s">
        <v>109</v>
      </c>
      <c r="C664" s="2">
        <v>44878.303472222222</v>
      </c>
      <c r="D664" s="20" t="s">
        <v>80</v>
      </c>
    </row>
    <row r="665" spans="1:4" x14ac:dyDescent="0.25">
      <c r="A665">
        <v>22</v>
      </c>
      <c r="B665" s="20" t="s">
        <v>110</v>
      </c>
      <c r="C665" s="2">
        <v>44878.303472222222</v>
      </c>
      <c r="D665" s="20" t="s">
        <v>80</v>
      </c>
    </row>
    <row r="666" spans="1:4" x14ac:dyDescent="0.25">
      <c r="A666">
        <v>23</v>
      </c>
      <c r="B666" s="20" t="s">
        <v>111</v>
      </c>
      <c r="C666" s="2">
        <v>44878.303472222222</v>
      </c>
      <c r="D666" s="20" t="s">
        <v>80</v>
      </c>
    </row>
    <row r="667" spans="1:4" x14ac:dyDescent="0.25">
      <c r="A667">
        <v>5</v>
      </c>
      <c r="B667" s="20" t="s">
        <v>96</v>
      </c>
      <c r="C667" s="2">
        <v>44878.305555555555</v>
      </c>
      <c r="D667" s="20" t="s">
        <v>81</v>
      </c>
    </row>
    <row r="668" spans="1:4" x14ac:dyDescent="0.25">
      <c r="A668">
        <v>5</v>
      </c>
      <c r="B668" s="20" t="s">
        <v>96</v>
      </c>
      <c r="C668" s="2">
        <v>44878.305555555555</v>
      </c>
      <c r="D668" s="20" t="s">
        <v>80</v>
      </c>
    </row>
    <row r="669" spans="1:4" x14ac:dyDescent="0.25">
      <c r="A669">
        <v>5</v>
      </c>
      <c r="B669" s="20" t="s">
        <v>96</v>
      </c>
      <c r="C669" s="2">
        <v>44878.315972222219</v>
      </c>
      <c r="D669" s="20" t="s">
        <v>81</v>
      </c>
    </row>
    <row r="670" spans="1:4" x14ac:dyDescent="0.25">
      <c r="A670">
        <v>24</v>
      </c>
      <c r="B670" s="20" t="s">
        <v>28</v>
      </c>
      <c r="C670" s="2">
        <v>44878.315972222219</v>
      </c>
      <c r="D670" s="20" t="s">
        <v>81</v>
      </c>
    </row>
    <row r="671" spans="1:4" x14ac:dyDescent="0.25">
      <c r="A671">
        <v>25</v>
      </c>
      <c r="B671" s="20" t="s">
        <v>41</v>
      </c>
      <c r="C671" s="2">
        <v>44878.315972222219</v>
      </c>
      <c r="D671" s="20" t="s">
        <v>81</v>
      </c>
    </row>
    <row r="672" spans="1:4" x14ac:dyDescent="0.25">
      <c r="A672">
        <v>34</v>
      </c>
      <c r="B672" s="20" t="s">
        <v>67</v>
      </c>
      <c r="C672" s="2">
        <v>44878.315972222219</v>
      </c>
      <c r="D672" s="20" t="s">
        <v>81</v>
      </c>
    </row>
    <row r="673" spans="1:4" x14ac:dyDescent="0.25">
      <c r="A673">
        <v>5</v>
      </c>
      <c r="B673" s="20" t="s">
        <v>96</v>
      </c>
      <c r="C673" s="2">
        <v>44878.326388888891</v>
      </c>
      <c r="D673" s="20" t="s">
        <v>81</v>
      </c>
    </row>
    <row r="674" spans="1:4" x14ac:dyDescent="0.25">
      <c r="A674">
        <v>5</v>
      </c>
      <c r="B674" s="20" t="s">
        <v>96</v>
      </c>
      <c r="C674" s="2">
        <v>44878.336805555555</v>
      </c>
      <c r="D674" s="20" t="s">
        <v>81</v>
      </c>
    </row>
    <row r="675" spans="1:4" x14ac:dyDescent="0.25">
      <c r="A675">
        <v>5</v>
      </c>
      <c r="B675" s="20" t="s">
        <v>96</v>
      </c>
      <c r="C675" s="2">
        <v>44879.284722222219</v>
      </c>
      <c r="D675" s="20" t="s">
        <v>81</v>
      </c>
    </row>
    <row r="676" spans="1:4" x14ac:dyDescent="0.25">
      <c r="A676">
        <v>24</v>
      </c>
      <c r="B676" s="20" t="s">
        <v>28</v>
      </c>
      <c r="C676" s="2">
        <v>44879.284722222219</v>
      </c>
      <c r="D676" s="20" t="s">
        <v>81</v>
      </c>
    </row>
    <row r="677" spans="1:4" x14ac:dyDescent="0.25">
      <c r="A677">
        <v>26</v>
      </c>
      <c r="B677" s="20" t="s">
        <v>159</v>
      </c>
      <c r="C677" s="2">
        <v>44879.284722222219</v>
      </c>
      <c r="D677" s="20" t="s">
        <v>81</v>
      </c>
    </row>
    <row r="678" spans="1:4" x14ac:dyDescent="0.25">
      <c r="A678">
        <v>27</v>
      </c>
      <c r="B678" s="20" t="s">
        <v>60</v>
      </c>
      <c r="C678" s="2">
        <v>44879.284722222219</v>
      </c>
      <c r="D678" s="20" t="s">
        <v>81</v>
      </c>
    </row>
    <row r="679" spans="1:4" x14ac:dyDescent="0.25">
      <c r="A679">
        <v>29</v>
      </c>
      <c r="B679" s="20" t="s">
        <v>161</v>
      </c>
      <c r="C679" s="2">
        <v>44879.284722222219</v>
      </c>
      <c r="D679" s="20" t="s">
        <v>81</v>
      </c>
    </row>
    <row r="680" spans="1:4" x14ac:dyDescent="0.25">
      <c r="A680">
        <v>5</v>
      </c>
      <c r="B680" s="20" t="s">
        <v>96</v>
      </c>
      <c r="C680" s="2">
        <v>44879.295138888891</v>
      </c>
      <c r="D680" s="20" t="s">
        <v>81</v>
      </c>
    </row>
    <row r="681" spans="1:4" x14ac:dyDescent="0.25">
      <c r="A681">
        <v>7</v>
      </c>
      <c r="B681" s="20" t="s">
        <v>59</v>
      </c>
      <c r="C681" s="2">
        <v>44879.295138888891</v>
      </c>
      <c r="D681" s="20" t="s">
        <v>81</v>
      </c>
    </row>
    <row r="682" spans="1:4" x14ac:dyDescent="0.25">
      <c r="A682">
        <v>9</v>
      </c>
      <c r="B682" s="20" t="s">
        <v>61</v>
      </c>
      <c r="C682" s="2">
        <v>44879.295138888891</v>
      </c>
      <c r="D682" s="20" t="s">
        <v>81</v>
      </c>
    </row>
    <row r="683" spans="1:4" x14ac:dyDescent="0.25">
      <c r="A683">
        <v>10</v>
      </c>
      <c r="B683" s="20" t="s">
        <v>62</v>
      </c>
      <c r="C683" s="2">
        <v>44879.295138888891</v>
      </c>
      <c r="D683" s="20" t="s">
        <v>81</v>
      </c>
    </row>
    <row r="684" spans="1:4" x14ac:dyDescent="0.25">
      <c r="A684">
        <v>11</v>
      </c>
      <c r="B684" s="20" t="s">
        <v>63</v>
      </c>
      <c r="C684" s="2">
        <v>44879.295138888891</v>
      </c>
      <c r="D684" s="20" t="s">
        <v>81</v>
      </c>
    </row>
    <row r="685" spans="1:4" x14ac:dyDescent="0.25">
      <c r="A685">
        <v>12</v>
      </c>
      <c r="B685" s="20" t="s">
        <v>64</v>
      </c>
      <c r="C685" s="2">
        <v>44879.295138888891</v>
      </c>
      <c r="D685" s="20" t="s">
        <v>81</v>
      </c>
    </row>
    <row r="686" spans="1:4" x14ac:dyDescent="0.25">
      <c r="A686">
        <v>13</v>
      </c>
      <c r="B686" s="20" t="s">
        <v>65</v>
      </c>
      <c r="C686" s="2">
        <v>44879.295138888891</v>
      </c>
      <c r="D686" s="20" t="s">
        <v>81</v>
      </c>
    </row>
    <row r="687" spans="1:4" x14ac:dyDescent="0.25">
      <c r="A687">
        <v>14</v>
      </c>
      <c r="B687" s="20" t="s">
        <v>66</v>
      </c>
      <c r="C687" s="2">
        <v>44879.295138888891</v>
      </c>
      <c r="D687" s="20" t="s">
        <v>81</v>
      </c>
    </row>
    <row r="688" spans="1:4" x14ac:dyDescent="0.25">
      <c r="A688">
        <v>15</v>
      </c>
      <c r="B688" s="20" t="s">
        <v>157</v>
      </c>
      <c r="C688" s="2">
        <v>44879.295138888891</v>
      </c>
      <c r="D688" s="20" t="s">
        <v>81</v>
      </c>
    </row>
    <row r="689" spans="1:4" x14ac:dyDescent="0.25">
      <c r="A689">
        <v>16</v>
      </c>
      <c r="B689" s="20" t="s">
        <v>68</v>
      </c>
      <c r="C689" s="2">
        <v>44879.295138888891</v>
      </c>
      <c r="D689" s="20" t="s">
        <v>81</v>
      </c>
    </row>
    <row r="690" spans="1:4" x14ac:dyDescent="0.25">
      <c r="A690">
        <v>30</v>
      </c>
      <c r="B690" s="20" t="s">
        <v>162</v>
      </c>
      <c r="C690" s="2">
        <v>44879.295138888891</v>
      </c>
      <c r="D690" s="20" t="s">
        <v>81</v>
      </c>
    </row>
    <row r="691" spans="1:4" x14ac:dyDescent="0.25">
      <c r="A691">
        <v>32</v>
      </c>
      <c r="B691" s="20" t="s">
        <v>164</v>
      </c>
      <c r="C691" s="2">
        <v>44879.295138888891</v>
      </c>
      <c r="D691" s="20" t="s">
        <v>81</v>
      </c>
    </row>
    <row r="692" spans="1:4" x14ac:dyDescent="0.25">
      <c r="A692">
        <v>33</v>
      </c>
      <c r="B692" s="20" t="s">
        <v>165</v>
      </c>
      <c r="C692" s="2">
        <v>44879.295138888891</v>
      </c>
      <c r="D692" s="20" t="s">
        <v>81</v>
      </c>
    </row>
    <row r="693" spans="1:4" x14ac:dyDescent="0.25">
      <c r="A693">
        <v>34</v>
      </c>
      <c r="B693" s="20" t="s">
        <v>67</v>
      </c>
      <c r="C693" s="2">
        <v>44879.295138888891</v>
      </c>
      <c r="D693" s="20" t="s">
        <v>81</v>
      </c>
    </row>
    <row r="694" spans="1:4" x14ac:dyDescent="0.25">
      <c r="A694">
        <v>35</v>
      </c>
      <c r="B694" s="20" t="s">
        <v>166</v>
      </c>
      <c r="C694" s="2">
        <v>44879.295138888891</v>
      </c>
      <c r="D694" s="20" t="s">
        <v>81</v>
      </c>
    </row>
    <row r="695" spans="1:4" x14ac:dyDescent="0.25">
      <c r="A695">
        <v>3</v>
      </c>
      <c r="B695" s="20" t="s">
        <v>39</v>
      </c>
      <c r="C695" s="2">
        <v>44879.303472222222</v>
      </c>
      <c r="D695" s="20" t="s">
        <v>80</v>
      </c>
    </row>
    <row r="696" spans="1:4" x14ac:dyDescent="0.25">
      <c r="A696">
        <v>5</v>
      </c>
      <c r="B696" s="20" t="s">
        <v>96</v>
      </c>
      <c r="C696" s="2">
        <v>44879.303472222222</v>
      </c>
      <c r="D696" s="20" t="s">
        <v>80</v>
      </c>
    </row>
    <row r="697" spans="1:4" x14ac:dyDescent="0.25">
      <c r="A697">
        <v>17</v>
      </c>
      <c r="B697" s="20" t="s">
        <v>105</v>
      </c>
      <c r="C697" s="2">
        <v>44879.303472222222</v>
      </c>
      <c r="D697" s="20" t="s">
        <v>80</v>
      </c>
    </row>
    <row r="698" spans="1:4" x14ac:dyDescent="0.25">
      <c r="A698">
        <v>18</v>
      </c>
      <c r="B698" s="20" t="s">
        <v>106</v>
      </c>
      <c r="C698" s="2">
        <v>44879.303472222222</v>
      </c>
      <c r="D698" s="20" t="s">
        <v>80</v>
      </c>
    </row>
    <row r="699" spans="1:4" x14ac:dyDescent="0.25">
      <c r="A699">
        <v>19</v>
      </c>
      <c r="B699" s="20" t="s">
        <v>107</v>
      </c>
      <c r="C699" s="2">
        <v>44879.303472222222</v>
      </c>
      <c r="D699" s="20" t="s">
        <v>80</v>
      </c>
    </row>
    <row r="700" spans="1:4" x14ac:dyDescent="0.25">
      <c r="A700">
        <v>20</v>
      </c>
      <c r="B700" s="20" t="s">
        <v>108</v>
      </c>
      <c r="C700" s="2">
        <v>44879.303472222222</v>
      </c>
      <c r="D700" s="20" t="s">
        <v>80</v>
      </c>
    </row>
    <row r="701" spans="1:4" x14ac:dyDescent="0.25">
      <c r="A701">
        <v>21</v>
      </c>
      <c r="B701" s="20" t="s">
        <v>109</v>
      </c>
      <c r="C701" s="2">
        <v>44879.303472222222</v>
      </c>
      <c r="D701" s="20" t="s">
        <v>80</v>
      </c>
    </row>
    <row r="702" spans="1:4" x14ac:dyDescent="0.25">
      <c r="A702">
        <v>22</v>
      </c>
      <c r="B702" s="20" t="s">
        <v>110</v>
      </c>
      <c r="C702" s="2">
        <v>44879.303472222222</v>
      </c>
      <c r="D702" s="20" t="s">
        <v>80</v>
      </c>
    </row>
    <row r="703" spans="1:4" x14ac:dyDescent="0.25">
      <c r="A703">
        <v>23</v>
      </c>
      <c r="B703" s="20" t="s">
        <v>111</v>
      </c>
      <c r="C703" s="2">
        <v>44879.303472222222</v>
      </c>
      <c r="D703" s="20" t="s">
        <v>80</v>
      </c>
    </row>
    <row r="704" spans="1:4" x14ac:dyDescent="0.25">
      <c r="A704">
        <v>5</v>
      </c>
      <c r="B704" s="20" t="s">
        <v>96</v>
      </c>
      <c r="C704" s="2">
        <v>44879.305555555555</v>
      </c>
      <c r="D704" s="20" t="s">
        <v>81</v>
      </c>
    </row>
    <row r="705" spans="1:4" x14ac:dyDescent="0.25">
      <c r="A705">
        <v>5</v>
      </c>
      <c r="B705" s="20" t="s">
        <v>96</v>
      </c>
      <c r="C705" s="2">
        <v>44879.305555555555</v>
      </c>
      <c r="D705" s="20" t="s">
        <v>80</v>
      </c>
    </row>
    <row r="706" spans="1:4" x14ac:dyDescent="0.25">
      <c r="A706">
        <v>5</v>
      </c>
      <c r="B706" s="20" t="s">
        <v>96</v>
      </c>
      <c r="C706" s="2">
        <v>44879.315972222219</v>
      </c>
      <c r="D706" s="20" t="s">
        <v>81</v>
      </c>
    </row>
    <row r="707" spans="1:4" x14ac:dyDescent="0.25">
      <c r="A707">
        <v>25</v>
      </c>
      <c r="B707" s="20" t="s">
        <v>41</v>
      </c>
      <c r="C707" s="2">
        <v>44879.315972222219</v>
      </c>
      <c r="D707" s="20" t="s">
        <v>81</v>
      </c>
    </row>
    <row r="708" spans="1:4" x14ac:dyDescent="0.25">
      <c r="A708">
        <v>28</v>
      </c>
      <c r="B708" s="20" t="s">
        <v>160</v>
      </c>
      <c r="C708" s="2">
        <v>44879.315972222219</v>
      </c>
      <c r="D708" s="20" t="s">
        <v>81</v>
      </c>
    </row>
    <row r="709" spans="1:4" x14ac:dyDescent="0.25">
      <c r="A709">
        <v>31</v>
      </c>
      <c r="B709" s="20" t="s">
        <v>163</v>
      </c>
      <c r="C709" s="2">
        <v>44879.315972222219</v>
      </c>
      <c r="D709" s="20" t="s">
        <v>81</v>
      </c>
    </row>
    <row r="710" spans="1:4" x14ac:dyDescent="0.25">
      <c r="A710">
        <v>5</v>
      </c>
      <c r="B710" s="20" t="s">
        <v>96</v>
      </c>
      <c r="C710" s="2">
        <v>44879.336805555555</v>
      </c>
      <c r="D710" s="20" t="s">
        <v>81</v>
      </c>
    </row>
    <row r="711" spans="1:4" x14ac:dyDescent="0.25">
      <c r="A711">
        <v>5</v>
      </c>
      <c r="B711" s="20" t="s">
        <v>167</v>
      </c>
      <c r="C711" s="2">
        <v>44879.863888888889</v>
      </c>
      <c r="D711" s="20" t="s">
        <v>81</v>
      </c>
    </row>
    <row r="712" spans="1:4" x14ac:dyDescent="0.25">
      <c r="A712">
        <v>5</v>
      </c>
      <c r="B712" s="20" t="s">
        <v>96</v>
      </c>
      <c r="C712" s="2">
        <v>44880.284722222219</v>
      </c>
      <c r="D712" s="20" t="s">
        <v>81</v>
      </c>
    </row>
    <row r="713" spans="1:4" x14ac:dyDescent="0.25">
      <c r="A713">
        <v>24</v>
      </c>
      <c r="B713" s="20" t="s">
        <v>28</v>
      </c>
      <c r="C713" s="2">
        <v>44880.284722222219</v>
      </c>
      <c r="D713" s="20" t="s">
        <v>81</v>
      </c>
    </row>
    <row r="714" spans="1:4" x14ac:dyDescent="0.25">
      <c r="A714">
        <v>25</v>
      </c>
      <c r="B714" s="20" t="s">
        <v>41</v>
      </c>
      <c r="C714" s="2">
        <v>44880.284722222219</v>
      </c>
      <c r="D714" s="20" t="s">
        <v>81</v>
      </c>
    </row>
    <row r="715" spans="1:4" x14ac:dyDescent="0.25">
      <c r="A715">
        <v>26</v>
      </c>
      <c r="B715" s="20" t="s">
        <v>159</v>
      </c>
      <c r="C715" s="2">
        <v>44880.284722222219</v>
      </c>
      <c r="D715" s="20" t="s">
        <v>81</v>
      </c>
    </row>
    <row r="716" spans="1:4" x14ac:dyDescent="0.25">
      <c r="A716">
        <v>27</v>
      </c>
      <c r="B716" s="20" t="s">
        <v>60</v>
      </c>
      <c r="C716" s="2">
        <v>44880.284722222219</v>
      </c>
      <c r="D716" s="20" t="s">
        <v>81</v>
      </c>
    </row>
    <row r="717" spans="1:4" x14ac:dyDescent="0.25">
      <c r="A717">
        <v>28</v>
      </c>
      <c r="B717" s="20" t="s">
        <v>160</v>
      </c>
      <c r="C717" s="2">
        <v>44880.284722222219</v>
      </c>
      <c r="D717" s="20" t="s">
        <v>81</v>
      </c>
    </row>
    <row r="718" spans="1:4" x14ac:dyDescent="0.25">
      <c r="A718">
        <v>29</v>
      </c>
      <c r="B718" s="20" t="s">
        <v>161</v>
      </c>
      <c r="C718" s="2">
        <v>44880.284722222219</v>
      </c>
      <c r="D718" s="20" t="s">
        <v>81</v>
      </c>
    </row>
    <row r="719" spans="1:4" x14ac:dyDescent="0.25">
      <c r="A719">
        <v>30</v>
      </c>
      <c r="B719" s="20" t="s">
        <v>162</v>
      </c>
      <c r="C719" s="2">
        <v>44880.284722222219</v>
      </c>
      <c r="D719" s="20" t="s">
        <v>81</v>
      </c>
    </row>
    <row r="720" spans="1:4" x14ac:dyDescent="0.25">
      <c r="A720">
        <v>31</v>
      </c>
      <c r="B720" s="20" t="s">
        <v>163</v>
      </c>
      <c r="C720" s="2">
        <v>44880.284722222219</v>
      </c>
      <c r="D720" s="20" t="s">
        <v>81</v>
      </c>
    </row>
    <row r="721" spans="1:4" x14ac:dyDescent="0.25">
      <c r="A721">
        <v>35</v>
      </c>
      <c r="B721" s="20" t="s">
        <v>166</v>
      </c>
      <c r="C721" s="2">
        <v>44880.284722222219</v>
      </c>
      <c r="D721" s="20" t="s">
        <v>81</v>
      </c>
    </row>
    <row r="722" spans="1:4" x14ac:dyDescent="0.25">
      <c r="A722">
        <v>5</v>
      </c>
      <c r="B722" s="20" t="s">
        <v>96</v>
      </c>
      <c r="C722" s="2">
        <v>44880.295138888891</v>
      </c>
      <c r="D722" s="20" t="s">
        <v>81</v>
      </c>
    </row>
    <row r="723" spans="1:4" x14ac:dyDescent="0.25">
      <c r="A723">
        <v>7</v>
      </c>
      <c r="B723" s="20" t="s">
        <v>59</v>
      </c>
      <c r="C723" s="2">
        <v>44880.295138888891</v>
      </c>
      <c r="D723" s="20" t="s">
        <v>81</v>
      </c>
    </row>
    <row r="724" spans="1:4" x14ac:dyDescent="0.25">
      <c r="A724">
        <v>9</v>
      </c>
      <c r="B724" s="20" t="s">
        <v>61</v>
      </c>
      <c r="C724" s="2">
        <v>44880.295138888891</v>
      </c>
      <c r="D724" s="20" t="s">
        <v>81</v>
      </c>
    </row>
    <row r="725" spans="1:4" x14ac:dyDescent="0.25">
      <c r="A725">
        <v>10</v>
      </c>
      <c r="B725" s="20" t="s">
        <v>62</v>
      </c>
      <c r="C725" s="2">
        <v>44880.295138888891</v>
      </c>
      <c r="D725" s="20" t="s">
        <v>81</v>
      </c>
    </row>
    <row r="726" spans="1:4" x14ac:dyDescent="0.25">
      <c r="A726">
        <v>11</v>
      </c>
      <c r="B726" s="20" t="s">
        <v>63</v>
      </c>
      <c r="C726" s="2">
        <v>44880.295138888891</v>
      </c>
      <c r="D726" s="20" t="s">
        <v>81</v>
      </c>
    </row>
    <row r="727" spans="1:4" x14ac:dyDescent="0.25">
      <c r="A727">
        <v>12</v>
      </c>
      <c r="B727" s="20" t="s">
        <v>64</v>
      </c>
      <c r="C727" s="2">
        <v>44880.295138888891</v>
      </c>
      <c r="D727" s="20" t="s">
        <v>81</v>
      </c>
    </row>
    <row r="728" spans="1:4" x14ac:dyDescent="0.25">
      <c r="A728">
        <v>13</v>
      </c>
      <c r="B728" s="20" t="s">
        <v>65</v>
      </c>
      <c r="C728" s="2">
        <v>44880.295138888891</v>
      </c>
      <c r="D728" s="20" t="s">
        <v>81</v>
      </c>
    </row>
    <row r="729" spans="1:4" x14ac:dyDescent="0.25">
      <c r="A729">
        <v>14</v>
      </c>
      <c r="B729" s="20" t="s">
        <v>66</v>
      </c>
      <c r="C729" s="2">
        <v>44880.295138888891</v>
      </c>
      <c r="D729" s="20" t="s">
        <v>81</v>
      </c>
    </row>
    <row r="730" spans="1:4" x14ac:dyDescent="0.25">
      <c r="A730">
        <v>15</v>
      </c>
      <c r="B730" s="20" t="s">
        <v>157</v>
      </c>
      <c r="C730" s="2">
        <v>44880.295138888891</v>
      </c>
      <c r="D730" s="20" t="s">
        <v>81</v>
      </c>
    </row>
    <row r="731" spans="1:4" x14ac:dyDescent="0.25">
      <c r="A731">
        <v>16</v>
      </c>
      <c r="B731" s="20" t="s">
        <v>68</v>
      </c>
      <c r="C731" s="2">
        <v>44880.295138888891</v>
      </c>
      <c r="D731" s="20" t="s">
        <v>81</v>
      </c>
    </row>
    <row r="732" spans="1:4" x14ac:dyDescent="0.25">
      <c r="A732">
        <v>32</v>
      </c>
      <c r="B732" s="20" t="s">
        <v>164</v>
      </c>
      <c r="C732" s="2">
        <v>44880.295138888891</v>
      </c>
      <c r="D732" s="20" t="s">
        <v>81</v>
      </c>
    </row>
    <row r="733" spans="1:4" x14ac:dyDescent="0.25">
      <c r="A733">
        <v>33</v>
      </c>
      <c r="B733" s="20" t="s">
        <v>165</v>
      </c>
      <c r="C733" s="2">
        <v>44880.295138888891</v>
      </c>
      <c r="D733" s="20" t="s">
        <v>81</v>
      </c>
    </row>
    <row r="734" spans="1:4" x14ac:dyDescent="0.25">
      <c r="A734">
        <v>34</v>
      </c>
      <c r="B734" s="20" t="s">
        <v>67</v>
      </c>
      <c r="C734" s="2">
        <v>44880.295138888891</v>
      </c>
      <c r="D734" s="20" t="s">
        <v>81</v>
      </c>
    </row>
    <row r="735" spans="1:4" x14ac:dyDescent="0.25">
      <c r="A735">
        <v>3</v>
      </c>
      <c r="B735" s="20" t="s">
        <v>39</v>
      </c>
      <c r="C735" s="2">
        <v>44880.303472222222</v>
      </c>
      <c r="D735" s="20" t="s">
        <v>80</v>
      </c>
    </row>
    <row r="736" spans="1:4" x14ac:dyDescent="0.25">
      <c r="A736">
        <v>5</v>
      </c>
      <c r="B736" s="20" t="s">
        <v>96</v>
      </c>
      <c r="C736" s="2">
        <v>44880.303472222222</v>
      </c>
      <c r="D736" s="20" t="s">
        <v>80</v>
      </c>
    </row>
    <row r="737" spans="1:4" x14ac:dyDescent="0.25">
      <c r="A737">
        <v>17</v>
      </c>
      <c r="B737" s="20" t="s">
        <v>105</v>
      </c>
      <c r="C737" s="2">
        <v>44880.303472222222</v>
      </c>
      <c r="D737" s="20" t="s">
        <v>80</v>
      </c>
    </row>
    <row r="738" spans="1:4" x14ac:dyDescent="0.25">
      <c r="A738">
        <v>18</v>
      </c>
      <c r="B738" s="20" t="s">
        <v>106</v>
      </c>
      <c r="C738" s="2">
        <v>44880.303472222222</v>
      </c>
      <c r="D738" s="20" t="s">
        <v>80</v>
      </c>
    </row>
    <row r="739" spans="1:4" x14ac:dyDescent="0.25">
      <c r="A739">
        <v>19</v>
      </c>
      <c r="B739" s="20" t="s">
        <v>107</v>
      </c>
      <c r="C739" s="2">
        <v>44880.303472222222</v>
      </c>
      <c r="D739" s="20" t="s">
        <v>80</v>
      </c>
    </row>
    <row r="740" spans="1:4" x14ac:dyDescent="0.25">
      <c r="A740">
        <v>20</v>
      </c>
      <c r="B740" s="20" t="s">
        <v>108</v>
      </c>
      <c r="C740" s="2">
        <v>44880.303472222222</v>
      </c>
      <c r="D740" s="20" t="s">
        <v>80</v>
      </c>
    </row>
    <row r="741" spans="1:4" x14ac:dyDescent="0.25">
      <c r="A741">
        <v>21</v>
      </c>
      <c r="B741" s="20" t="s">
        <v>109</v>
      </c>
      <c r="C741" s="2">
        <v>44880.303472222222</v>
      </c>
      <c r="D741" s="20" t="s">
        <v>80</v>
      </c>
    </row>
    <row r="742" spans="1:4" x14ac:dyDescent="0.25">
      <c r="A742">
        <v>22</v>
      </c>
      <c r="B742" s="20" t="s">
        <v>110</v>
      </c>
      <c r="C742" s="2">
        <v>44880.303472222222</v>
      </c>
      <c r="D742" s="20" t="s">
        <v>80</v>
      </c>
    </row>
    <row r="743" spans="1:4" x14ac:dyDescent="0.25">
      <c r="A743">
        <v>23</v>
      </c>
      <c r="B743" s="20" t="s">
        <v>111</v>
      </c>
      <c r="C743" s="2">
        <v>44880.303472222222</v>
      </c>
      <c r="D743" s="20" t="s">
        <v>80</v>
      </c>
    </row>
    <row r="744" spans="1:4" x14ac:dyDescent="0.25">
      <c r="A744">
        <v>5</v>
      </c>
      <c r="B744" s="20" t="s">
        <v>96</v>
      </c>
      <c r="C744" s="2">
        <v>44880.305555555555</v>
      </c>
      <c r="D744" s="20" t="s">
        <v>81</v>
      </c>
    </row>
    <row r="745" spans="1:4" x14ac:dyDescent="0.25">
      <c r="A745">
        <v>5</v>
      </c>
      <c r="B745" s="20" t="s">
        <v>96</v>
      </c>
      <c r="C745" s="2">
        <v>44880.306250000001</v>
      </c>
      <c r="D745" s="20" t="s">
        <v>80</v>
      </c>
    </row>
    <row r="746" spans="1:4" x14ac:dyDescent="0.25">
      <c r="A746">
        <v>5</v>
      </c>
      <c r="B746" s="20" t="s">
        <v>96</v>
      </c>
      <c r="C746" s="2">
        <v>44880.315972222219</v>
      </c>
      <c r="D746" s="20" t="s">
        <v>81</v>
      </c>
    </row>
    <row r="747" spans="1:4" x14ac:dyDescent="0.25">
      <c r="A747">
        <v>5</v>
      </c>
      <c r="B747" s="20" t="s">
        <v>96</v>
      </c>
      <c r="C747" s="2">
        <v>44880.326388888891</v>
      </c>
      <c r="D747" s="20" t="s">
        <v>81</v>
      </c>
    </row>
    <row r="748" spans="1:4" x14ac:dyDescent="0.25">
      <c r="A748">
        <v>5</v>
      </c>
      <c r="B748" s="20" t="s">
        <v>96</v>
      </c>
      <c r="C748" s="2">
        <v>44880.336805555555</v>
      </c>
      <c r="D748" s="20" t="s">
        <v>81</v>
      </c>
    </row>
    <row r="749" spans="1:4" x14ac:dyDescent="0.25">
      <c r="A749">
        <v>5</v>
      </c>
      <c r="B749" s="20" t="s">
        <v>96</v>
      </c>
      <c r="C749" s="2">
        <v>44880.347222222219</v>
      </c>
      <c r="D749" s="20" t="s">
        <v>81</v>
      </c>
    </row>
    <row r="750" spans="1:4" x14ac:dyDescent="0.25">
      <c r="A750">
        <v>5</v>
      </c>
      <c r="B750" s="20" t="s">
        <v>96</v>
      </c>
      <c r="C750" s="2">
        <v>44880.357638888891</v>
      </c>
      <c r="D750" s="20" t="s">
        <v>81</v>
      </c>
    </row>
    <row r="751" spans="1:4" x14ac:dyDescent="0.25">
      <c r="A751">
        <v>1</v>
      </c>
      <c r="B751" s="20" t="s">
        <v>6</v>
      </c>
      <c r="C751" s="2">
        <v>44880.368055555555</v>
      </c>
      <c r="D751" s="20" t="s">
        <v>81</v>
      </c>
    </row>
    <row r="752" spans="1:4" x14ac:dyDescent="0.25">
      <c r="A752">
        <v>5</v>
      </c>
      <c r="B752" s="20" t="s">
        <v>167</v>
      </c>
      <c r="C752" s="2">
        <v>44880.368055555555</v>
      </c>
      <c r="D752" s="20" t="s">
        <v>81</v>
      </c>
    </row>
    <row r="753" spans="1:4" x14ac:dyDescent="0.25">
      <c r="A753">
        <v>5</v>
      </c>
      <c r="B753" s="20" t="s">
        <v>167</v>
      </c>
      <c r="C753" s="2">
        <v>44880.378472222219</v>
      </c>
      <c r="D753" s="20" t="s">
        <v>81</v>
      </c>
    </row>
    <row r="754" spans="1:4" x14ac:dyDescent="0.25">
      <c r="A754">
        <v>5</v>
      </c>
      <c r="B754" s="20" t="s">
        <v>167</v>
      </c>
      <c r="C754" s="2">
        <v>44880.388888888891</v>
      </c>
      <c r="D754" s="20" t="s">
        <v>81</v>
      </c>
    </row>
    <row r="755" spans="1:4" x14ac:dyDescent="0.25">
      <c r="A755">
        <v>5</v>
      </c>
      <c r="B755" s="20" t="s">
        <v>167</v>
      </c>
      <c r="C755" s="2">
        <v>44880.399305555555</v>
      </c>
      <c r="D755" s="20" t="s">
        <v>81</v>
      </c>
    </row>
    <row r="756" spans="1:4" x14ac:dyDescent="0.25">
      <c r="A756">
        <v>5</v>
      </c>
      <c r="B756" s="20" t="s">
        <v>167</v>
      </c>
      <c r="C756" s="2">
        <v>44880.409722222219</v>
      </c>
      <c r="D756" s="20" t="s">
        <v>81</v>
      </c>
    </row>
    <row r="757" spans="1:4" x14ac:dyDescent="0.25">
      <c r="A757">
        <v>5</v>
      </c>
      <c r="B757" s="20" t="s">
        <v>167</v>
      </c>
      <c r="C757" s="2">
        <v>44880.427777777775</v>
      </c>
      <c r="D757" s="20" t="s">
        <v>81</v>
      </c>
    </row>
    <row r="758" spans="1:4" x14ac:dyDescent="0.25">
      <c r="A758">
        <v>5</v>
      </c>
      <c r="B758" s="20" t="s">
        <v>167</v>
      </c>
      <c r="C758" s="2">
        <v>44880.430555555555</v>
      </c>
      <c r="D758" s="20" t="s">
        <v>81</v>
      </c>
    </row>
    <row r="759" spans="1:4" x14ac:dyDescent="0.25">
      <c r="A759">
        <v>5</v>
      </c>
      <c r="B759" s="20" t="s">
        <v>167</v>
      </c>
      <c r="C759" s="2">
        <v>44880.440972222219</v>
      </c>
      <c r="D759" s="20" t="s">
        <v>81</v>
      </c>
    </row>
    <row r="760" spans="1:4" x14ac:dyDescent="0.25">
      <c r="A760">
        <v>5</v>
      </c>
      <c r="B760" s="20" t="s">
        <v>167</v>
      </c>
      <c r="C760" s="2">
        <v>44880.451388888891</v>
      </c>
      <c r="D760" s="20" t="s">
        <v>81</v>
      </c>
    </row>
    <row r="761" spans="1:4" x14ac:dyDescent="0.25">
      <c r="A761">
        <v>5</v>
      </c>
      <c r="B761" s="20" t="s">
        <v>96</v>
      </c>
      <c r="C761" s="2">
        <v>44881.284722222219</v>
      </c>
      <c r="D761" s="20" t="s">
        <v>81</v>
      </c>
    </row>
    <row r="762" spans="1:4" x14ac:dyDescent="0.25">
      <c r="A762">
        <v>26</v>
      </c>
      <c r="B762" s="20" t="s">
        <v>159</v>
      </c>
      <c r="C762" s="2">
        <v>44881.284722222219</v>
      </c>
      <c r="D762" s="20" t="s">
        <v>81</v>
      </c>
    </row>
    <row r="763" spans="1:4" x14ac:dyDescent="0.25">
      <c r="A763">
        <v>27</v>
      </c>
      <c r="B763" s="20" t="s">
        <v>60</v>
      </c>
      <c r="C763" s="2">
        <v>44881.284722222219</v>
      </c>
      <c r="D763" s="20" t="s">
        <v>81</v>
      </c>
    </row>
    <row r="764" spans="1:4" x14ac:dyDescent="0.25">
      <c r="A764">
        <v>28</v>
      </c>
      <c r="B764" s="20" t="s">
        <v>160</v>
      </c>
      <c r="C764" s="2">
        <v>44881.284722222219</v>
      </c>
      <c r="D764" s="20" t="s">
        <v>81</v>
      </c>
    </row>
    <row r="765" spans="1:4" x14ac:dyDescent="0.25">
      <c r="A765">
        <v>29</v>
      </c>
      <c r="B765" s="20" t="s">
        <v>161</v>
      </c>
      <c r="C765" s="2">
        <v>44881.284722222219</v>
      </c>
      <c r="D765" s="20" t="s">
        <v>81</v>
      </c>
    </row>
    <row r="766" spans="1:4" x14ac:dyDescent="0.25">
      <c r="A766">
        <v>31</v>
      </c>
      <c r="B766" s="20" t="s">
        <v>163</v>
      </c>
      <c r="C766" s="2">
        <v>44881.284722222219</v>
      </c>
      <c r="D766" s="20" t="s">
        <v>81</v>
      </c>
    </row>
    <row r="767" spans="1:4" x14ac:dyDescent="0.25">
      <c r="A767">
        <v>5</v>
      </c>
      <c r="B767" s="20" t="s">
        <v>96</v>
      </c>
      <c r="C767" s="2">
        <v>44881.295138888891</v>
      </c>
      <c r="D767" s="20" t="s">
        <v>81</v>
      </c>
    </row>
    <row r="768" spans="1:4" x14ac:dyDescent="0.25">
      <c r="A768">
        <v>7</v>
      </c>
      <c r="B768" s="20" t="s">
        <v>59</v>
      </c>
      <c r="C768" s="2">
        <v>44881.295138888891</v>
      </c>
      <c r="D768" s="20" t="s">
        <v>81</v>
      </c>
    </row>
    <row r="769" spans="1:4" x14ac:dyDescent="0.25">
      <c r="A769">
        <v>9</v>
      </c>
      <c r="B769" s="20" t="s">
        <v>61</v>
      </c>
      <c r="C769" s="2">
        <v>44881.295138888891</v>
      </c>
      <c r="D769" s="20" t="s">
        <v>81</v>
      </c>
    </row>
    <row r="770" spans="1:4" x14ac:dyDescent="0.25">
      <c r="A770">
        <v>10</v>
      </c>
      <c r="B770" s="20" t="s">
        <v>62</v>
      </c>
      <c r="C770" s="2">
        <v>44881.295138888891</v>
      </c>
      <c r="D770" s="20" t="s">
        <v>81</v>
      </c>
    </row>
    <row r="771" spans="1:4" x14ac:dyDescent="0.25">
      <c r="A771">
        <v>11</v>
      </c>
      <c r="B771" s="20" t="s">
        <v>63</v>
      </c>
      <c r="C771" s="2">
        <v>44881.295138888891</v>
      </c>
      <c r="D771" s="20" t="s">
        <v>81</v>
      </c>
    </row>
    <row r="772" spans="1:4" x14ac:dyDescent="0.25">
      <c r="A772">
        <v>12</v>
      </c>
      <c r="B772" s="20" t="s">
        <v>64</v>
      </c>
      <c r="C772" s="2">
        <v>44881.295138888891</v>
      </c>
      <c r="D772" s="20" t="s">
        <v>81</v>
      </c>
    </row>
    <row r="773" spans="1:4" x14ac:dyDescent="0.25">
      <c r="A773">
        <v>13</v>
      </c>
      <c r="B773" s="20" t="s">
        <v>65</v>
      </c>
      <c r="C773" s="2">
        <v>44881.295138888891</v>
      </c>
      <c r="D773" s="20" t="s">
        <v>81</v>
      </c>
    </row>
    <row r="774" spans="1:4" x14ac:dyDescent="0.25">
      <c r="A774">
        <v>14</v>
      </c>
      <c r="B774" s="20" t="s">
        <v>66</v>
      </c>
      <c r="C774" s="2">
        <v>44881.295138888891</v>
      </c>
      <c r="D774" s="20" t="s">
        <v>81</v>
      </c>
    </row>
    <row r="775" spans="1:4" x14ac:dyDescent="0.25">
      <c r="A775">
        <v>15</v>
      </c>
      <c r="B775" s="20" t="s">
        <v>157</v>
      </c>
      <c r="C775" s="2">
        <v>44881.295138888891</v>
      </c>
      <c r="D775" s="20" t="s">
        <v>81</v>
      </c>
    </row>
    <row r="776" spans="1:4" x14ac:dyDescent="0.25">
      <c r="A776">
        <v>16</v>
      </c>
      <c r="B776" s="20" t="s">
        <v>68</v>
      </c>
      <c r="C776" s="2">
        <v>44881.295138888891</v>
      </c>
      <c r="D776" s="20" t="s">
        <v>81</v>
      </c>
    </row>
    <row r="777" spans="1:4" x14ac:dyDescent="0.25">
      <c r="A777">
        <v>33</v>
      </c>
      <c r="B777" s="20" t="s">
        <v>165</v>
      </c>
      <c r="C777" s="2">
        <v>44881.295138888891</v>
      </c>
      <c r="D777" s="20" t="s">
        <v>81</v>
      </c>
    </row>
    <row r="778" spans="1:4" x14ac:dyDescent="0.25">
      <c r="A778">
        <v>34</v>
      </c>
      <c r="B778" s="20" t="s">
        <v>67</v>
      </c>
      <c r="C778" s="2">
        <v>44881.295138888891</v>
      </c>
      <c r="D778" s="20" t="s">
        <v>81</v>
      </c>
    </row>
    <row r="779" spans="1:4" x14ac:dyDescent="0.25">
      <c r="A779">
        <v>35</v>
      </c>
      <c r="B779" s="20" t="s">
        <v>166</v>
      </c>
      <c r="C779" s="2">
        <v>44881.295138888891</v>
      </c>
      <c r="D779" s="20" t="s">
        <v>81</v>
      </c>
    </row>
    <row r="780" spans="1:4" x14ac:dyDescent="0.25">
      <c r="A780">
        <v>3</v>
      </c>
      <c r="B780" s="20" t="s">
        <v>39</v>
      </c>
      <c r="C780" s="2">
        <v>44881.305555555555</v>
      </c>
      <c r="D780" s="20" t="s">
        <v>81</v>
      </c>
    </row>
    <row r="781" spans="1:4" x14ac:dyDescent="0.25">
      <c r="A781">
        <v>5</v>
      </c>
      <c r="B781" s="20" t="s">
        <v>96</v>
      </c>
      <c r="C781" s="2">
        <v>44881.305555555555</v>
      </c>
      <c r="D781" s="20" t="s">
        <v>81</v>
      </c>
    </row>
    <row r="782" spans="1:4" x14ac:dyDescent="0.25">
      <c r="A782">
        <v>17</v>
      </c>
      <c r="B782" s="20" t="s">
        <v>105</v>
      </c>
      <c r="C782" s="2">
        <v>44881.305555555555</v>
      </c>
      <c r="D782" s="20" t="s">
        <v>81</v>
      </c>
    </row>
    <row r="783" spans="1:4" x14ac:dyDescent="0.25">
      <c r="A783">
        <v>18</v>
      </c>
      <c r="B783" s="20" t="s">
        <v>106</v>
      </c>
      <c r="C783" s="2">
        <v>44881.305555555555</v>
      </c>
      <c r="D783" s="20" t="s">
        <v>81</v>
      </c>
    </row>
    <row r="784" spans="1:4" x14ac:dyDescent="0.25">
      <c r="A784">
        <v>19</v>
      </c>
      <c r="B784" s="20" t="s">
        <v>107</v>
      </c>
      <c r="C784" s="2">
        <v>44881.305555555555</v>
      </c>
      <c r="D784" s="20" t="s">
        <v>81</v>
      </c>
    </row>
    <row r="785" spans="1:4" x14ac:dyDescent="0.25">
      <c r="A785">
        <v>20</v>
      </c>
      <c r="B785" s="20" t="s">
        <v>108</v>
      </c>
      <c r="C785" s="2">
        <v>44881.305555555555</v>
      </c>
      <c r="D785" s="20" t="s">
        <v>81</v>
      </c>
    </row>
    <row r="786" spans="1:4" x14ac:dyDescent="0.25">
      <c r="A786">
        <v>21</v>
      </c>
      <c r="B786" s="20" t="s">
        <v>109</v>
      </c>
      <c r="C786" s="2">
        <v>44881.305555555555</v>
      </c>
      <c r="D786" s="20" t="s">
        <v>81</v>
      </c>
    </row>
    <row r="787" spans="1:4" x14ac:dyDescent="0.25">
      <c r="A787">
        <v>22</v>
      </c>
      <c r="B787" s="20" t="s">
        <v>110</v>
      </c>
      <c r="C787" s="2">
        <v>44881.305555555555</v>
      </c>
      <c r="D787" s="20" t="s">
        <v>81</v>
      </c>
    </row>
    <row r="788" spans="1:4" x14ac:dyDescent="0.25">
      <c r="A788">
        <v>23</v>
      </c>
      <c r="B788" s="20" t="s">
        <v>111</v>
      </c>
      <c r="C788" s="2">
        <v>44881.305555555555</v>
      </c>
      <c r="D788" s="20" t="s">
        <v>81</v>
      </c>
    </row>
    <row r="789" spans="1:4" x14ac:dyDescent="0.25">
      <c r="A789">
        <v>5</v>
      </c>
      <c r="B789" s="20" t="s">
        <v>96</v>
      </c>
      <c r="C789" s="2">
        <v>44881.315972222219</v>
      </c>
      <c r="D789" s="20" t="s">
        <v>81</v>
      </c>
    </row>
    <row r="790" spans="1:4" x14ac:dyDescent="0.25">
      <c r="A790">
        <v>5</v>
      </c>
      <c r="B790" s="20" t="s">
        <v>96</v>
      </c>
      <c r="C790" s="2">
        <v>44881.326388888891</v>
      </c>
      <c r="D790" s="20" t="s">
        <v>81</v>
      </c>
    </row>
    <row r="791" spans="1:4" x14ac:dyDescent="0.25">
      <c r="A791">
        <v>24</v>
      </c>
      <c r="B791" s="20" t="s">
        <v>28</v>
      </c>
      <c r="C791" s="2">
        <v>44881.326388888891</v>
      </c>
      <c r="D791" s="20" t="s">
        <v>81</v>
      </c>
    </row>
    <row r="792" spans="1:4" x14ac:dyDescent="0.25">
      <c r="A792">
        <v>25</v>
      </c>
      <c r="B792" s="20" t="s">
        <v>41</v>
      </c>
      <c r="C792" s="2">
        <v>44881.326388888891</v>
      </c>
      <c r="D792" s="20" t="s">
        <v>81</v>
      </c>
    </row>
    <row r="793" spans="1:4" x14ac:dyDescent="0.25">
      <c r="A793">
        <v>30</v>
      </c>
      <c r="B793" s="20" t="s">
        <v>162</v>
      </c>
      <c r="C793" s="2">
        <v>44881.326388888891</v>
      </c>
      <c r="D793" s="20" t="s">
        <v>81</v>
      </c>
    </row>
    <row r="794" spans="1:4" x14ac:dyDescent="0.25">
      <c r="A794">
        <v>32</v>
      </c>
      <c r="B794" s="20" t="s">
        <v>164</v>
      </c>
      <c r="C794" s="2">
        <v>44881.326388888891</v>
      </c>
      <c r="D794" s="20" t="s">
        <v>81</v>
      </c>
    </row>
    <row r="795" spans="1:4" x14ac:dyDescent="0.25">
      <c r="A795">
        <v>5</v>
      </c>
      <c r="B795" s="20" t="s">
        <v>96</v>
      </c>
      <c r="C795" s="2">
        <v>44881.336805555555</v>
      </c>
      <c r="D795" s="20" t="s">
        <v>81</v>
      </c>
    </row>
    <row r="796" spans="1:4" x14ac:dyDescent="0.25">
      <c r="A796">
        <v>5</v>
      </c>
      <c r="B796" s="20" t="s">
        <v>96</v>
      </c>
      <c r="C796" s="2">
        <v>44881.347222222219</v>
      </c>
      <c r="D796" s="20" t="s">
        <v>81</v>
      </c>
    </row>
    <row r="797" spans="1:4" x14ac:dyDescent="0.25">
      <c r="A797">
        <v>5</v>
      </c>
      <c r="B797" s="20" t="s">
        <v>96</v>
      </c>
      <c r="C797" s="2">
        <v>44881.357638888891</v>
      </c>
      <c r="D797" s="20" t="s">
        <v>81</v>
      </c>
    </row>
    <row r="798" spans="1:4" x14ac:dyDescent="0.25">
      <c r="A798">
        <v>5</v>
      </c>
      <c r="B798" s="20" t="s">
        <v>96</v>
      </c>
      <c r="C798" s="2">
        <v>44881.368055555555</v>
      </c>
      <c r="D798" s="20" t="s">
        <v>81</v>
      </c>
    </row>
    <row r="799" spans="1:4" x14ac:dyDescent="0.25">
      <c r="A799">
        <v>5</v>
      </c>
      <c r="B799" s="20" t="s">
        <v>96</v>
      </c>
      <c r="C799" s="2">
        <v>44881.378472222219</v>
      </c>
      <c r="D799" s="20" t="s">
        <v>81</v>
      </c>
    </row>
    <row r="800" spans="1:4" x14ac:dyDescent="0.25">
      <c r="A800">
        <v>5</v>
      </c>
      <c r="B800" s="20" t="s">
        <v>96</v>
      </c>
      <c r="C800" s="2">
        <v>44881.388888888891</v>
      </c>
      <c r="D800" s="20" t="s">
        <v>81</v>
      </c>
    </row>
    <row r="801" spans="1:4" x14ac:dyDescent="0.25">
      <c r="A801">
        <v>5</v>
      </c>
      <c r="B801" s="20" t="s">
        <v>96</v>
      </c>
      <c r="C801" s="2">
        <v>44881.399305555555</v>
      </c>
      <c r="D801" s="20" t="s">
        <v>81</v>
      </c>
    </row>
    <row r="802" spans="1:4" x14ac:dyDescent="0.25">
      <c r="A802">
        <v>5</v>
      </c>
      <c r="B802" s="20" t="s">
        <v>96</v>
      </c>
      <c r="C802" s="2">
        <v>44881.409722222219</v>
      </c>
      <c r="D802" s="20" t="s">
        <v>81</v>
      </c>
    </row>
    <row r="803" spans="1:4" x14ac:dyDescent="0.25">
      <c r="A803">
        <v>5</v>
      </c>
      <c r="B803" s="20" t="s">
        <v>96</v>
      </c>
      <c r="C803" s="2">
        <v>44881.420138888891</v>
      </c>
      <c r="D803" s="20" t="s">
        <v>81</v>
      </c>
    </row>
    <row r="804" spans="1:4" x14ac:dyDescent="0.25">
      <c r="A804">
        <v>5</v>
      </c>
      <c r="B804" s="20" t="s">
        <v>96</v>
      </c>
      <c r="C804" s="2">
        <v>44881.430555555555</v>
      </c>
      <c r="D804" s="20" t="s">
        <v>81</v>
      </c>
    </row>
    <row r="805" spans="1:4" x14ac:dyDescent="0.25">
      <c r="A805">
        <v>5</v>
      </c>
      <c r="B805" s="20" t="s">
        <v>96</v>
      </c>
      <c r="C805" s="2">
        <v>44881.440972222219</v>
      </c>
      <c r="D805" s="20" t="s">
        <v>81</v>
      </c>
    </row>
    <row r="806" spans="1:4" x14ac:dyDescent="0.25">
      <c r="A806">
        <v>5</v>
      </c>
      <c r="B806" s="20" t="s">
        <v>96</v>
      </c>
      <c r="C806" s="2">
        <v>44881.451388888891</v>
      </c>
      <c r="D806" s="20" t="s">
        <v>81</v>
      </c>
    </row>
    <row r="807" spans="1:4" x14ac:dyDescent="0.25">
      <c r="A807">
        <v>34</v>
      </c>
      <c r="B807" s="20" t="s">
        <v>67</v>
      </c>
      <c r="C807" s="2">
        <v>44882.400694444441</v>
      </c>
      <c r="D807" s="20" t="s">
        <v>81</v>
      </c>
    </row>
    <row r="808" spans="1:4" x14ac:dyDescent="0.25">
      <c r="A808">
        <v>1</v>
      </c>
      <c r="B808" s="20" t="s">
        <v>6</v>
      </c>
      <c r="C808" s="2">
        <v>44882.404861111114</v>
      </c>
      <c r="D808" s="20" t="s">
        <v>81</v>
      </c>
    </row>
    <row r="809" spans="1:4" x14ac:dyDescent="0.25">
      <c r="A809">
        <v>3</v>
      </c>
      <c r="B809" s="20" t="s">
        <v>39</v>
      </c>
      <c r="C809" s="2">
        <v>44882.404861111114</v>
      </c>
      <c r="D809" s="20" t="s">
        <v>81</v>
      </c>
    </row>
    <row r="810" spans="1:4" x14ac:dyDescent="0.25">
      <c r="A810">
        <v>5</v>
      </c>
      <c r="B810" s="20" t="s">
        <v>167</v>
      </c>
      <c r="C810" s="2">
        <v>44882.404861111114</v>
      </c>
      <c r="D810" s="20" t="s">
        <v>81</v>
      </c>
    </row>
    <row r="811" spans="1:4" x14ac:dyDescent="0.25">
      <c r="A811">
        <v>7</v>
      </c>
      <c r="B811" s="20" t="s">
        <v>59</v>
      </c>
      <c r="C811" s="2">
        <v>44882.404861111114</v>
      </c>
      <c r="D811" s="20" t="s">
        <v>81</v>
      </c>
    </row>
    <row r="812" spans="1:4" x14ac:dyDescent="0.25">
      <c r="A812">
        <v>9</v>
      </c>
      <c r="B812" s="20" t="s">
        <v>61</v>
      </c>
      <c r="C812" s="2">
        <v>44882.404861111114</v>
      </c>
      <c r="D812" s="20" t="s">
        <v>81</v>
      </c>
    </row>
    <row r="813" spans="1:4" x14ac:dyDescent="0.25">
      <c r="A813">
        <v>10</v>
      </c>
      <c r="B813" s="20" t="s">
        <v>62</v>
      </c>
      <c r="C813" s="2">
        <v>44882.404861111114</v>
      </c>
      <c r="D813" s="20" t="s">
        <v>81</v>
      </c>
    </row>
    <row r="814" spans="1:4" x14ac:dyDescent="0.25">
      <c r="A814">
        <v>11</v>
      </c>
      <c r="B814" s="20" t="s">
        <v>63</v>
      </c>
      <c r="C814" s="2">
        <v>44882.404861111114</v>
      </c>
      <c r="D814" s="20" t="s">
        <v>81</v>
      </c>
    </row>
    <row r="815" spans="1:4" x14ac:dyDescent="0.25">
      <c r="A815">
        <v>12</v>
      </c>
      <c r="B815" s="20" t="s">
        <v>64</v>
      </c>
      <c r="C815" s="2">
        <v>44882.404861111114</v>
      </c>
      <c r="D815" s="20" t="s">
        <v>81</v>
      </c>
    </row>
    <row r="816" spans="1:4" x14ac:dyDescent="0.25">
      <c r="A816">
        <v>13</v>
      </c>
      <c r="B816" s="20" t="s">
        <v>65</v>
      </c>
      <c r="C816" s="2">
        <v>44882.404861111114</v>
      </c>
      <c r="D816" s="20" t="s">
        <v>81</v>
      </c>
    </row>
    <row r="817" spans="1:4" x14ac:dyDescent="0.25">
      <c r="A817">
        <v>14</v>
      </c>
      <c r="B817" s="20" t="s">
        <v>66</v>
      </c>
      <c r="C817" s="2">
        <v>44882.404861111114</v>
      </c>
      <c r="D817" s="20" t="s">
        <v>81</v>
      </c>
    </row>
    <row r="818" spans="1:4" x14ac:dyDescent="0.25">
      <c r="A818">
        <v>15</v>
      </c>
      <c r="B818" s="20" t="s">
        <v>157</v>
      </c>
      <c r="C818" s="2">
        <v>44882.404861111114</v>
      </c>
      <c r="D818" s="20" t="s">
        <v>81</v>
      </c>
    </row>
    <row r="819" spans="1:4" x14ac:dyDescent="0.25">
      <c r="A819">
        <v>16</v>
      </c>
      <c r="B819" s="20" t="s">
        <v>68</v>
      </c>
      <c r="C819" s="2">
        <v>44882.404861111114</v>
      </c>
      <c r="D819" s="20" t="s">
        <v>81</v>
      </c>
    </row>
    <row r="820" spans="1:4" x14ac:dyDescent="0.25">
      <c r="A820">
        <v>17</v>
      </c>
      <c r="B820" s="20" t="s">
        <v>105</v>
      </c>
      <c r="C820" s="2">
        <v>44882.404861111114</v>
      </c>
      <c r="D820" s="20" t="s">
        <v>81</v>
      </c>
    </row>
    <row r="821" spans="1:4" x14ac:dyDescent="0.25">
      <c r="A821">
        <v>18</v>
      </c>
      <c r="B821" s="20" t="s">
        <v>106</v>
      </c>
      <c r="C821" s="2">
        <v>44882.404861111114</v>
      </c>
      <c r="D821" s="20" t="s">
        <v>81</v>
      </c>
    </row>
    <row r="822" spans="1:4" x14ac:dyDescent="0.25">
      <c r="A822">
        <v>19</v>
      </c>
      <c r="B822" s="20" t="s">
        <v>107</v>
      </c>
      <c r="C822" s="2">
        <v>44882.404861111114</v>
      </c>
      <c r="D822" s="20" t="s">
        <v>81</v>
      </c>
    </row>
    <row r="823" spans="1:4" x14ac:dyDescent="0.25">
      <c r="A823">
        <v>20</v>
      </c>
      <c r="B823" s="20" t="s">
        <v>108</v>
      </c>
      <c r="C823" s="2">
        <v>44882.404861111114</v>
      </c>
      <c r="D823" s="20" t="s">
        <v>81</v>
      </c>
    </row>
    <row r="824" spans="1:4" x14ac:dyDescent="0.25">
      <c r="A824">
        <v>21</v>
      </c>
      <c r="B824" s="20" t="s">
        <v>109</v>
      </c>
      <c r="C824" s="2">
        <v>44882.404861111114</v>
      </c>
      <c r="D824" s="20" t="s">
        <v>81</v>
      </c>
    </row>
    <row r="825" spans="1:4" x14ac:dyDescent="0.25">
      <c r="A825">
        <v>22</v>
      </c>
      <c r="B825" s="20" t="s">
        <v>110</v>
      </c>
      <c r="C825" s="2">
        <v>44882.404861111114</v>
      </c>
      <c r="D825" s="20" t="s">
        <v>81</v>
      </c>
    </row>
    <row r="826" spans="1:4" x14ac:dyDescent="0.25">
      <c r="A826">
        <v>23</v>
      </c>
      <c r="B826" s="20" t="s">
        <v>111</v>
      </c>
      <c r="C826" s="2">
        <v>44882.404861111114</v>
      </c>
      <c r="D826" s="20" t="s">
        <v>81</v>
      </c>
    </row>
    <row r="827" spans="1:4" x14ac:dyDescent="0.25">
      <c r="A827">
        <v>24</v>
      </c>
      <c r="B827" s="20" t="s">
        <v>28</v>
      </c>
      <c r="C827" s="2">
        <v>44882.404861111114</v>
      </c>
      <c r="D827" s="20" t="s">
        <v>81</v>
      </c>
    </row>
    <row r="828" spans="1:4" x14ac:dyDescent="0.25">
      <c r="A828">
        <v>25</v>
      </c>
      <c r="B828" s="20" t="s">
        <v>41</v>
      </c>
      <c r="C828" s="2">
        <v>44882.404861111114</v>
      </c>
      <c r="D828" s="20" t="s">
        <v>81</v>
      </c>
    </row>
    <row r="829" spans="1:4" x14ac:dyDescent="0.25">
      <c r="A829">
        <v>26</v>
      </c>
      <c r="B829" s="20" t="s">
        <v>159</v>
      </c>
      <c r="C829" s="2">
        <v>44882.405555555553</v>
      </c>
      <c r="D829" s="20" t="s">
        <v>81</v>
      </c>
    </row>
    <row r="830" spans="1:4" x14ac:dyDescent="0.25">
      <c r="A830">
        <v>27</v>
      </c>
      <c r="B830" s="20" t="s">
        <v>60</v>
      </c>
      <c r="C830" s="2">
        <v>44882.405555555553</v>
      </c>
      <c r="D830" s="20" t="s">
        <v>81</v>
      </c>
    </row>
    <row r="831" spans="1:4" x14ac:dyDescent="0.25">
      <c r="A831">
        <v>28</v>
      </c>
      <c r="B831" s="20" t="s">
        <v>160</v>
      </c>
      <c r="C831" s="2">
        <v>44882.405555555553</v>
      </c>
      <c r="D831" s="20" t="s">
        <v>81</v>
      </c>
    </row>
    <row r="832" spans="1:4" x14ac:dyDescent="0.25">
      <c r="A832">
        <v>29</v>
      </c>
      <c r="B832" s="20" t="s">
        <v>161</v>
      </c>
      <c r="C832" s="2">
        <v>44882.405555555553</v>
      </c>
      <c r="D832" s="20" t="s">
        <v>81</v>
      </c>
    </row>
    <row r="833" spans="1:4" x14ac:dyDescent="0.25">
      <c r="A833">
        <v>30</v>
      </c>
      <c r="B833" s="20" t="s">
        <v>162</v>
      </c>
      <c r="C833" s="2">
        <v>44882.405555555553</v>
      </c>
      <c r="D833" s="20" t="s">
        <v>81</v>
      </c>
    </row>
    <row r="834" spans="1:4" x14ac:dyDescent="0.25">
      <c r="A834">
        <v>31</v>
      </c>
      <c r="B834" s="20" t="s">
        <v>163</v>
      </c>
      <c r="C834" s="2">
        <v>44882.405555555553</v>
      </c>
      <c r="D834" s="20" t="s">
        <v>81</v>
      </c>
    </row>
    <row r="835" spans="1:4" x14ac:dyDescent="0.25">
      <c r="A835">
        <v>32</v>
      </c>
      <c r="B835" s="20" t="s">
        <v>164</v>
      </c>
      <c r="C835" s="2">
        <v>44882.405555555553</v>
      </c>
      <c r="D835" s="20" t="s">
        <v>81</v>
      </c>
    </row>
    <row r="836" spans="1:4" x14ac:dyDescent="0.25">
      <c r="A836">
        <v>33</v>
      </c>
      <c r="B836" s="20" t="s">
        <v>165</v>
      </c>
      <c r="C836" s="2">
        <v>44882.405555555553</v>
      </c>
      <c r="D836" s="20" t="s">
        <v>81</v>
      </c>
    </row>
    <row r="837" spans="1:4" x14ac:dyDescent="0.25">
      <c r="A837">
        <v>35</v>
      </c>
      <c r="B837" s="20" t="s">
        <v>166</v>
      </c>
      <c r="C837" s="2">
        <v>44882.405555555553</v>
      </c>
      <c r="D837" s="20" t="s">
        <v>81</v>
      </c>
    </row>
    <row r="838" spans="1:4" x14ac:dyDescent="0.25">
      <c r="A838">
        <v>5</v>
      </c>
      <c r="B838" s="20" t="s">
        <v>167</v>
      </c>
      <c r="C838" s="2">
        <v>44882.405555555553</v>
      </c>
      <c r="D838" s="20" t="s">
        <v>81</v>
      </c>
    </row>
    <row r="839" spans="1:4" x14ac:dyDescent="0.25">
      <c r="A839">
        <v>5</v>
      </c>
      <c r="B839" s="20" t="s">
        <v>167</v>
      </c>
      <c r="C839" s="2">
        <v>44882.409722222219</v>
      </c>
      <c r="D839" s="20" t="s">
        <v>81</v>
      </c>
    </row>
    <row r="840" spans="1:4" x14ac:dyDescent="0.25">
      <c r="A840">
        <v>5</v>
      </c>
      <c r="B840" s="20" t="s">
        <v>167</v>
      </c>
      <c r="C840" s="2">
        <v>44882.420138888891</v>
      </c>
      <c r="D840" s="20" t="s">
        <v>81</v>
      </c>
    </row>
    <row r="841" spans="1:4" x14ac:dyDescent="0.25">
      <c r="A841">
        <v>5</v>
      </c>
      <c r="B841" s="20" t="s">
        <v>167</v>
      </c>
      <c r="C841" s="2">
        <v>44882.430555555555</v>
      </c>
      <c r="D841" s="20" t="s">
        <v>81</v>
      </c>
    </row>
    <row r="842" spans="1:4" x14ac:dyDescent="0.25">
      <c r="A842">
        <v>5</v>
      </c>
      <c r="B842" s="20" t="s">
        <v>167</v>
      </c>
      <c r="C842" s="2">
        <v>44882.440972222219</v>
      </c>
      <c r="D842" s="20" t="s">
        <v>81</v>
      </c>
    </row>
    <row r="843" spans="1:4" x14ac:dyDescent="0.25">
      <c r="A843">
        <v>5</v>
      </c>
      <c r="B843" s="20" t="s">
        <v>167</v>
      </c>
      <c r="C843" s="2">
        <v>44882.451388888891</v>
      </c>
      <c r="D843" s="20" t="s">
        <v>81</v>
      </c>
    </row>
    <row r="844" spans="1:4" x14ac:dyDescent="0.25">
      <c r="A844">
        <v>5</v>
      </c>
      <c r="B844" s="20" t="s">
        <v>96</v>
      </c>
      <c r="C844" s="2">
        <v>44883.284722222219</v>
      </c>
      <c r="D844" s="20" t="s">
        <v>81</v>
      </c>
    </row>
    <row r="845" spans="1:4" x14ac:dyDescent="0.25">
      <c r="A845">
        <v>24</v>
      </c>
      <c r="B845" s="20" t="s">
        <v>28</v>
      </c>
      <c r="C845" s="2">
        <v>44883.284722222219</v>
      </c>
      <c r="D845" s="20" t="s">
        <v>81</v>
      </c>
    </row>
    <row r="846" spans="1:4" x14ac:dyDescent="0.25">
      <c r="A846">
        <v>26</v>
      </c>
      <c r="B846" s="20" t="s">
        <v>159</v>
      </c>
      <c r="C846" s="2">
        <v>44883.284722222219</v>
      </c>
      <c r="D846" s="20" t="s">
        <v>81</v>
      </c>
    </row>
    <row r="847" spans="1:4" x14ac:dyDescent="0.25">
      <c r="A847">
        <v>27</v>
      </c>
      <c r="B847" s="20" t="s">
        <v>60</v>
      </c>
      <c r="C847" s="2">
        <v>44883.284722222219</v>
      </c>
      <c r="D847" s="20" t="s">
        <v>81</v>
      </c>
    </row>
    <row r="848" spans="1:4" x14ac:dyDescent="0.25">
      <c r="A848">
        <v>28</v>
      </c>
      <c r="B848" s="20" t="s">
        <v>160</v>
      </c>
      <c r="C848" s="2">
        <v>44883.284722222219</v>
      </c>
      <c r="D848" s="20" t="s">
        <v>81</v>
      </c>
    </row>
    <row r="849" spans="1:4" x14ac:dyDescent="0.25">
      <c r="A849">
        <v>29</v>
      </c>
      <c r="B849" s="20" t="s">
        <v>161</v>
      </c>
      <c r="C849" s="2">
        <v>44883.284722222219</v>
      </c>
      <c r="D849" s="20" t="s">
        <v>81</v>
      </c>
    </row>
    <row r="850" spans="1:4" x14ac:dyDescent="0.25">
      <c r="A850">
        <v>30</v>
      </c>
      <c r="B850" s="20" t="s">
        <v>162</v>
      </c>
      <c r="C850" s="2">
        <v>44883.284722222219</v>
      </c>
      <c r="D850" s="20" t="s">
        <v>81</v>
      </c>
    </row>
    <row r="851" spans="1:4" x14ac:dyDescent="0.25">
      <c r="A851">
        <v>31</v>
      </c>
      <c r="B851" s="20" t="s">
        <v>163</v>
      </c>
      <c r="C851" s="2">
        <v>44883.284722222219</v>
      </c>
      <c r="D851" s="20" t="s">
        <v>81</v>
      </c>
    </row>
    <row r="852" spans="1:4" x14ac:dyDescent="0.25">
      <c r="A852">
        <v>5</v>
      </c>
      <c r="B852" s="20" t="s">
        <v>96</v>
      </c>
      <c r="C852" s="2">
        <v>44883.295138888891</v>
      </c>
      <c r="D852" s="20" t="s">
        <v>81</v>
      </c>
    </row>
    <row r="853" spans="1:4" x14ac:dyDescent="0.25">
      <c r="A853">
        <v>7</v>
      </c>
      <c r="B853" s="20" t="s">
        <v>59</v>
      </c>
      <c r="C853" s="2">
        <v>44883.295138888891</v>
      </c>
      <c r="D853" s="20" t="s">
        <v>81</v>
      </c>
    </row>
    <row r="854" spans="1:4" x14ac:dyDescent="0.25">
      <c r="A854">
        <v>9</v>
      </c>
      <c r="B854" s="20" t="s">
        <v>61</v>
      </c>
      <c r="C854" s="2">
        <v>44883.295138888891</v>
      </c>
      <c r="D854" s="20" t="s">
        <v>81</v>
      </c>
    </row>
    <row r="855" spans="1:4" x14ac:dyDescent="0.25">
      <c r="A855">
        <v>10</v>
      </c>
      <c r="B855" s="20" t="s">
        <v>62</v>
      </c>
      <c r="C855" s="2">
        <v>44883.295138888891</v>
      </c>
      <c r="D855" s="20" t="s">
        <v>81</v>
      </c>
    </row>
    <row r="856" spans="1:4" x14ac:dyDescent="0.25">
      <c r="A856">
        <v>11</v>
      </c>
      <c r="B856" s="20" t="s">
        <v>63</v>
      </c>
      <c r="C856" s="2">
        <v>44883.295138888891</v>
      </c>
      <c r="D856" s="20" t="s">
        <v>81</v>
      </c>
    </row>
    <row r="857" spans="1:4" x14ac:dyDescent="0.25">
      <c r="A857">
        <v>12</v>
      </c>
      <c r="B857" s="20" t="s">
        <v>64</v>
      </c>
      <c r="C857" s="2">
        <v>44883.295138888891</v>
      </c>
      <c r="D857" s="20" t="s">
        <v>81</v>
      </c>
    </row>
    <row r="858" spans="1:4" x14ac:dyDescent="0.25">
      <c r="A858">
        <v>13</v>
      </c>
      <c r="B858" s="20" t="s">
        <v>65</v>
      </c>
      <c r="C858" s="2">
        <v>44883.295138888891</v>
      </c>
      <c r="D858" s="20" t="s">
        <v>81</v>
      </c>
    </row>
    <row r="859" spans="1:4" x14ac:dyDescent="0.25">
      <c r="A859">
        <v>14</v>
      </c>
      <c r="B859" s="20" t="s">
        <v>66</v>
      </c>
      <c r="C859" s="2">
        <v>44883.295138888891</v>
      </c>
      <c r="D859" s="20" t="s">
        <v>81</v>
      </c>
    </row>
    <row r="860" spans="1:4" x14ac:dyDescent="0.25">
      <c r="A860">
        <v>15</v>
      </c>
      <c r="B860" s="20" t="s">
        <v>157</v>
      </c>
      <c r="C860" s="2">
        <v>44883.295138888891</v>
      </c>
      <c r="D860" s="20" t="s">
        <v>81</v>
      </c>
    </row>
    <row r="861" spans="1:4" x14ac:dyDescent="0.25">
      <c r="A861">
        <v>16</v>
      </c>
      <c r="B861" s="20" t="s">
        <v>68</v>
      </c>
      <c r="C861" s="2">
        <v>44883.295138888891</v>
      </c>
      <c r="D861" s="20" t="s">
        <v>81</v>
      </c>
    </row>
    <row r="862" spans="1:4" x14ac:dyDescent="0.25">
      <c r="A862">
        <v>32</v>
      </c>
      <c r="B862" s="20" t="s">
        <v>164</v>
      </c>
      <c r="C862" s="2">
        <v>44883.295138888891</v>
      </c>
      <c r="D862" s="20" t="s">
        <v>81</v>
      </c>
    </row>
    <row r="863" spans="1:4" x14ac:dyDescent="0.25">
      <c r="A863">
        <v>33</v>
      </c>
      <c r="B863" s="20" t="s">
        <v>165</v>
      </c>
      <c r="C863" s="2">
        <v>44883.295138888891</v>
      </c>
      <c r="D863" s="20" t="s">
        <v>81</v>
      </c>
    </row>
    <row r="864" spans="1:4" x14ac:dyDescent="0.25">
      <c r="A864">
        <v>3</v>
      </c>
      <c r="B864" s="20" t="s">
        <v>39</v>
      </c>
      <c r="C864" s="2">
        <v>44883.303472222222</v>
      </c>
      <c r="D864" s="20" t="s">
        <v>80</v>
      </c>
    </row>
    <row r="865" spans="1:4" x14ac:dyDescent="0.25">
      <c r="A865">
        <v>5</v>
      </c>
      <c r="B865" s="20" t="s">
        <v>96</v>
      </c>
      <c r="C865" s="2">
        <v>44883.303472222222</v>
      </c>
      <c r="D865" s="20" t="s">
        <v>80</v>
      </c>
    </row>
    <row r="866" spans="1:4" x14ac:dyDescent="0.25">
      <c r="A866">
        <v>17</v>
      </c>
      <c r="B866" s="20" t="s">
        <v>105</v>
      </c>
      <c r="C866" s="2">
        <v>44883.303472222222</v>
      </c>
      <c r="D866" s="20" t="s">
        <v>80</v>
      </c>
    </row>
    <row r="867" spans="1:4" x14ac:dyDescent="0.25">
      <c r="A867">
        <v>18</v>
      </c>
      <c r="B867" s="20" t="s">
        <v>106</v>
      </c>
      <c r="C867" s="2">
        <v>44883.303472222222</v>
      </c>
      <c r="D867" s="20" t="s">
        <v>80</v>
      </c>
    </row>
    <row r="868" spans="1:4" x14ac:dyDescent="0.25">
      <c r="A868">
        <v>19</v>
      </c>
      <c r="B868" s="20" t="s">
        <v>107</v>
      </c>
      <c r="C868" s="2">
        <v>44883.303472222222</v>
      </c>
      <c r="D868" s="20" t="s">
        <v>80</v>
      </c>
    </row>
    <row r="869" spans="1:4" x14ac:dyDescent="0.25">
      <c r="A869">
        <v>20</v>
      </c>
      <c r="B869" s="20" t="s">
        <v>108</v>
      </c>
      <c r="C869" s="2">
        <v>44883.303472222222</v>
      </c>
      <c r="D869" s="20" t="s">
        <v>80</v>
      </c>
    </row>
    <row r="870" spans="1:4" x14ac:dyDescent="0.25">
      <c r="A870">
        <v>21</v>
      </c>
      <c r="B870" s="20" t="s">
        <v>109</v>
      </c>
      <c r="C870" s="2">
        <v>44883.303472222222</v>
      </c>
      <c r="D870" s="20" t="s">
        <v>80</v>
      </c>
    </row>
    <row r="871" spans="1:4" x14ac:dyDescent="0.25">
      <c r="A871">
        <v>22</v>
      </c>
      <c r="B871" s="20" t="s">
        <v>110</v>
      </c>
      <c r="C871" s="2">
        <v>44883.303472222222</v>
      </c>
      <c r="D871" s="20" t="s">
        <v>80</v>
      </c>
    </row>
    <row r="872" spans="1:4" x14ac:dyDescent="0.25">
      <c r="A872">
        <v>23</v>
      </c>
      <c r="B872" s="20" t="s">
        <v>111</v>
      </c>
      <c r="C872" s="2">
        <v>44883.303472222222</v>
      </c>
      <c r="D872" s="20" t="s">
        <v>80</v>
      </c>
    </row>
    <row r="873" spans="1:4" x14ac:dyDescent="0.25">
      <c r="A873">
        <v>5</v>
      </c>
      <c r="B873" s="20" t="s">
        <v>96</v>
      </c>
      <c r="C873" s="2">
        <v>44883.305555555555</v>
      </c>
      <c r="D873" s="20" t="s">
        <v>81</v>
      </c>
    </row>
    <row r="874" spans="1:4" x14ac:dyDescent="0.25">
      <c r="A874">
        <v>5</v>
      </c>
      <c r="B874" s="20" t="s">
        <v>96</v>
      </c>
      <c r="C874" s="2">
        <v>44883.305555555555</v>
      </c>
      <c r="D874" s="20" t="s">
        <v>80</v>
      </c>
    </row>
    <row r="875" spans="1:4" x14ac:dyDescent="0.25">
      <c r="A875">
        <v>5</v>
      </c>
      <c r="B875" s="20" t="s">
        <v>96</v>
      </c>
      <c r="C875" s="2">
        <v>44883.315972222219</v>
      </c>
      <c r="D875" s="20" t="s">
        <v>81</v>
      </c>
    </row>
    <row r="876" spans="1:4" x14ac:dyDescent="0.25">
      <c r="A876">
        <v>25</v>
      </c>
      <c r="B876" s="20" t="s">
        <v>41</v>
      </c>
      <c r="C876" s="2">
        <v>44883.315972222219</v>
      </c>
      <c r="D876" s="20" t="s">
        <v>81</v>
      </c>
    </row>
    <row r="877" spans="1:4" x14ac:dyDescent="0.25">
      <c r="A877">
        <v>34</v>
      </c>
      <c r="B877" s="20" t="s">
        <v>67</v>
      </c>
      <c r="C877" s="2">
        <v>44883.315972222219</v>
      </c>
      <c r="D877" s="20" t="s">
        <v>81</v>
      </c>
    </row>
    <row r="878" spans="1:4" x14ac:dyDescent="0.25">
      <c r="A878">
        <v>35</v>
      </c>
      <c r="B878" s="20" t="s">
        <v>166</v>
      </c>
      <c r="C878" s="2">
        <v>44883.315972222219</v>
      </c>
      <c r="D878" s="20" t="s">
        <v>81</v>
      </c>
    </row>
    <row r="879" spans="1:4" x14ac:dyDescent="0.25">
      <c r="A879">
        <v>5</v>
      </c>
      <c r="B879" s="20" t="s">
        <v>96</v>
      </c>
      <c r="C879" s="2">
        <v>44883.326388888891</v>
      </c>
      <c r="D879" s="20" t="s">
        <v>81</v>
      </c>
    </row>
    <row r="880" spans="1:4" x14ac:dyDescent="0.25">
      <c r="A880">
        <v>5</v>
      </c>
      <c r="B880" s="20" t="s">
        <v>96</v>
      </c>
      <c r="C880" s="2">
        <v>44883.336805555555</v>
      </c>
      <c r="D880" s="20" t="s">
        <v>81</v>
      </c>
    </row>
    <row r="881" spans="1:4" x14ac:dyDescent="0.25">
      <c r="A881">
        <v>5</v>
      </c>
      <c r="B881" s="20" t="s">
        <v>96</v>
      </c>
      <c r="C881" s="2">
        <v>44883.347222222219</v>
      </c>
      <c r="D881" s="20" t="s">
        <v>81</v>
      </c>
    </row>
    <row r="882" spans="1:4" x14ac:dyDescent="0.25">
      <c r="A882">
        <v>5</v>
      </c>
      <c r="B882" s="20" t="s">
        <v>96</v>
      </c>
      <c r="C882" s="2">
        <v>44883.357638888891</v>
      </c>
      <c r="D882" s="20" t="s">
        <v>81</v>
      </c>
    </row>
    <row r="883" spans="1:4" x14ac:dyDescent="0.25">
      <c r="A883">
        <v>1</v>
      </c>
      <c r="B883" s="20" t="s">
        <v>6</v>
      </c>
      <c r="C883" s="2">
        <v>44883.368055555555</v>
      </c>
      <c r="D883" s="20" t="s">
        <v>81</v>
      </c>
    </row>
    <row r="884" spans="1:4" x14ac:dyDescent="0.25">
      <c r="A884">
        <v>5</v>
      </c>
      <c r="B884" s="20" t="s">
        <v>167</v>
      </c>
      <c r="C884" s="2">
        <v>44883.368055555555</v>
      </c>
      <c r="D884" s="20" t="s">
        <v>81</v>
      </c>
    </row>
    <row r="885" spans="1:4" x14ac:dyDescent="0.25">
      <c r="A885">
        <v>5</v>
      </c>
      <c r="B885" s="20" t="s">
        <v>167</v>
      </c>
      <c r="C885" s="2">
        <v>44883.378472222219</v>
      </c>
      <c r="D885" s="20" t="s">
        <v>81</v>
      </c>
    </row>
    <row r="886" spans="1:4" x14ac:dyDescent="0.25">
      <c r="A886">
        <v>5</v>
      </c>
      <c r="B886" s="20" t="s">
        <v>167</v>
      </c>
      <c r="C886" s="2">
        <v>44883.388888888891</v>
      </c>
      <c r="D886" s="20" t="s">
        <v>81</v>
      </c>
    </row>
    <row r="887" spans="1:4" x14ac:dyDescent="0.25">
      <c r="A887">
        <v>5</v>
      </c>
      <c r="B887" s="20" t="s">
        <v>167</v>
      </c>
      <c r="C887" s="2">
        <v>44883.399305555555</v>
      </c>
      <c r="D887" s="20" t="s">
        <v>81</v>
      </c>
    </row>
    <row r="888" spans="1:4" x14ac:dyDescent="0.25">
      <c r="A888">
        <v>5</v>
      </c>
      <c r="B888" s="20" t="s">
        <v>167</v>
      </c>
      <c r="C888" s="2">
        <v>44883.409722222219</v>
      </c>
      <c r="D888" s="20" t="s">
        <v>81</v>
      </c>
    </row>
    <row r="889" spans="1:4" x14ac:dyDescent="0.25">
      <c r="A889">
        <v>5</v>
      </c>
      <c r="B889" s="20" t="s">
        <v>167</v>
      </c>
      <c r="C889" s="2">
        <v>44883.420138888891</v>
      </c>
      <c r="D889" s="20" t="s">
        <v>81</v>
      </c>
    </row>
    <row r="890" spans="1:4" x14ac:dyDescent="0.25">
      <c r="A890">
        <v>5</v>
      </c>
      <c r="B890" s="20" t="s">
        <v>167</v>
      </c>
      <c r="C890" s="2">
        <v>44883.430555555555</v>
      </c>
      <c r="D890" s="20" t="s">
        <v>81</v>
      </c>
    </row>
    <row r="891" spans="1:4" x14ac:dyDescent="0.25">
      <c r="A891">
        <v>5</v>
      </c>
      <c r="B891" s="20" t="s">
        <v>167</v>
      </c>
      <c r="C891" s="2">
        <v>44883.440972222219</v>
      </c>
      <c r="D891" s="20" t="s">
        <v>81</v>
      </c>
    </row>
    <row r="892" spans="1:4" x14ac:dyDescent="0.25">
      <c r="A892">
        <v>5</v>
      </c>
      <c r="B892" s="20" t="s">
        <v>167</v>
      </c>
      <c r="C892" s="2">
        <v>44883.451388888891</v>
      </c>
      <c r="D892" s="20" t="s">
        <v>81</v>
      </c>
    </row>
    <row r="893" spans="1:4" x14ac:dyDescent="0.25">
      <c r="A893">
        <v>5</v>
      </c>
      <c r="B893" s="20" t="s">
        <v>96</v>
      </c>
      <c r="C893" s="2">
        <v>44884.015277777777</v>
      </c>
      <c r="D893" s="20" t="s">
        <v>81</v>
      </c>
    </row>
    <row r="894" spans="1:4" x14ac:dyDescent="0.25">
      <c r="A894">
        <v>5</v>
      </c>
      <c r="B894" s="20" t="s">
        <v>96</v>
      </c>
      <c r="C894" s="2">
        <v>44884.284722222219</v>
      </c>
      <c r="D894" s="20" t="s">
        <v>81</v>
      </c>
    </row>
    <row r="895" spans="1:4" x14ac:dyDescent="0.25">
      <c r="A895">
        <v>25</v>
      </c>
      <c r="B895" s="20" t="s">
        <v>41</v>
      </c>
      <c r="C895" s="2">
        <v>44884.284722222219</v>
      </c>
      <c r="D895" s="20" t="s">
        <v>81</v>
      </c>
    </row>
    <row r="896" spans="1:4" x14ac:dyDescent="0.25">
      <c r="A896">
        <v>26</v>
      </c>
      <c r="B896" s="20" t="s">
        <v>159</v>
      </c>
      <c r="C896" s="2">
        <v>44884.284722222219</v>
      </c>
      <c r="D896" s="20" t="s">
        <v>81</v>
      </c>
    </row>
    <row r="897" spans="1:4" x14ac:dyDescent="0.25">
      <c r="A897">
        <v>27</v>
      </c>
      <c r="B897" s="20" t="s">
        <v>60</v>
      </c>
      <c r="C897" s="2">
        <v>44884.284722222219</v>
      </c>
      <c r="D897" s="20" t="s">
        <v>81</v>
      </c>
    </row>
    <row r="898" spans="1:4" x14ac:dyDescent="0.25">
      <c r="A898">
        <v>28</v>
      </c>
      <c r="B898" s="20" t="s">
        <v>160</v>
      </c>
      <c r="C898" s="2">
        <v>44884.284722222219</v>
      </c>
      <c r="D898" s="20" t="s">
        <v>81</v>
      </c>
    </row>
    <row r="899" spans="1:4" x14ac:dyDescent="0.25">
      <c r="A899">
        <v>29</v>
      </c>
      <c r="B899" s="20" t="s">
        <v>161</v>
      </c>
      <c r="C899" s="2">
        <v>44884.284722222219</v>
      </c>
      <c r="D899" s="20" t="s">
        <v>81</v>
      </c>
    </row>
    <row r="900" spans="1:4" x14ac:dyDescent="0.25">
      <c r="A900">
        <v>5</v>
      </c>
      <c r="B900" s="20" t="s">
        <v>96</v>
      </c>
      <c r="C900" s="2">
        <v>44884.295138888891</v>
      </c>
      <c r="D900" s="20" t="s">
        <v>81</v>
      </c>
    </row>
    <row r="901" spans="1:4" x14ac:dyDescent="0.25">
      <c r="A901">
        <v>7</v>
      </c>
      <c r="B901" s="20" t="s">
        <v>59</v>
      </c>
      <c r="C901" s="2">
        <v>44884.295138888891</v>
      </c>
      <c r="D901" s="20" t="s">
        <v>81</v>
      </c>
    </row>
    <row r="902" spans="1:4" x14ac:dyDescent="0.25">
      <c r="A902">
        <v>9</v>
      </c>
      <c r="B902" s="20" t="s">
        <v>61</v>
      </c>
      <c r="C902" s="2">
        <v>44884.295138888891</v>
      </c>
      <c r="D902" s="20" t="s">
        <v>81</v>
      </c>
    </row>
    <row r="903" spans="1:4" x14ac:dyDescent="0.25">
      <c r="A903">
        <v>10</v>
      </c>
      <c r="B903" s="20" t="s">
        <v>62</v>
      </c>
      <c r="C903" s="2">
        <v>44884.295138888891</v>
      </c>
      <c r="D903" s="20" t="s">
        <v>81</v>
      </c>
    </row>
    <row r="904" spans="1:4" x14ac:dyDescent="0.25">
      <c r="A904">
        <v>11</v>
      </c>
      <c r="B904" s="20" t="s">
        <v>63</v>
      </c>
      <c r="C904" s="2">
        <v>44884.295138888891</v>
      </c>
      <c r="D904" s="20" t="s">
        <v>81</v>
      </c>
    </row>
    <row r="905" spans="1:4" x14ac:dyDescent="0.25">
      <c r="A905">
        <v>12</v>
      </c>
      <c r="B905" s="20" t="s">
        <v>64</v>
      </c>
      <c r="C905" s="2">
        <v>44884.295138888891</v>
      </c>
      <c r="D905" s="20" t="s">
        <v>81</v>
      </c>
    </row>
    <row r="906" spans="1:4" x14ac:dyDescent="0.25">
      <c r="A906">
        <v>13</v>
      </c>
      <c r="B906" s="20" t="s">
        <v>65</v>
      </c>
      <c r="C906" s="2">
        <v>44884.295138888891</v>
      </c>
      <c r="D906" s="20" t="s">
        <v>81</v>
      </c>
    </row>
    <row r="907" spans="1:4" x14ac:dyDescent="0.25">
      <c r="A907">
        <v>14</v>
      </c>
      <c r="B907" s="20" t="s">
        <v>66</v>
      </c>
      <c r="C907" s="2">
        <v>44884.295138888891</v>
      </c>
      <c r="D907" s="20" t="s">
        <v>81</v>
      </c>
    </row>
    <row r="908" spans="1:4" x14ac:dyDescent="0.25">
      <c r="A908">
        <v>15</v>
      </c>
      <c r="B908" s="20" t="s">
        <v>157</v>
      </c>
      <c r="C908" s="2">
        <v>44884.295138888891</v>
      </c>
      <c r="D908" s="20" t="s">
        <v>81</v>
      </c>
    </row>
    <row r="909" spans="1:4" x14ac:dyDescent="0.25">
      <c r="A909">
        <v>16</v>
      </c>
      <c r="B909" s="20" t="s">
        <v>68</v>
      </c>
      <c r="C909" s="2">
        <v>44884.295138888891</v>
      </c>
      <c r="D909" s="20" t="s">
        <v>81</v>
      </c>
    </row>
    <row r="910" spans="1:4" x14ac:dyDescent="0.25">
      <c r="A910">
        <v>33</v>
      </c>
      <c r="B910" s="20" t="s">
        <v>165</v>
      </c>
      <c r="C910" s="2">
        <v>44884.295138888891</v>
      </c>
      <c r="D910" s="20" t="s">
        <v>81</v>
      </c>
    </row>
    <row r="911" spans="1:4" x14ac:dyDescent="0.25">
      <c r="A911">
        <v>34</v>
      </c>
      <c r="B911" s="20" t="s">
        <v>67</v>
      </c>
      <c r="C911" s="2">
        <v>44884.295138888891</v>
      </c>
      <c r="D911" s="20" t="s">
        <v>81</v>
      </c>
    </row>
    <row r="912" spans="1:4" x14ac:dyDescent="0.25">
      <c r="A912">
        <v>35</v>
      </c>
      <c r="B912" s="20" t="s">
        <v>166</v>
      </c>
      <c r="C912" s="2">
        <v>44884.295138888891</v>
      </c>
      <c r="D912" s="20" t="s">
        <v>81</v>
      </c>
    </row>
    <row r="913" spans="1:4" x14ac:dyDescent="0.25">
      <c r="A913">
        <v>3</v>
      </c>
      <c r="B913" s="20" t="s">
        <v>39</v>
      </c>
      <c r="C913" s="2">
        <v>44884.304166666669</v>
      </c>
      <c r="D913" s="20" t="s">
        <v>80</v>
      </c>
    </row>
    <row r="914" spans="1:4" x14ac:dyDescent="0.25">
      <c r="A914">
        <v>5</v>
      </c>
      <c r="B914" s="20" t="s">
        <v>96</v>
      </c>
      <c r="C914" s="2">
        <v>44884.304166666669</v>
      </c>
      <c r="D914" s="20" t="s">
        <v>80</v>
      </c>
    </row>
    <row r="915" spans="1:4" x14ac:dyDescent="0.25">
      <c r="A915">
        <v>17</v>
      </c>
      <c r="B915" s="20" t="s">
        <v>105</v>
      </c>
      <c r="C915" s="2">
        <v>44884.304166666669</v>
      </c>
      <c r="D915" s="20" t="s">
        <v>80</v>
      </c>
    </row>
    <row r="916" spans="1:4" x14ac:dyDescent="0.25">
      <c r="A916">
        <v>18</v>
      </c>
      <c r="B916" s="20" t="s">
        <v>106</v>
      </c>
      <c r="C916" s="2">
        <v>44884.304166666669</v>
      </c>
      <c r="D916" s="20" t="s">
        <v>80</v>
      </c>
    </row>
    <row r="917" spans="1:4" x14ac:dyDescent="0.25">
      <c r="A917">
        <v>19</v>
      </c>
      <c r="B917" s="20" t="s">
        <v>107</v>
      </c>
      <c r="C917" s="2">
        <v>44884.304166666669</v>
      </c>
      <c r="D917" s="20" t="s">
        <v>80</v>
      </c>
    </row>
    <row r="918" spans="1:4" x14ac:dyDescent="0.25">
      <c r="A918">
        <v>20</v>
      </c>
      <c r="B918" s="20" t="s">
        <v>108</v>
      </c>
      <c r="C918" s="2">
        <v>44884.304166666669</v>
      </c>
      <c r="D918" s="20" t="s">
        <v>80</v>
      </c>
    </row>
    <row r="919" spans="1:4" x14ac:dyDescent="0.25">
      <c r="A919">
        <v>21</v>
      </c>
      <c r="B919" s="20" t="s">
        <v>109</v>
      </c>
      <c r="C919" s="2">
        <v>44884.304166666669</v>
      </c>
      <c r="D919" s="20" t="s">
        <v>80</v>
      </c>
    </row>
    <row r="920" spans="1:4" x14ac:dyDescent="0.25">
      <c r="A920">
        <v>22</v>
      </c>
      <c r="B920" s="20" t="s">
        <v>110</v>
      </c>
      <c r="C920" s="2">
        <v>44884.304166666669</v>
      </c>
      <c r="D920" s="20" t="s">
        <v>80</v>
      </c>
    </row>
    <row r="921" spans="1:4" x14ac:dyDescent="0.25">
      <c r="A921">
        <v>23</v>
      </c>
      <c r="B921" s="20" t="s">
        <v>111</v>
      </c>
      <c r="C921" s="2">
        <v>44884.304166666669</v>
      </c>
      <c r="D921" s="20" t="s">
        <v>80</v>
      </c>
    </row>
    <row r="922" spans="1:4" x14ac:dyDescent="0.25">
      <c r="A922">
        <v>5</v>
      </c>
      <c r="B922" s="20" t="s">
        <v>96</v>
      </c>
      <c r="C922" s="2">
        <v>44884.305555555555</v>
      </c>
      <c r="D922" s="20" t="s">
        <v>81</v>
      </c>
    </row>
    <row r="923" spans="1:4" x14ac:dyDescent="0.25">
      <c r="A923">
        <v>5</v>
      </c>
      <c r="B923" s="20" t="s">
        <v>96</v>
      </c>
      <c r="C923" s="2">
        <v>44884.305555555555</v>
      </c>
      <c r="D923" s="20" t="s">
        <v>80</v>
      </c>
    </row>
    <row r="924" spans="1:4" x14ac:dyDescent="0.25">
      <c r="A924">
        <v>5</v>
      </c>
      <c r="B924" s="20" t="s">
        <v>96</v>
      </c>
      <c r="C924" s="2">
        <v>44884.315972222219</v>
      </c>
      <c r="D924" s="20" t="s">
        <v>81</v>
      </c>
    </row>
    <row r="925" spans="1:4" x14ac:dyDescent="0.25">
      <c r="A925">
        <v>24</v>
      </c>
      <c r="B925" s="20" t="s">
        <v>28</v>
      </c>
      <c r="C925" s="2">
        <v>44884.315972222219</v>
      </c>
      <c r="D925" s="20" t="s">
        <v>81</v>
      </c>
    </row>
    <row r="926" spans="1:4" x14ac:dyDescent="0.25">
      <c r="A926">
        <v>30</v>
      </c>
      <c r="B926" s="20" t="s">
        <v>162</v>
      </c>
      <c r="C926" s="2">
        <v>44884.315972222219</v>
      </c>
      <c r="D926" s="20" t="s">
        <v>81</v>
      </c>
    </row>
    <row r="927" spans="1:4" x14ac:dyDescent="0.25">
      <c r="A927">
        <v>31</v>
      </c>
      <c r="B927" s="20" t="s">
        <v>163</v>
      </c>
      <c r="C927" s="2">
        <v>44884.315972222219</v>
      </c>
      <c r="D927" s="20" t="s">
        <v>81</v>
      </c>
    </row>
    <row r="928" spans="1:4" x14ac:dyDescent="0.25">
      <c r="A928">
        <v>32</v>
      </c>
      <c r="B928" s="20" t="s">
        <v>164</v>
      </c>
      <c r="C928" s="2">
        <v>44884.315972222219</v>
      </c>
      <c r="D928" s="20" t="s">
        <v>81</v>
      </c>
    </row>
    <row r="929" spans="1:4" x14ac:dyDescent="0.25">
      <c r="A929">
        <v>5</v>
      </c>
      <c r="B929" s="20" t="s">
        <v>96</v>
      </c>
      <c r="C929" s="2">
        <v>44884.326388888891</v>
      </c>
      <c r="D929" s="20" t="s">
        <v>81</v>
      </c>
    </row>
    <row r="930" spans="1:4" x14ac:dyDescent="0.25">
      <c r="A930">
        <v>5</v>
      </c>
      <c r="B930" s="20" t="s">
        <v>96</v>
      </c>
      <c r="C930" s="2">
        <v>44884.336805555555</v>
      </c>
      <c r="D930" s="20" t="s">
        <v>81</v>
      </c>
    </row>
    <row r="931" spans="1:4" x14ac:dyDescent="0.25">
      <c r="A931">
        <v>5</v>
      </c>
      <c r="B931" s="20" t="s">
        <v>96</v>
      </c>
      <c r="C931" s="2">
        <v>44884.347222222219</v>
      </c>
      <c r="D931" s="20" t="s">
        <v>81</v>
      </c>
    </row>
    <row r="932" spans="1:4" x14ac:dyDescent="0.25">
      <c r="A932">
        <v>5</v>
      </c>
      <c r="B932" s="20" t="s">
        <v>96</v>
      </c>
      <c r="C932" s="2">
        <v>44884.357638888891</v>
      </c>
      <c r="D932" s="20" t="s">
        <v>81</v>
      </c>
    </row>
    <row r="933" spans="1:4" x14ac:dyDescent="0.25">
      <c r="A933">
        <v>1</v>
      </c>
      <c r="B933" s="20" t="s">
        <v>6</v>
      </c>
      <c r="C933" s="2">
        <v>44884.368055555555</v>
      </c>
      <c r="D933" s="20" t="s">
        <v>81</v>
      </c>
    </row>
    <row r="934" spans="1:4" x14ac:dyDescent="0.25">
      <c r="A934">
        <v>5</v>
      </c>
      <c r="B934" s="20" t="s">
        <v>167</v>
      </c>
      <c r="C934" s="2">
        <v>44884.368055555555</v>
      </c>
      <c r="D934" s="20" t="s">
        <v>81</v>
      </c>
    </row>
    <row r="935" spans="1:4" x14ac:dyDescent="0.25">
      <c r="A935">
        <v>5</v>
      </c>
      <c r="B935" s="20" t="s">
        <v>167</v>
      </c>
      <c r="C935" s="2">
        <v>44884.378472222219</v>
      </c>
      <c r="D935" s="20" t="s">
        <v>81</v>
      </c>
    </row>
    <row r="936" spans="1:4" x14ac:dyDescent="0.25">
      <c r="A936">
        <v>5</v>
      </c>
      <c r="B936" s="20" t="s">
        <v>167</v>
      </c>
      <c r="C936" s="2">
        <v>44884.388888888891</v>
      </c>
      <c r="D936" s="20" t="s">
        <v>81</v>
      </c>
    </row>
    <row r="937" spans="1:4" x14ac:dyDescent="0.25">
      <c r="A937">
        <v>5</v>
      </c>
      <c r="B937" s="20" t="s">
        <v>167</v>
      </c>
      <c r="C937" s="2">
        <v>44884.399305555555</v>
      </c>
      <c r="D937" s="20" t="s">
        <v>81</v>
      </c>
    </row>
    <row r="938" spans="1:4" x14ac:dyDescent="0.25">
      <c r="A938">
        <v>5</v>
      </c>
      <c r="B938" s="20" t="s">
        <v>167</v>
      </c>
      <c r="C938" s="2">
        <v>44884.409722222219</v>
      </c>
      <c r="D938" s="20" t="s">
        <v>81</v>
      </c>
    </row>
    <row r="939" spans="1:4" x14ac:dyDescent="0.25">
      <c r="A939">
        <v>5</v>
      </c>
      <c r="B939" s="20" t="s">
        <v>167</v>
      </c>
      <c r="C939" s="2">
        <v>44884.420138888891</v>
      </c>
      <c r="D939" s="20" t="s">
        <v>81</v>
      </c>
    </row>
    <row r="940" spans="1:4" x14ac:dyDescent="0.25">
      <c r="A940">
        <v>5</v>
      </c>
      <c r="B940" s="20" t="s">
        <v>167</v>
      </c>
      <c r="C940" s="2">
        <v>44884.430555555555</v>
      </c>
      <c r="D940" s="20" t="s">
        <v>81</v>
      </c>
    </row>
    <row r="941" spans="1:4" x14ac:dyDescent="0.25">
      <c r="A941">
        <v>5</v>
      </c>
      <c r="B941" s="20" t="s">
        <v>167</v>
      </c>
      <c r="C941" s="2">
        <v>44884.440972222219</v>
      </c>
      <c r="D941" s="20" t="s">
        <v>81</v>
      </c>
    </row>
    <row r="942" spans="1:4" x14ac:dyDescent="0.25">
      <c r="A942">
        <v>5</v>
      </c>
      <c r="B942" s="20" t="s">
        <v>167</v>
      </c>
      <c r="C942" s="2">
        <v>44884.451388888891</v>
      </c>
      <c r="D942" s="20" t="s">
        <v>81</v>
      </c>
    </row>
    <row r="943" spans="1:4" x14ac:dyDescent="0.25">
      <c r="A943">
        <v>5</v>
      </c>
      <c r="B943" s="20" t="s">
        <v>167</v>
      </c>
      <c r="C943" s="2">
        <v>44884.772222222222</v>
      </c>
      <c r="D943" s="20" t="s">
        <v>81</v>
      </c>
    </row>
    <row r="944" spans="1:4" x14ac:dyDescent="0.25">
      <c r="A944">
        <v>5</v>
      </c>
      <c r="B944" s="20" t="s">
        <v>96</v>
      </c>
      <c r="C944" s="2">
        <v>44885.284722222219</v>
      </c>
      <c r="D944" s="20" t="s">
        <v>81</v>
      </c>
    </row>
    <row r="945" spans="1:4" x14ac:dyDescent="0.25">
      <c r="A945">
        <v>24</v>
      </c>
      <c r="B945" s="20" t="s">
        <v>28</v>
      </c>
      <c r="C945" s="2">
        <v>44885.284722222219</v>
      </c>
      <c r="D945" s="20" t="s">
        <v>81</v>
      </c>
    </row>
    <row r="946" spans="1:4" x14ac:dyDescent="0.25">
      <c r="A946">
        <v>25</v>
      </c>
      <c r="B946" s="20" t="s">
        <v>41</v>
      </c>
      <c r="C946" s="2">
        <v>44885.284722222219</v>
      </c>
      <c r="D946" s="20" t="s">
        <v>81</v>
      </c>
    </row>
    <row r="947" spans="1:4" x14ac:dyDescent="0.25">
      <c r="A947">
        <v>27</v>
      </c>
      <c r="B947" s="20" t="s">
        <v>60</v>
      </c>
      <c r="C947" s="2">
        <v>44885.284722222219</v>
      </c>
      <c r="D947" s="20" t="s">
        <v>81</v>
      </c>
    </row>
    <row r="948" spans="1:4" x14ac:dyDescent="0.25">
      <c r="A948">
        <v>28</v>
      </c>
      <c r="B948" s="20" t="s">
        <v>160</v>
      </c>
      <c r="C948" s="2">
        <v>44885.284722222219</v>
      </c>
      <c r="D948" s="20" t="s">
        <v>81</v>
      </c>
    </row>
    <row r="949" spans="1:4" x14ac:dyDescent="0.25">
      <c r="A949">
        <v>30</v>
      </c>
      <c r="B949" s="20" t="s">
        <v>162</v>
      </c>
      <c r="C949" s="2">
        <v>44885.284722222219</v>
      </c>
      <c r="D949" s="20" t="s">
        <v>81</v>
      </c>
    </row>
    <row r="950" spans="1:4" x14ac:dyDescent="0.25">
      <c r="A950">
        <v>31</v>
      </c>
      <c r="B950" s="20" t="s">
        <v>163</v>
      </c>
      <c r="C950" s="2">
        <v>44885.284722222219</v>
      </c>
      <c r="D950" s="20" t="s">
        <v>81</v>
      </c>
    </row>
    <row r="951" spans="1:4" x14ac:dyDescent="0.25">
      <c r="A951">
        <v>5</v>
      </c>
      <c r="B951" s="20" t="s">
        <v>96</v>
      </c>
      <c r="C951" s="2">
        <v>44885.295138888891</v>
      </c>
      <c r="D951" s="20" t="s">
        <v>81</v>
      </c>
    </row>
    <row r="952" spans="1:4" x14ac:dyDescent="0.25">
      <c r="A952">
        <v>32</v>
      </c>
      <c r="B952" s="20" t="s">
        <v>164</v>
      </c>
      <c r="C952" s="2">
        <v>44885.295138888891</v>
      </c>
      <c r="D952" s="20" t="s">
        <v>81</v>
      </c>
    </row>
    <row r="953" spans="1:4" x14ac:dyDescent="0.25">
      <c r="A953">
        <v>33</v>
      </c>
      <c r="B953" s="20" t="s">
        <v>165</v>
      </c>
      <c r="C953" s="2">
        <v>44885.295138888891</v>
      </c>
      <c r="D953" s="20" t="s">
        <v>81</v>
      </c>
    </row>
    <row r="954" spans="1:4" x14ac:dyDescent="0.25">
      <c r="A954">
        <v>34</v>
      </c>
      <c r="B954" s="20" t="s">
        <v>67</v>
      </c>
      <c r="C954" s="2">
        <v>44885.295138888891</v>
      </c>
      <c r="D954" s="20" t="s">
        <v>81</v>
      </c>
    </row>
    <row r="955" spans="1:4" x14ac:dyDescent="0.25">
      <c r="A955">
        <v>35</v>
      </c>
      <c r="B955" s="20" t="s">
        <v>166</v>
      </c>
      <c r="C955" s="2">
        <v>44885.295138888891</v>
      </c>
      <c r="D955" s="20" t="s">
        <v>81</v>
      </c>
    </row>
    <row r="956" spans="1:4" x14ac:dyDescent="0.25">
      <c r="A956">
        <v>3</v>
      </c>
      <c r="B956" s="20" t="s">
        <v>39</v>
      </c>
      <c r="C956" s="2">
        <v>44885.304166666669</v>
      </c>
      <c r="D956" s="20" t="s">
        <v>80</v>
      </c>
    </row>
    <row r="957" spans="1:4" x14ac:dyDescent="0.25">
      <c r="A957">
        <v>5</v>
      </c>
      <c r="B957" s="20" t="s">
        <v>96</v>
      </c>
      <c r="C957" s="2">
        <v>44885.304166666669</v>
      </c>
      <c r="D957" s="20" t="s">
        <v>80</v>
      </c>
    </row>
    <row r="958" spans="1:4" x14ac:dyDescent="0.25">
      <c r="A958">
        <v>7</v>
      </c>
      <c r="B958" s="20" t="s">
        <v>59</v>
      </c>
      <c r="C958" s="2">
        <v>44885.304166666669</v>
      </c>
      <c r="D958" s="20" t="s">
        <v>80</v>
      </c>
    </row>
    <row r="959" spans="1:4" x14ac:dyDescent="0.25">
      <c r="A959">
        <v>9</v>
      </c>
      <c r="B959" s="20" t="s">
        <v>61</v>
      </c>
      <c r="C959" s="2">
        <v>44885.304166666669</v>
      </c>
      <c r="D959" s="20" t="s">
        <v>80</v>
      </c>
    </row>
    <row r="960" spans="1:4" x14ac:dyDescent="0.25">
      <c r="A960">
        <v>10</v>
      </c>
      <c r="B960" s="20" t="s">
        <v>62</v>
      </c>
      <c r="C960" s="2">
        <v>44885.304166666669</v>
      </c>
      <c r="D960" s="20" t="s">
        <v>80</v>
      </c>
    </row>
    <row r="961" spans="1:4" x14ac:dyDescent="0.25">
      <c r="A961">
        <v>11</v>
      </c>
      <c r="B961" s="20" t="s">
        <v>63</v>
      </c>
      <c r="C961" s="2">
        <v>44885.304166666669</v>
      </c>
      <c r="D961" s="20" t="s">
        <v>80</v>
      </c>
    </row>
    <row r="962" spans="1:4" x14ac:dyDescent="0.25">
      <c r="A962">
        <v>12</v>
      </c>
      <c r="B962" s="20" t="s">
        <v>64</v>
      </c>
      <c r="C962" s="2">
        <v>44885.304166666669</v>
      </c>
      <c r="D962" s="20" t="s">
        <v>80</v>
      </c>
    </row>
    <row r="963" spans="1:4" x14ac:dyDescent="0.25">
      <c r="A963">
        <v>13</v>
      </c>
      <c r="B963" s="20" t="s">
        <v>65</v>
      </c>
      <c r="C963" s="2">
        <v>44885.304166666669</v>
      </c>
      <c r="D963" s="20" t="s">
        <v>80</v>
      </c>
    </row>
    <row r="964" spans="1:4" x14ac:dyDescent="0.25">
      <c r="A964">
        <v>14</v>
      </c>
      <c r="B964" s="20" t="s">
        <v>66</v>
      </c>
      <c r="C964" s="2">
        <v>44885.304166666669</v>
      </c>
      <c r="D964" s="20" t="s">
        <v>80</v>
      </c>
    </row>
    <row r="965" spans="1:4" x14ac:dyDescent="0.25">
      <c r="A965">
        <v>16</v>
      </c>
      <c r="B965" s="20" t="s">
        <v>68</v>
      </c>
      <c r="C965" s="2">
        <v>44885.304166666669</v>
      </c>
      <c r="D965" s="20" t="s">
        <v>80</v>
      </c>
    </row>
    <row r="966" spans="1:4" x14ac:dyDescent="0.25">
      <c r="A966">
        <v>17</v>
      </c>
      <c r="B966" s="20" t="s">
        <v>105</v>
      </c>
      <c r="C966" s="2">
        <v>44885.304166666669</v>
      </c>
      <c r="D966" s="20" t="s">
        <v>80</v>
      </c>
    </row>
    <row r="967" spans="1:4" x14ac:dyDescent="0.25">
      <c r="A967">
        <v>18</v>
      </c>
      <c r="B967" s="20" t="s">
        <v>106</v>
      </c>
      <c r="C967" s="2">
        <v>44885.304166666669</v>
      </c>
      <c r="D967" s="20" t="s">
        <v>80</v>
      </c>
    </row>
    <row r="968" spans="1:4" x14ac:dyDescent="0.25">
      <c r="A968">
        <v>19</v>
      </c>
      <c r="B968" s="20" t="s">
        <v>107</v>
      </c>
      <c r="C968" s="2">
        <v>44885.304166666669</v>
      </c>
      <c r="D968" s="20" t="s">
        <v>80</v>
      </c>
    </row>
    <row r="969" spans="1:4" x14ac:dyDescent="0.25">
      <c r="A969">
        <v>20</v>
      </c>
      <c r="B969" s="20" t="s">
        <v>108</v>
      </c>
      <c r="C969" s="2">
        <v>44885.304166666669</v>
      </c>
      <c r="D969" s="20" t="s">
        <v>80</v>
      </c>
    </row>
    <row r="970" spans="1:4" x14ac:dyDescent="0.25">
      <c r="A970">
        <v>21</v>
      </c>
      <c r="B970" s="20" t="s">
        <v>109</v>
      </c>
      <c r="C970" s="2">
        <v>44885.304166666669</v>
      </c>
      <c r="D970" s="20" t="s">
        <v>80</v>
      </c>
    </row>
    <row r="971" spans="1:4" x14ac:dyDescent="0.25">
      <c r="A971">
        <v>22</v>
      </c>
      <c r="B971" s="20" t="s">
        <v>110</v>
      </c>
      <c r="C971" s="2">
        <v>44885.304166666669</v>
      </c>
      <c r="D971" s="20" t="s">
        <v>80</v>
      </c>
    </row>
    <row r="972" spans="1:4" x14ac:dyDescent="0.25">
      <c r="A972">
        <v>23</v>
      </c>
      <c r="B972" s="20" t="s">
        <v>111</v>
      </c>
      <c r="C972" s="2">
        <v>44885.304166666669</v>
      </c>
      <c r="D972" s="20" t="s">
        <v>80</v>
      </c>
    </row>
    <row r="973" spans="1:4" x14ac:dyDescent="0.25">
      <c r="A973">
        <v>5</v>
      </c>
      <c r="B973" s="20" t="s">
        <v>96</v>
      </c>
      <c r="C973" s="2">
        <v>44885.305555555555</v>
      </c>
      <c r="D973" s="20" t="s">
        <v>80</v>
      </c>
    </row>
    <row r="974" spans="1:4" x14ac:dyDescent="0.25">
      <c r="A974">
        <v>5</v>
      </c>
      <c r="B974" s="20" t="s">
        <v>96</v>
      </c>
      <c r="C974" s="2">
        <v>44885.315972222219</v>
      </c>
      <c r="D974" s="20" t="s">
        <v>81</v>
      </c>
    </row>
    <row r="975" spans="1:4" x14ac:dyDescent="0.25">
      <c r="A975">
        <v>15</v>
      </c>
      <c r="B975" s="20" t="s">
        <v>157</v>
      </c>
      <c r="C975" s="2">
        <v>44885.315972222219</v>
      </c>
      <c r="D975" s="20" t="s">
        <v>81</v>
      </c>
    </row>
    <row r="976" spans="1:4" x14ac:dyDescent="0.25">
      <c r="A976">
        <v>26</v>
      </c>
      <c r="B976" s="20" t="s">
        <v>159</v>
      </c>
      <c r="C976" s="2">
        <v>44885.315972222219</v>
      </c>
      <c r="D976" s="20" t="s">
        <v>81</v>
      </c>
    </row>
    <row r="977" spans="1:4" x14ac:dyDescent="0.25">
      <c r="A977">
        <v>29</v>
      </c>
      <c r="B977" s="20" t="s">
        <v>161</v>
      </c>
      <c r="C977" s="2">
        <v>44885.315972222219</v>
      </c>
      <c r="D977" s="20" t="s">
        <v>81</v>
      </c>
    </row>
    <row r="978" spans="1:4" x14ac:dyDescent="0.25">
      <c r="A978">
        <v>5</v>
      </c>
      <c r="B978" s="20" t="s">
        <v>96</v>
      </c>
      <c r="C978" s="2">
        <v>44885.326388888891</v>
      </c>
      <c r="D978" s="20" t="s">
        <v>81</v>
      </c>
    </row>
    <row r="979" spans="1:4" x14ac:dyDescent="0.25">
      <c r="A979">
        <v>5</v>
      </c>
      <c r="B979" s="20" t="s">
        <v>96</v>
      </c>
      <c r="C979" s="2">
        <v>44885.336805555555</v>
      </c>
      <c r="D979" s="20" t="s">
        <v>81</v>
      </c>
    </row>
    <row r="980" spans="1:4" x14ac:dyDescent="0.25">
      <c r="A980">
        <v>5</v>
      </c>
      <c r="B980" s="20" t="s">
        <v>96</v>
      </c>
      <c r="C980" s="2">
        <v>44885.347222222219</v>
      </c>
      <c r="D980" s="20" t="s">
        <v>81</v>
      </c>
    </row>
    <row r="981" spans="1:4" x14ac:dyDescent="0.25">
      <c r="A981">
        <v>5</v>
      </c>
      <c r="B981" s="20" t="s">
        <v>96</v>
      </c>
      <c r="C981" s="2">
        <v>44885.357638888891</v>
      </c>
      <c r="D981" s="20" t="s">
        <v>81</v>
      </c>
    </row>
    <row r="982" spans="1:4" x14ac:dyDescent="0.25">
      <c r="A982">
        <v>5</v>
      </c>
      <c r="B982" s="20" t="s">
        <v>96</v>
      </c>
      <c r="C982" s="2">
        <v>44885.368055555555</v>
      </c>
      <c r="D982" s="20" t="s">
        <v>81</v>
      </c>
    </row>
    <row r="983" spans="1:4" x14ac:dyDescent="0.25">
      <c r="A983">
        <v>5</v>
      </c>
      <c r="B983" s="20" t="s">
        <v>96</v>
      </c>
      <c r="C983" s="2">
        <v>44885.378472222219</v>
      </c>
      <c r="D983" s="20" t="s">
        <v>81</v>
      </c>
    </row>
    <row r="984" spans="1:4" x14ac:dyDescent="0.25">
      <c r="A984">
        <v>5</v>
      </c>
      <c r="B984" s="20" t="s">
        <v>96</v>
      </c>
      <c r="C984" s="2">
        <v>44885.388888888891</v>
      </c>
      <c r="D984" s="20" t="s">
        <v>81</v>
      </c>
    </row>
    <row r="985" spans="1:4" x14ac:dyDescent="0.25">
      <c r="A985">
        <v>5</v>
      </c>
      <c r="B985" s="20" t="s">
        <v>96</v>
      </c>
      <c r="C985" s="2">
        <v>44885.399305555555</v>
      </c>
      <c r="D985" s="20" t="s">
        <v>81</v>
      </c>
    </row>
    <row r="986" spans="1:4" x14ac:dyDescent="0.25">
      <c r="A986">
        <v>5</v>
      </c>
      <c r="B986" s="20" t="s">
        <v>96</v>
      </c>
      <c r="C986" s="2">
        <v>44885.409722222219</v>
      </c>
      <c r="D986" s="20" t="s">
        <v>81</v>
      </c>
    </row>
    <row r="987" spans="1:4" x14ac:dyDescent="0.25">
      <c r="A987">
        <v>5</v>
      </c>
      <c r="B987" s="20" t="s">
        <v>96</v>
      </c>
      <c r="C987" s="2">
        <v>44885.420138888891</v>
      </c>
      <c r="D987" s="20" t="s">
        <v>81</v>
      </c>
    </row>
    <row r="988" spans="1:4" x14ac:dyDescent="0.25">
      <c r="A988">
        <v>5</v>
      </c>
      <c r="B988" s="20" t="s">
        <v>96</v>
      </c>
      <c r="C988" s="2">
        <v>44885.430555555555</v>
      </c>
      <c r="D988" s="20" t="s">
        <v>81</v>
      </c>
    </row>
    <row r="989" spans="1:4" x14ac:dyDescent="0.25">
      <c r="A989">
        <v>5</v>
      </c>
      <c r="B989" s="20" t="s">
        <v>96</v>
      </c>
      <c r="C989" s="2">
        <v>44885.440972222219</v>
      </c>
      <c r="D989" s="20" t="s">
        <v>81</v>
      </c>
    </row>
    <row r="990" spans="1:4" x14ac:dyDescent="0.25">
      <c r="A990">
        <v>5</v>
      </c>
      <c r="B990" s="20" t="s">
        <v>96</v>
      </c>
      <c r="C990" s="2">
        <v>44885.451388888891</v>
      </c>
      <c r="D990" s="20" t="s">
        <v>81</v>
      </c>
    </row>
    <row r="991" spans="1:4" x14ac:dyDescent="0.25">
      <c r="A991">
        <v>5</v>
      </c>
      <c r="B991" s="20" t="s">
        <v>96</v>
      </c>
      <c r="C991" s="2">
        <v>44886.284722222219</v>
      </c>
      <c r="D991" s="20" t="s">
        <v>81</v>
      </c>
    </row>
    <row r="992" spans="1:4" x14ac:dyDescent="0.25">
      <c r="A992">
        <v>24</v>
      </c>
      <c r="B992" s="20" t="s">
        <v>28</v>
      </c>
      <c r="C992" s="2">
        <v>44886.284722222219</v>
      </c>
      <c r="D992" s="20" t="s">
        <v>81</v>
      </c>
    </row>
    <row r="993" spans="1:4" x14ac:dyDescent="0.25">
      <c r="A993">
        <v>25</v>
      </c>
      <c r="B993" s="20" t="s">
        <v>41</v>
      </c>
      <c r="C993" s="2">
        <v>44886.284722222219</v>
      </c>
      <c r="D993" s="20" t="s">
        <v>81</v>
      </c>
    </row>
    <row r="994" spans="1:4" x14ac:dyDescent="0.25">
      <c r="A994">
        <v>28</v>
      </c>
      <c r="B994" s="20" t="s">
        <v>160</v>
      </c>
      <c r="C994" s="2">
        <v>44886.284722222219</v>
      </c>
      <c r="D994" s="20" t="s">
        <v>81</v>
      </c>
    </row>
    <row r="995" spans="1:4" x14ac:dyDescent="0.25">
      <c r="A995">
        <v>29</v>
      </c>
      <c r="B995" s="20" t="s">
        <v>161</v>
      </c>
      <c r="C995" s="2">
        <v>44886.284722222219</v>
      </c>
      <c r="D995" s="20" t="s">
        <v>81</v>
      </c>
    </row>
    <row r="996" spans="1:4" x14ac:dyDescent="0.25">
      <c r="A996">
        <v>30</v>
      </c>
      <c r="B996" s="20" t="s">
        <v>162</v>
      </c>
      <c r="C996" s="2">
        <v>44886.284722222219</v>
      </c>
      <c r="D996" s="20" t="s">
        <v>81</v>
      </c>
    </row>
    <row r="997" spans="1:4" x14ac:dyDescent="0.25">
      <c r="A997">
        <v>31</v>
      </c>
      <c r="B997" s="20" t="s">
        <v>163</v>
      </c>
      <c r="C997" s="2">
        <v>44886.284722222219</v>
      </c>
      <c r="D997" s="20" t="s">
        <v>81</v>
      </c>
    </row>
    <row r="998" spans="1:4" x14ac:dyDescent="0.25">
      <c r="A998">
        <v>5</v>
      </c>
      <c r="B998" s="20" t="s">
        <v>96</v>
      </c>
      <c r="C998" s="2">
        <v>44886.295138888891</v>
      </c>
      <c r="D998" s="20" t="s">
        <v>81</v>
      </c>
    </row>
    <row r="999" spans="1:4" x14ac:dyDescent="0.25">
      <c r="A999">
        <v>7</v>
      </c>
      <c r="B999" s="20" t="s">
        <v>59</v>
      </c>
      <c r="C999" s="2">
        <v>44886.295138888891</v>
      </c>
      <c r="D999" s="20" t="s">
        <v>81</v>
      </c>
    </row>
    <row r="1000" spans="1:4" x14ac:dyDescent="0.25">
      <c r="A1000">
        <v>9</v>
      </c>
      <c r="B1000" s="20" t="s">
        <v>61</v>
      </c>
      <c r="C1000" s="2">
        <v>44886.295138888891</v>
      </c>
      <c r="D1000" s="20" t="s">
        <v>81</v>
      </c>
    </row>
    <row r="1001" spans="1:4" x14ac:dyDescent="0.25">
      <c r="A1001">
        <v>10</v>
      </c>
      <c r="B1001" s="20" t="s">
        <v>62</v>
      </c>
      <c r="C1001" s="2">
        <v>44886.295138888891</v>
      </c>
      <c r="D1001" s="20" t="s">
        <v>81</v>
      </c>
    </row>
    <row r="1002" spans="1:4" x14ac:dyDescent="0.25">
      <c r="A1002">
        <v>11</v>
      </c>
      <c r="B1002" s="20" t="s">
        <v>63</v>
      </c>
      <c r="C1002" s="2">
        <v>44886.295138888891</v>
      </c>
      <c r="D1002" s="20" t="s">
        <v>81</v>
      </c>
    </row>
    <row r="1003" spans="1:4" x14ac:dyDescent="0.25">
      <c r="A1003">
        <v>12</v>
      </c>
      <c r="B1003" s="20" t="s">
        <v>64</v>
      </c>
      <c r="C1003" s="2">
        <v>44886.295138888891</v>
      </c>
      <c r="D1003" s="20" t="s">
        <v>81</v>
      </c>
    </row>
    <row r="1004" spans="1:4" x14ac:dyDescent="0.25">
      <c r="A1004">
        <v>13</v>
      </c>
      <c r="B1004" s="20" t="s">
        <v>65</v>
      </c>
      <c r="C1004" s="2">
        <v>44886.295138888891</v>
      </c>
      <c r="D1004" s="20" t="s">
        <v>81</v>
      </c>
    </row>
    <row r="1005" spans="1:4" x14ac:dyDescent="0.25">
      <c r="A1005">
        <v>14</v>
      </c>
      <c r="B1005" s="20" t="s">
        <v>66</v>
      </c>
      <c r="C1005" s="2">
        <v>44886.295138888891</v>
      </c>
      <c r="D1005" s="20" t="s">
        <v>81</v>
      </c>
    </row>
    <row r="1006" spans="1:4" x14ac:dyDescent="0.25">
      <c r="A1006">
        <v>15</v>
      </c>
      <c r="B1006" s="20" t="s">
        <v>157</v>
      </c>
      <c r="C1006" s="2">
        <v>44886.295138888891</v>
      </c>
      <c r="D1006" s="20" t="s">
        <v>81</v>
      </c>
    </row>
    <row r="1007" spans="1:4" x14ac:dyDescent="0.25">
      <c r="A1007">
        <v>16</v>
      </c>
      <c r="B1007" s="20" t="s">
        <v>68</v>
      </c>
      <c r="C1007" s="2">
        <v>44886.295138888891</v>
      </c>
      <c r="D1007" s="20" t="s">
        <v>81</v>
      </c>
    </row>
    <row r="1008" spans="1:4" x14ac:dyDescent="0.25">
      <c r="A1008">
        <v>32</v>
      </c>
      <c r="B1008" s="20" t="s">
        <v>164</v>
      </c>
      <c r="C1008" s="2">
        <v>44886.295138888891</v>
      </c>
      <c r="D1008" s="20" t="s">
        <v>81</v>
      </c>
    </row>
    <row r="1009" spans="1:4" x14ac:dyDescent="0.25">
      <c r="A1009">
        <v>33</v>
      </c>
      <c r="B1009" s="20" t="s">
        <v>165</v>
      </c>
      <c r="C1009" s="2">
        <v>44886.295138888891</v>
      </c>
      <c r="D1009" s="20" t="s">
        <v>81</v>
      </c>
    </row>
    <row r="1010" spans="1:4" x14ac:dyDescent="0.25">
      <c r="A1010">
        <v>34</v>
      </c>
      <c r="B1010" s="20" t="s">
        <v>67</v>
      </c>
      <c r="C1010" s="2">
        <v>44886.295138888891</v>
      </c>
      <c r="D1010" s="20" t="s">
        <v>81</v>
      </c>
    </row>
    <row r="1011" spans="1:4" x14ac:dyDescent="0.25">
      <c r="A1011">
        <v>35</v>
      </c>
      <c r="B1011" s="20" t="s">
        <v>166</v>
      </c>
      <c r="C1011" s="2">
        <v>44886.295138888891</v>
      </c>
      <c r="D1011" s="20" t="s">
        <v>81</v>
      </c>
    </row>
    <row r="1012" spans="1:4" x14ac:dyDescent="0.25">
      <c r="A1012">
        <v>3</v>
      </c>
      <c r="B1012" s="20" t="s">
        <v>39</v>
      </c>
      <c r="C1012" s="2">
        <v>44886.303472222222</v>
      </c>
      <c r="D1012" s="20" t="s">
        <v>80</v>
      </c>
    </row>
    <row r="1013" spans="1:4" x14ac:dyDescent="0.25">
      <c r="A1013">
        <v>5</v>
      </c>
      <c r="B1013" s="20" t="s">
        <v>96</v>
      </c>
      <c r="C1013" s="2">
        <v>44886.303472222222</v>
      </c>
      <c r="D1013" s="20" t="s">
        <v>80</v>
      </c>
    </row>
    <row r="1014" spans="1:4" x14ac:dyDescent="0.25">
      <c r="A1014">
        <v>17</v>
      </c>
      <c r="B1014" s="20" t="s">
        <v>105</v>
      </c>
      <c r="C1014" s="2">
        <v>44886.303472222222</v>
      </c>
      <c r="D1014" s="20" t="s">
        <v>80</v>
      </c>
    </row>
    <row r="1015" spans="1:4" x14ac:dyDescent="0.25">
      <c r="A1015">
        <v>18</v>
      </c>
      <c r="B1015" s="20" t="s">
        <v>106</v>
      </c>
      <c r="C1015" s="2">
        <v>44886.303472222222</v>
      </c>
      <c r="D1015" s="20" t="s">
        <v>80</v>
      </c>
    </row>
    <row r="1016" spans="1:4" x14ac:dyDescent="0.25">
      <c r="A1016">
        <v>19</v>
      </c>
      <c r="B1016" s="20" t="s">
        <v>107</v>
      </c>
      <c r="C1016" s="2">
        <v>44886.303472222222</v>
      </c>
      <c r="D1016" s="20" t="s">
        <v>80</v>
      </c>
    </row>
    <row r="1017" spans="1:4" x14ac:dyDescent="0.25">
      <c r="A1017">
        <v>20</v>
      </c>
      <c r="B1017" s="20" t="s">
        <v>108</v>
      </c>
      <c r="C1017" s="2">
        <v>44886.303472222222</v>
      </c>
      <c r="D1017" s="20" t="s">
        <v>80</v>
      </c>
    </row>
    <row r="1018" spans="1:4" x14ac:dyDescent="0.25">
      <c r="A1018">
        <v>21</v>
      </c>
      <c r="B1018" s="20" t="s">
        <v>109</v>
      </c>
      <c r="C1018" s="2">
        <v>44886.303472222222</v>
      </c>
      <c r="D1018" s="20" t="s">
        <v>80</v>
      </c>
    </row>
    <row r="1019" spans="1:4" x14ac:dyDescent="0.25">
      <c r="A1019">
        <v>22</v>
      </c>
      <c r="B1019" s="20" t="s">
        <v>110</v>
      </c>
      <c r="C1019" s="2">
        <v>44886.303472222222</v>
      </c>
      <c r="D1019" s="20" t="s">
        <v>80</v>
      </c>
    </row>
    <row r="1020" spans="1:4" x14ac:dyDescent="0.25">
      <c r="A1020">
        <v>23</v>
      </c>
      <c r="B1020" s="20" t="s">
        <v>111</v>
      </c>
      <c r="C1020" s="2">
        <v>44886.303472222222</v>
      </c>
      <c r="D1020" s="20" t="s">
        <v>80</v>
      </c>
    </row>
    <row r="1021" spans="1:4" x14ac:dyDescent="0.25">
      <c r="A1021">
        <v>5</v>
      </c>
      <c r="B1021" s="20" t="s">
        <v>96</v>
      </c>
      <c r="C1021" s="2">
        <v>44886.305555555555</v>
      </c>
      <c r="D1021" s="20" t="s">
        <v>81</v>
      </c>
    </row>
    <row r="1022" spans="1:4" x14ac:dyDescent="0.25">
      <c r="A1022">
        <v>5</v>
      </c>
      <c r="B1022" s="20" t="s">
        <v>96</v>
      </c>
      <c r="C1022" s="2">
        <v>44886.305555555555</v>
      </c>
      <c r="D1022" s="20" t="s">
        <v>80</v>
      </c>
    </row>
    <row r="1023" spans="1:4" x14ac:dyDescent="0.25">
      <c r="A1023">
        <v>5</v>
      </c>
      <c r="B1023" s="20" t="s">
        <v>96</v>
      </c>
      <c r="C1023" s="2">
        <v>44886.315972222219</v>
      </c>
      <c r="D1023" s="20" t="s">
        <v>81</v>
      </c>
    </row>
    <row r="1024" spans="1:4" x14ac:dyDescent="0.25">
      <c r="A1024">
        <v>26</v>
      </c>
      <c r="B1024" s="20" t="s">
        <v>159</v>
      </c>
      <c r="C1024" s="2">
        <v>44886.315972222219</v>
      </c>
      <c r="D1024" s="20" t="s">
        <v>81</v>
      </c>
    </row>
    <row r="1025" spans="1:4" x14ac:dyDescent="0.25">
      <c r="A1025">
        <v>27</v>
      </c>
      <c r="B1025" s="20" t="s">
        <v>60</v>
      </c>
      <c r="C1025" s="2">
        <v>44886.315972222219</v>
      </c>
      <c r="D1025" s="20" t="s">
        <v>81</v>
      </c>
    </row>
    <row r="1026" spans="1:4" x14ac:dyDescent="0.25">
      <c r="A1026">
        <v>5</v>
      </c>
      <c r="B1026" s="20" t="s">
        <v>96</v>
      </c>
      <c r="C1026" s="2">
        <v>44886.326388888891</v>
      </c>
      <c r="D1026" s="20" t="s">
        <v>81</v>
      </c>
    </row>
    <row r="1027" spans="1:4" x14ac:dyDescent="0.25">
      <c r="A1027">
        <v>5</v>
      </c>
      <c r="B1027" s="20" t="s">
        <v>96</v>
      </c>
      <c r="C1027" s="2">
        <v>44886.336805555555</v>
      </c>
      <c r="D1027" s="20" t="s">
        <v>81</v>
      </c>
    </row>
    <row r="1028" spans="1:4" x14ac:dyDescent="0.25">
      <c r="A1028">
        <v>5</v>
      </c>
      <c r="B1028" s="20" t="s">
        <v>96</v>
      </c>
      <c r="C1028" s="2">
        <v>44886.347222222219</v>
      </c>
      <c r="D1028" s="20" t="s">
        <v>81</v>
      </c>
    </row>
    <row r="1029" spans="1:4" x14ac:dyDescent="0.25">
      <c r="A1029">
        <v>5</v>
      </c>
      <c r="B1029" s="20" t="s">
        <v>96</v>
      </c>
      <c r="C1029" s="2">
        <v>44886.357638888891</v>
      </c>
      <c r="D1029" s="20" t="s">
        <v>81</v>
      </c>
    </row>
    <row r="1030" spans="1:4" x14ac:dyDescent="0.25">
      <c r="A1030">
        <v>1</v>
      </c>
      <c r="B1030" s="20" t="s">
        <v>6</v>
      </c>
      <c r="C1030" s="2">
        <v>44886.368055555555</v>
      </c>
      <c r="D1030" s="20" t="s">
        <v>81</v>
      </c>
    </row>
    <row r="1031" spans="1:4" x14ac:dyDescent="0.25">
      <c r="A1031">
        <v>5</v>
      </c>
      <c r="B1031" s="20" t="s">
        <v>167</v>
      </c>
      <c r="C1031" s="2">
        <v>44886.368055555555</v>
      </c>
      <c r="D1031" s="20" t="s">
        <v>81</v>
      </c>
    </row>
    <row r="1032" spans="1:4" x14ac:dyDescent="0.25">
      <c r="A1032">
        <v>5</v>
      </c>
      <c r="B1032" s="20" t="s">
        <v>167</v>
      </c>
      <c r="C1032" s="2">
        <v>44886.378472222219</v>
      </c>
      <c r="D1032" s="20" t="s">
        <v>81</v>
      </c>
    </row>
    <row r="1033" spans="1:4" x14ac:dyDescent="0.25">
      <c r="A1033">
        <v>5</v>
      </c>
      <c r="B1033" s="20" t="s">
        <v>167</v>
      </c>
      <c r="C1033" s="2">
        <v>44886.388888888891</v>
      </c>
      <c r="D1033" s="20" t="s">
        <v>81</v>
      </c>
    </row>
    <row r="1034" spans="1:4" x14ac:dyDescent="0.25">
      <c r="A1034">
        <v>5</v>
      </c>
      <c r="B1034" s="20" t="s">
        <v>167</v>
      </c>
      <c r="C1034" s="2">
        <v>44886.399305555555</v>
      </c>
      <c r="D1034" s="20" t="s">
        <v>81</v>
      </c>
    </row>
    <row r="1035" spans="1:4" x14ac:dyDescent="0.25">
      <c r="A1035">
        <v>5</v>
      </c>
      <c r="B1035" s="20" t="s">
        <v>167</v>
      </c>
      <c r="C1035" s="2">
        <v>44886.409722222219</v>
      </c>
      <c r="D1035" s="20" t="s">
        <v>81</v>
      </c>
    </row>
    <row r="1036" spans="1:4" x14ac:dyDescent="0.25">
      <c r="A1036">
        <v>5</v>
      </c>
      <c r="B1036" s="20" t="s">
        <v>167</v>
      </c>
      <c r="C1036" s="2">
        <v>44886.420138888891</v>
      </c>
      <c r="D1036" s="20" t="s">
        <v>81</v>
      </c>
    </row>
    <row r="1037" spans="1:4" x14ac:dyDescent="0.25">
      <c r="A1037">
        <v>5</v>
      </c>
      <c r="B1037" s="20" t="s">
        <v>167</v>
      </c>
      <c r="C1037" s="2">
        <v>44886.430555555555</v>
      </c>
      <c r="D1037" s="20" t="s">
        <v>81</v>
      </c>
    </row>
    <row r="1038" spans="1:4" x14ac:dyDescent="0.25">
      <c r="A1038">
        <v>5</v>
      </c>
      <c r="B1038" s="20" t="s">
        <v>167</v>
      </c>
      <c r="C1038" s="2">
        <v>44886.440972222219</v>
      </c>
      <c r="D1038" s="20" t="s">
        <v>81</v>
      </c>
    </row>
    <row r="1039" spans="1:4" x14ac:dyDescent="0.25">
      <c r="A1039">
        <v>5</v>
      </c>
      <c r="B1039" s="20" t="s">
        <v>167</v>
      </c>
      <c r="C1039" s="2">
        <v>44886.451388888891</v>
      </c>
      <c r="D1039" s="20" t="s">
        <v>81</v>
      </c>
    </row>
    <row r="1040" spans="1:4" x14ac:dyDescent="0.25">
      <c r="A1040">
        <v>5</v>
      </c>
      <c r="B1040" s="20" t="s">
        <v>167</v>
      </c>
      <c r="C1040" s="2">
        <v>44886.895138888889</v>
      </c>
      <c r="D1040" s="20" t="s">
        <v>81</v>
      </c>
    </row>
    <row r="1041" spans="1:4" x14ac:dyDescent="0.25">
      <c r="A1041">
        <v>5</v>
      </c>
      <c r="B1041" s="20" t="s">
        <v>167</v>
      </c>
      <c r="C1041" s="2">
        <v>44886.909722222219</v>
      </c>
      <c r="D1041" s="20" t="s">
        <v>81</v>
      </c>
    </row>
    <row r="1042" spans="1:4" x14ac:dyDescent="0.25">
      <c r="A1042">
        <v>5</v>
      </c>
      <c r="B1042" s="20" t="s">
        <v>167</v>
      </c>
      <c r="C1042" s="2">
        <v>44886.911111111112</v>
      </c>
      <c r="D1042" s="20" t="s">
        <v>81</v>
      </c>
    </row>
    <row r="1043" spans="1:4" x14ac:dyDescent="0.25">
      <c r="A1043">
        <v>5</v>
      </c>
      <c r="B1043" s="20" t="s">
        <v>167</v>
      </c>
      <c r="C1043" s="2">
        <v>44886.912499999999</v>
      </c>
      <c r="D1043" s="20" t="s">
        <v>81</v>
      </c>
    </row>
    <row r="1044" spans="1:4" x14ac:dyDescent="0.25">
      <c r="A1044">
        <v>5</v>
      </c>
      <c r="B1044" s="20" t="s">
        <v>167</v>
      </c>
      <c r="C1044" s="2">
        <v>44886.923611111109</v>
      </c>
      <c r="D1044" s="20" t="s">
        <v>81</v>
      </c>
    </row>
    <row r="1045" spans="1:4" x14ac:dyDescent="0.25">
      <c r="A1045">
        <v>5</v>
      </c>
      <c r="B1045" s="20" t="s">
        <v>96</v>
      </c>
      <c r="C1045" s="2">
        <v>44887.284722222219</v>
      </c>
      <c r="D1045" s="20" t="s">
        <v>81</v>
      </c>
    </row>
    <row r="1046" spans="1:4" x14ac:dyDescent="0.25">
      <c r="A1046">
        <v>24</v>
      </c>
      <c r="B1046" s="20" t="s">
        <v>28</v>
      </c>
      <c r="C1046" s="2">
        <v>44887.284722222219</v>
      </c>
      <c r="D1046" s="20" t="s">
        <v>81</v>
      </c>
    </row>
    <row r="1047" spans="1:4" x14ac:dyDescent="0.25">
      <c r="A1047">
        <v>25</v>
      </c>
      <c r="B1047" s="20" t="s">
        <v>41</v>
      </c>
      <c r="C1047" s="2">
        <v>44887.284722222219</v>
      </c>
      <c r="D1047" s="20" t="s">
        <v>81</v>
      </c>
    </row>
    <row r="1048" spans="1:4" x14ac:dyDescent="0.25">
      <c r="A1048">
        <v>26</v>
      </c>
      <c r="B1048" s="20" t="s">
        <v>159</v>
      </c>
      <c r="C1048" s="2">
        <v>44887.284722222219</v>
      </c>
      <c r="D1048" s="20" t="s">
        <v>81</v>
      </c>
    </row>
    <row r="1049" spans="1:4" x14ac:dyDescent="0.25">
      <c r="A1049">
        <v>27</v>
      </c>
      <c r="B1049" s="20" t="s">
        <v>60</v>
      </c>
      <c r="C1049" s="2">
        <v>44887.284722222219</v>
      </c>
      <c r="D1049" s="20" t="s">
        <v>81</v>
      </c>
    </row>
    <row r="1050" spans="1:4" x14ac:dyDescent="0.25">
      <c r="A1050">
        <v>28</v>
      </c>
      <c r="B1050" s="20" t="s">
        <v>160</v>
      </c>
      <c r="C1050" s="2">
        <v>44887.284722222219</v>
      </c>
      <c r="D1050" s="20" t="s">
        <v>81</v>
      </c>
    </row>
    <row r="1051" spans="1:4" x14ac:dyDescent="0.25">
      <c r="A1051">
        <v>29</v>
      </c>
      <c r="B1051" s="20" t="s">
        <v>161</v>
      </c>
      <c r="C1051" s="2">
        <v>44887.284722222219</v>
      </c>
      <c r="D1051" s="20" t="s">
        <v>81</v>
      </c>
    </row>
    <row r="1052" spans="1:4" x14ac:dyDescent="0.25">
      <c r="A1052">
        <v>30</v>
      </c>
      <c r="B1052" s="20" t="s">
        <v>162</v>
      </c>
      <c r="C1052" s="2">
        <v>44887.284722222219</v>
      </c>
      <c r="D1052" s="20" t="s">
        <v>81</v>
      </c>
    </row>
    <row r="1053" spans="1:4" x14ac:dyDescent="0.25">
      <c r="A1053">
        <v>31</v>
      </c>
      <c r="B1053" s="20" t="s">
        <v>163</v>
      </c>
      <c r="C1053" s="2">
        <v>44887.284722222219</v>
      </c>
      <c r="D1053" s="20" t="s">
        <v>81</v>
      </c>
    </row>
    <row r="1054" spans="1:4" x14ac:dyDescent="0.25">
      <c r="A1054">
        <v>5</v>
      </c>
      <c r="B1054" s="20" t="s">
        <v>96</v>
      </c>
      <c r="C1054" s="2">
        <v>44887.295138888891</v>
      </c>
      <c r="D1054" s="20" t="s">
        <v>81</v>
      </c>
    </row>
    <row r="1055" spans="1:4" x14ac:dyDescent="0.25">
      <c r="A1055">
        <v>7</v>
      </c>
      <c r="B1055" s="20" t="s">
        <v>59</v>
      </c>
      <c r="C1055" s="2">
        <v>44887.295138888891</v>
      </c>
      <c r="D1055" s="20" t="s">
        <v>81</v>
      </c>
    </row>
    <row r="1056" spans="1:4" x14ac:dyDescent="0.25">
      <c r="A1056">
        <v>9</v>
      </c>
      <c r="B1056" s="20" t="s">
        <v>61</v>
      </c>
      <c r="C1056" s="2">
        <v>44887.295138888891</v>
      </c>
      <c r="D1056" s="20" t="s">
        <v>81</v>
      </c>
    </row>
    <row r="1057" spans="1:4" x14ac:dyDescent="0.25">
      <c r="A1057">
        <v>10</v>
      </c>
      <c r="B1057" s="20" t="s">
        <v>62</v>
      </c>
      <c r="C1057" s="2">
        <v>44887.295138888891</v>
      </c>
      <c r="D1057" s="20" t="s">
        <v>81</v>
      </c>
    </row>
    <row r="1058" spans="1:4" x14ac:dyDescent="0.25">
      <c r="A1058">
        <v>11</v>
      </c>
      <c r="B1058" s="20" t="s">
        <v>63</v>
      </c>
      <c r="C1058" s="2">
        <v>44887.295138888891</v>
      </c>
      <c r="D1058" s="20" t="s">
        <v>81</v>
      </c>
    </row>
    <row r="1059" spans="1:4" x14ac:dyDescent="0.25">
      <c r="A1059">
        <v>12</v>
      </c>
      <c r="B1059" s="20" t="s">
        <v>64</v>
      </c>
      <c r="C1059" s="2">
        <v>44887.295138888891</v>
      </c>
      <c r="D1059" s="20" t="s">
        <v>81</v>
      </c>
    </row>
    <row r="1060" spans="1:4" x14ac:dyDescent="0.25">
      <c r="A1060">
        <v>13</v>
      </c>
      <c r="B1060" s="20" t="s">
        <v>65</v>
      </c>
      <c r="C1060" s="2">
        <v>44887.295138888891</v>
      </c>
      <c r="D1060" s="20" t="s">
        <v>81</v>
      </c>
    </row>
    <row r="1061" spans="1:4" x14ac:dyDescent="0.25">
      <c r="A1061">
        <v>14</v>
      </c>
      <c r="B1061" s="20" t="s">
        <v>66</v>
      </c>
      <c r="C1061" s="2">
        <v>44887.295138888891</v>
      </c>
      <c r="D1061" s="20" t="s">
        <v>81</v>
      </c>
    </row>
    <row r="1062" spans="1:4" x14ac:dyDescent="0.25">
      <c r="A1062">
        <v>15</v>
      </c>
      <c r="B1062" s="20" t="s">
        <v>157</v>
      </c>
      <c r="C1062" s="2">
        <v>44887.295138888891</v>
      </c>
      <c r="D1062" s="20" t="s">
        <v>81</v>
      </c>
    </row>
    <row r="1063" spans="1:4" x14ac:dyDescent="0.25">
      <c r="A1063">
        <v>16</v>
      </c>
      <c r="B1063" s="20" t="s">
        <v>68</v>
      </c>
      <c r="C1063" s="2">
        <v>44887.295138888891</v>
      </c>
      <c r="D1063" s="20" t="s">
        <v>81</v>
      </c>
    </row>
    <row r="1064" spans="1:4" x14ac:dyDescent="0.25">
      <c r="A1064">
        <v>32</v>
      </c>
      <c r="B1064" s="20" t="s">
        <v>164</v>
      </c>
      <c r="C1064" s="2">
        <v>44887.295138888891</v>
      </c>
      <c r="D1064" s="20" t="s">
        <v>81</v>
      </c>
    </row>
    <row r="1065" spans="1:4" x14ac:dyDescent="0.25">
      <c r="A1065">
        <v>33</v>
      </c>
      <c r="B1065" s="20" t="s">
        <v>165</v>
      </c>
      <c r="C1065" s="2">
        <v>44887.295138888891</v>
      </c>
      <c r="D1065" s="20" t="s">
        <v>81</v>
      </c>
    </row>
    <row r="1066" spans="1:4" x14ac:dyDescent="0.25">
      <c r="A1066">
        <v>34</v>
      </c>
      <c r="B1066" s="20" t="s">
        <v>67</v>
      </c>
      <c r="C1066" s="2">
        <v>44887.295138888891</v>
      </c>
      <c r="D1066" s="20" t="s">
        <v>81</v>
      </c>
    </row>
    <row r="1067" spans="1:4" x14ac:dyDescent="0.25">
      <c r="A1067">
        <v>35</v>
      </c>
      <c r="B1067" s="20" t="s">
        <v>166</v>
      </c>
      <c r="C1067" s="2">
        <v>44887.295138888891</v>
      </c>
      <c r="D1067" s="20" t="s">
        <v>81</v>
      </c>
    </row>
    <row r="1068" spans="1:4" x14ac:dyDescent="0.25">
      <c r="A1068">
        <v>3</v>
      </c>
      <c r="B1068" s="20" t="s">
        <v>39</v>
      </c>
      <c r="C1068" s="2">
        <v>44887.304861111108</v>
      </c>
      <c r="D1068" s="20" t="s">
        <v>80</v>
      </c>
    </row>
    <row r="1069" spans="1:4" x14ac:dyDescent="0.25">
      <c r="A1069">
        <v>5</v>
      </c>
      <c r="B1069" s="20" t="s">
        <v>96</v>
      </c>
      <c r="C1069" s="2">
        <v>44887.304861111108</v>
      </c>
      <c r="D1069" s="20" t="s">
        <v>80</v>
      </c>
    </row>
    <row r="1070" spans="1:4" x14ac:dyDescent="0.25">
      <c r="A1070">
        <v>17</v>
      </c>
      <c r="B1070" s="20" t="s">
        <v>105</v>
      </c>
      <c r="C1070" s="2">
        <v>44887.304861111108</v>
      </c>
      <c r="D1070" s="20" t="s">
        <v>80</v>
      </c>
    </row>
    <row r="1071" spans="1:4" x14ac:dyDescent="0.25">
      <c r="A1071">
        <v>18</v>
      </c>
      <c r="B1071" s="20" t="s">
        <v>106</v>
      </c>
      <c r="C1071" s="2">
        <v>44887.304861111108</v>
      </c>
      <c r="D1071" s="20" t="s">
        <v>80</v>
      </c>
    </row>
    <row r="1072" spans="1:4" x14ac:dyDescent="0.25">
      <c r="A1072">
        <v>19</v>
      </c>
      <c r="B1072" s="20" t="s">
        <v>107</v>
      </c>
      <c r="C1072" s="2">
        <v>44887.304861111108</v>
      </c>
      <c r="D1072" s="20" t="s">
        <v>80</v>
      </c>
    </row>
    <row r="1073" spans="1:4" x14ac:dyDescent="0.25">
      <c r="A1073">
        <v>20</v>
      </c>
      <c r="B1073" s="20" t="s">
        <v>108</v>
      </c>
      <c r="C1073" s="2">
        <v>44887.304861111108</v>
      </c>
      <c r="D1073" s="20" t="s">
        <v>80</v>
      </c>
    </row>
    <row r="1074" spans="1:4" x14ac:dyDescent="0.25">
      <c r="A1074">
        <v>21</v>
      </c>
      <c r="B1074" s="20" t="s">
        <v>109</v>
      </c>
      <c r="C1074" s="2">
        <v>44887.304861111108</v>
      </c>
      <c r="D1074" s="20" t="s">
        <v>80</v>
      </c>
    </row>
    <row r="1075" spans="1:4" x14ac:dyDescent="0.25">
      <c r="A1075">
        <v>22</v>
      </c>
      <c r="B1075" s="20" t="s">
        <v>110</v>
      </c>
      <c r="C1075" s="2">
        <v>44887.304861111108</v>
      </c>
      <c r="D1075" s="20" t="s">
        <v>80</v>
      </c>
    </row>
    <row r="1076" spans="1:4" x14ac:dyDescent="0.25">
      <c r="A1076">
        <v>23</v>
      </c>
      <c r="B1076" s="20" t="s">
        <v>111</v>
      </c>
      <c r="C1076" s="2">
        <v>44887.304861111108</v>
      </c>
      <c r="D1076" s="20" t="s">
        <v>80</v>
      </c>
    </row>
    <row r="1077" spans="1:4" x14ac:dyDescent="0.25">
      <c r="A1077">
        <v>5</v>
      </c>
      <c r="B1077" s="20" t="s">
        <v>96</v>
      </c>
      <c r="C1077" s="2">
        <v>44887.305555555555</v>
      </c>
      <c r="D1077" s="20" t="s">
        <v>81</v>
      </c>
    </row>
    <row r="1078" spans="1:4" x14ac:dyDescent="0.25">
      <c r="A1078">
        <v>5</v>
      </c>
      <c r="B1078" s="20" t="s">
        <v>96</v>
      </c>
      <c r="C1078" s="2">
        <v>44887.315972222219</v>
      </c>
      <c r="D1078" s="20" t="s">
        <v>81</v>
      </c>
    </row>
    <row r="1079" spans="1:4" x14ac:dyDescent="0.25">
      <c r="A1079">
        <v>5</v>
      </c>
      <c r="B1079" s="20" t="s">
        <v>96</v>
      </c>
      <c r="C1079" s="2">
        <v>44887.326388888891</v>
      </c>
      <c r="D1079" s="20" t="s">
        <v>81</v>
      </c>
    </row>
    <row r="1080" spans="1:4" x14ac:dyDescent="0.25">
      <c r="A1080">
        <v>5</v>
      </c>
      <c r="B1080" s="20" t="s">
        <v>96</v>
      </c>
      <c r="C1080" s="2">
        <v>44887.336805555555</v>
      </c>
      <c r="D1080" s="20" t="s">
        <v>81</v>
      </c>
    </row>
    <row r="1081" spans="1:4" x14ac:dyDescent="0.25">
      <c r="A1081">
        <v>5</v>
      </c>
      <c r="B1081" s="20" t="s">
        <v>96</v>
      </c>
      <c r="C1081" s="2">
        <v>44887.347222222219</v>
      </c>
      <c r="D1081" s="20" t="s">
        <v>81</v>
      </c>
    </row>
    <row r="1082" spans="1:4" x14ac:dyDescent="0.25">
      <c r="A1082">
        <v>5</v>
      </c>
      <c r="B1082" s="20" t="s">
        <v>96</v>
      </c>
      <c r="C1082" s="2">
        <v>44887.357638888891</v>
      </c>
      <c r="D1082" s="20" t="s">
        <v>81</v>
      </c>
    </row>
    <row r="1083" spans="1:4" x14ac:dyDescent="0.25">
      <c r="A1083">
        <v>1</v>
      </c>
      <c r="B1083" s="20" t="s">
        <v>6</v>
      </c>
      <c r="C1083" s="2">
        <v>44887.368055555555</v>
      </c>
      <c r="D1083" s="20" t="s">
        <v>81</v>
      </c>
    </row>
    <row r="1084" spans="1:4" x14ac:dyDescent="0.25">
      <c r="A1084">
        <v>5</v>
      </c>
      <c r="B1084" s="20" t="s">
        <v>167</v>
      </c>
      <c r="C1084" s="2">
        <v>44887.368055555555</v>
      </c>
      <c r="D1084" s="20" t="s">
        <v>81</v>
      </c>
    </row>
    <row r="1085" spans="1:4" x14ac:dyDescent="0.25">
      <c r="A1085">
        <v>5</v>
      </c>
      <c r="B1085" s="20" t="s">
        <v>167</v>
      </c>
      <c r="C1085" s="2">
        <v>44887.378472222219</v>
      </c>
      <c r="D1085" s="20" t="s">
        <v>81</v>
      </c>
    </row>
    <row r="1086" spans="1:4" x14ac:dyDescent="0.25">
      <c r="A1086">
        <v>5</v>
      </c>
      <c r="B1086" s="20" t="s">
        <v>167</v>
      </c>
      <c r="C1086" s="2">
        <v>44887.388888888891</v>
      </c>
      <c r="D1086" s="20" t="s">
        <v>81</v>
      </c>
    </row>
    <row r="1087" spans="1:4" x14ac:dyDescent="0.25">
      <c r="A1087">
        <v>5</v>
      </c>
      <c r="B1087" s="20" t="s">
        <v>167</v>
      </c>
      <c r="C1087" s="2">
        <v>44887.399305555555</v>
      </c>
      <c r="D1087" s="20" t="s">
        <v>81</v>
      </c>
    </row>
    <row r="1088" spans="1:4" x14ac:dyDescent="0.25">
      <c r="A1088">
        <v>5</v>
      </c>
      <c r="B1088" s="20" t="s">
        <v>167</v>
      </c>
      <c r="C1088" s="2">
        <v>44887.409722222219</v>
      </c>
      <c r="D1088" s="20" t="s">
        <v>81</v>
      </c>
    </row>
    <row r="1089" spans="1:4" x14ac:dyDescent="0.25">
      <c r="A1089">
        <v>5</v>
      </c>
      <c r="B1089" s="20" t="s">
        <v>167</v>
      </c>
      <c r="C1089" s="2">
        <v>44887.420138888891</v>
      </c>
      <c r="D1089" s="20" t="s">
        <v>81</v>
      </c>
    </row>
    <row r="1090" spans="1:4" x14ac:dyDescent="0.25">
      <c r="A1090">
        <v>5</v>
      </c>
      <c r="B1090" s="20" t="s">
        <v>167</v>
      </c>
      <c r="C1090" s="2">
        <v>44887.430555555555</v>
      </c>
      <c r="D1090" s="20" t="s">
        <v>81</v>
      </c>
    </row>
    <row r="1091" spans="1:4" x14ac:dyDescent="0.25">
      <c r="A1091">
        <v>5</v>
      </c>
      <c r="B1091" s="20" t="s">
        <v>167</v>
      </c>
      <c r="C1091" s="2">
        <v>44887.440972222219</v>
      </c>
      <c r="D1091" s="20" t="s">
        <v>81</v>
      </c>
    </row>
    <row r="1092" spans="1:4" x14ac:dyDescent="0.25">
      <c r="A1092">
        <v>5</v>
      </c>
      <c r="B1092" s="20" t="s">
        <v>167</v>
      </c>
      <c r="C1092" s="2">
        <v>44887.451388888891</v>
      </c>
      <c r="D1092" s="20" t="s">
        <v>81</v>
      </c>
    </row>
    <row r="1093" spans="1:4" x14ac:dyDescent="0.25">
      <c r="A1093">
        <v>5</v>
      </c>
      <c r="B1093" s="20" t="s">
        <v>96</v>
      </c>
      <c r="C1093" s="2">
        <v>44888.284722222219</v>
      </c>
      <c r="D1093" s="20" t="s">
        <v>81</v>
      </c>
    </row>
    <row r="1094" spans="1:4" x14ac:dyDescent="0.25">
      <c r="A1094">
        <v>25</v>
      </c>
      <c r="B1094" s="20" t="s">
        <v>41</v>
      </c>
      <c r="C1094" s="2">
        <v>44888.284722222219</v>
      </c>
      <c r="D1094" s="20" t="s">
        <v>81</v>
      </c>
    </row>
    <row r="1095" spans="1:4" x14ac:dyDescent="0.25">
      <c r="A1095">
        <v>26</v>
      </c>
      <c r="B1095" s="20" t="s">
        <v>159</v>
      </c>
      <c r="C1095" s="2">
        <v>44888.284722222219</v>
      </c>
      <c r="D1095" s="20" t="s">
        <v>81</v>
      </c>
    </row>
    <row r="1096" spans="1:4" x14ac:dyDescent="0.25">
      <c r="A1096">
        <v>28</v>
      </c>
      <c r="B1096" s="20" t="s">
        <v>160</v>
      </c>
      <c r="C1096" s="2">
        <v>44888.284722222219</v>
      </c>
      <c r="D1096" s="20" t="s">
        <v>81</v>
      </c>
    </row>
    <row r="1097" spans="1:4" x14ac:dyDescent="0.25">
      <c r="A1097">
        <v>31</v>
      </c>
      <c r="B1097" s="20" t="s">
        <v>163</v>
      </c>
      <c r="C1097" s="2">
        <v>44888.284722222219</v>
      </c>
      <c r="D1097" s="20" t="s">
        <v>81</v>
      </c>
    </row>
    <row r="1098" spans="1:4" x14ac:dyDescent="0.25">
      <c r="A1098">
        <v>5</v>
      </c>
      <c r="B1098" s="20" t="s">
        <v>96</v>
      </c>
      <c r="C1098" s="2">
        <v>44888.295138888891</v>
      </c>
      <c r="D1098" s="20" t="s">
        <v>81</v>
      </c>
    </row>
    <row r="1099" spans="1:4" x14ac:dyDescent="0.25">
      <c r="A1099">
        <v>7</v>
      </c>
      <c r="B1099" s="20" t="s">
        <v>59</v>
      </c>
      <c r="C1099" s="2">
        <v>44888.295138888891</v>
      </c>
      <c r="D1099" s="20" t="s">
        <v>81</v>
      </c>
    </row>
    <row r="1100" spans="1:4" x14ac:dyDescent="0.25">
      <c r="A1100">
        <v>9</v>
      </c>
      <c r="B1100" s="20" t="s">
        <v>61</v>
      </c>
      <c r="C1100" s="2">
        <v>44888.295138888891</v>
      </c>
      <c r="D1100" s="20" t="s">
        <v>81</v>
      </c>
    </row>
    <row r="1101" spans="1:4" x14ac:dyDescent="0.25">
      <c r="A1101">
        <v>10</v>
      </c>
      <c r="B1101" s="20" t="s">
        <v>62</v>
      </c>
      <c r="C1101" s="2">
        <v>44888.295138888891</v>
      </c>
      <c r="D1101" s="20" t="s">
        <v>81</v>
      </c>
    </row>
    <row r="1102" spans="1:4" x14ac:dyDescent="0.25">
      <c r="A1102">
        <v>11</v>
      </c>
      <c r="B1102" s="20" t="s">
        <v>63</v>
      </c>
      <c r="C1102" s="2">
        <v>44888.295138888891</v>
      </c>
      <c r="D1102" s="20" t="s">
        <v>81</v>
      </c>
    </row>
    <row r="1103" spans="1:4" x14ac:dyDescent="0.25">
      <c r="A1103">
        <v>12</v>
      </c>
      <c r="B1103" s="20" t="s">
        <v>64</v>
      </c>
      <c r="C1103" s="2">
        <v>44888.295138888891</v>
      </c>
      <c r="D1103" s="20" t="s">
        <v>81</v>
      </c>
    </row>
    <row r="1104" spans="1:4" x14ac:dyDescent="0.25">
      <c r="A1104">
        <v>13</v>
      </c>
      <c r="B1104" s="20" t="s">
        <v>65</v>
      </c>
      <c r="C1104" s="2">
        <v>44888.295138888891</v>
      </c>
      <c r="D1104" s="20" t="s">
        <v>81</v>
      </c>
    </row>
    <row r="1105" spans="1:4" x14ac:dyDescent="0.25">
      <c r="A1105">
        <v>14</v>
      </c>
      <c r="B1105" s="20" t="s">
        <v>66</v>
      </c>
      <c r="C1105" s="2">
        <v>44888.295138888891</v>
      </c>
      <c r="D1105" s="20" t="s">
        <v>81</v>
      </c>
    </row>
    <row r="1106" spans="1:4" x14ac:dyDescent="0.25">
      <c r="A1106">
        <v>15</v>
      </c>
      <c r="B1106" s="20" t="s">
        <v>157</v>
      </c>
      <c r="C1106" s="2">
        <v>44888.295138888891</v>
      </c>
      <c r="D1106" s="20" t="s">
        <v>81</v>
      </c>
    </row>
    <row r="1107" spans="1:4" x14ac:dyDescent="0.25">
      <c r="A1107">
        <v>16</v>
      </c>
      <c r="B1107" s="20" t="s">
        <v>68</v>
      </c>
      <c r="C1107" s="2">
        <v>44888.295138888891</v>
      </c>
      <c r="D1107" s="20" t="s">
        <v>81</v>
      </c>
    </row>
    <row r="1108" spans="1:4" x14ac:dyDescent="0.25">
      <c r="A1108">
        <v>32</v>
      </c>
      <c r="B1108" s="20" t="s">
        <v>164</v>
      </c>
      <c r="C1108" s="2">
        <v>44888.295138888891</v>
      </c>
      <c r="D1108" s="20" t="s">
        <v>81</v>
      </c>
    </row>
    <row r="1109" spans="1:4" x14ac:dyDescent="0.25">
      <c r="A1109">
        <v>33</v>
      </c>
      <c r="B1109" s="20" t="s">
        <v>165</v>
      </c>
      <c r="C1109" s="2">
        <v>44888.295138888891</v>
      </c>
      <c r="D1109" s="20" t="s">
        <v>81</v>
      </c>
    </row>
    <row r="1110" spans="1:4" x14ac:dyDescent="0.25">
      <c r="A1110">
        <v>34</v>
      </c>
      <c r="B1110" s="20" t="s">
        <v>67</v>
      </c>
      <c r="C1110" s="2">
        <v>44888.295138888891</v>
      </c>
      <c r="D1110" s="20" t="s">
        <v>81</v>
      </c>
    </row>
    <row r="1111" spans="1:4" x14ac:dyDescent="0.25">
      <c r="A1111">
        <v>3</v>
      </c>
      <c r="B1111" s="20" t="s">
        <v>39</v>
      </c>
      <c r="C1111" s="2">
        <v>44888.304166666669</v>
      </c>
      <c r="D1111" s="20" t="s">
        <v>80</v>
      </c>
    </row>
    <row r="1112" spans="1:4" x14ac:dyDescent="0.25">
      <c r="A1112">
        <v>5</v>
      </c>
      <c r="B1112" s="20" t="s">
        <v>96</v>
      </c>
      <c r="C1112" s="2">
        <v>44888.304166666669</v>
      </c>
      <c r="D1112" s="20" t="s">
        <v>80</v>
      </c>
    </row>
    <row r="1113" spans="1:4" x14ac:dyDescent="0.25">
      <c r="A1113">
        <v>17</v>
      </c>
      <c r="B1113" s="20" t="s">
        <v>105</v>
      </c>
      <c r="C1113" s="2">
        <v>44888.304166666669</v>
      </c>
      <c r="D1113" s="20" t="s">
        <v>80</v>
      </c>
    </row>
    <row r="1114" spans="1:4" x14ac:dyDescent="0.25">
      <c r="A1114">
        <v>18</v>
      </c>
      <c r="B1114" s="20" t="s">
        <v>106</v>
      </c>
      <c r="C1114" s="2">
        <v>44888.304166666669</v>
      </c>
      <c r="D1114" s="20" t="s">
        <v>80</v>
      </c>
    </row>
    <row r="1115" spans="1:4" x14ac:dyDescent="0.25">
      <c r="A1115">
        <v>19</v>
      </c>
      <c r="B1115" s="20" t="s">
        <v>107</v>
      </c>
      <c r="C1115" s="2">
        <v>44888.304166666669</v>
      </c>
      <c r="D1115" s="20" t="s">
        <v>80</v>
      </c>
    </row>
    <row r="1116" spans="1:4" x14ac:dyDescent="0.25">
      <c r="A1116">
        <v>20</v>
      </c>
      <c r="B1116" s="20" t="s">
        <v>108</v>
      </c>
      <c r="C1116" s="2">
        <v>44888.304166666669</v>
      </c>
      <c r="D1116" s="20" t="s">
        <v>80</v>
      </c>
    </row>
    <row r="1117" spans="1:4" x14ac:dyDescent="0.25">
      <c r="A1117">
        <v>21</v>
      </c>
      <c r="B1117" s="20" t="s">
        <v>109</v>
      </c>
      <c r="C1117" s="2">
        <v>44888.304166666669</v>
      </c>
      <c r="D1117" s="20" t="s">
        <v>80</v>
      </c>
    </row>
    <row r="1118" spans="1:4" x14ac:dyDescent="0.25">
      <c r="A1118">
        <v>22</v>
      </c>
      <c r="B1118" s="20" t="s">
        <v>110</v>
      </c>
      <c r="C1118" s="2">
        <v>44888.304166666669</v>
      </c>
      <c r="D1118" s="20" t="s">
        <v>80</v>
      </c>
    </row>
    <row r="1119" spans="1:4" x14ac:dyDescent="0.25">
      <c r="A1119">
        <v>23</v>
      </c>
      <c r="B1119" s="20" t="s">
        <v>111</v>
      </c>
      <c r="C1119" s="2">
        <v>44888.304166666669</v>
      </c>
      <c r="D1119" s="20" t="s">
        <v>80</v>
      </c>
    </row>
    <row r="1120" spans="1:4" x14ac:dyDescent="0.25">
      <c r="A1120">
        <v>5</v>
      </c>
      <c r="B1120" s="20" t="s">
        <v>96</v>
      </c>
      <c r="C1120" s="2">
        <v>44888.305555555555</v>
      </c>
      <c r="D1120" s="20" t="s">
        <v>81</v>
      </c>
    </row>
    <row r="1121" spans="1:4" x14ac:dyDescent="0.25">
      <c r="A1121">
        <v>5</v>
      </c>
      <c r="B1121" s="20" t="s">
        <v>96</v>
      </c>
      <c r="C1121" s="2">
        <v>44888.305555555555</v>
      </c>
      <c r="D1121" s="20" t="s">
        <v>80</v>
      </c>
    </row>
    <row r="1122" spans="1:4" x14ac:dyDescent="0.25">
      <c r="A1122">
        <v>5</v>
      </c>
      <c r="B1122" s="20" t="s">
        <v>96</v>
      </c>
      <c r="C1122" s="2">
        <v>44888.315972222219</v>
      </c>
      <c r="D1122" s="20" t="s">
        <v>81</v>
      </c>
    </row>
    <row r="1123" spans="1:4" x14ac:dyDescent="0.25">
      <c r="A1123">
        <v>5</v>
      </c>
      <c r="B1123" s="20" t="s">
        <v>96</v>
      </c>
      <c r="C1123" s="2">
        <v>44888.326388888891</v>
      </c>
      <c r="D1123" s="20" t="s">
        <v>81</v>
      </c>
    </row>
    <row r="1124" spans="1:4" x14ac:dyDescent="0.25">
      <c r="A1124">
        <v>24</v>
      </c>
      <c r="B1124" s="20" t="s">
        <v>28</v>
      </c>
      <c r="C1124" s="2">
        <v>44888.326388888891</v>
      </c>
      <c r="D1124" s="20" t="s">
        <v>81</v>
      </c>
    </row>
    <row r="1125" spans="1:4" x14ac:dyDescent="0.25">
      <c r="A1125">
        <v>27</v>
      </c>
      <c r="B1125" s="20" t="s">
        <v>60</v>
      </c>
      <c r="C1125" s="2">
        <v>44888.326388888891</v>
      </c>
      <c r="D1125" s="20" t="s">
        <v>81</v>
      </c>
    </row>
    <row r="1126" spans="1:4" x14ac:dyDescent="0.25">
      <c r="A1126">
        <v>29</v>
      </c>
      <c r="B1126" s="20" t="s">
        <v>161</v>
      </c>
      <c r="C1126" s="2">
        <v>44888.326388888891</v>
      </c>
      <c r="D1126" s="20" t="s">
        <v>81</v>
      </c>
    </row>
    <row r="1127" spans="1:4" x14ac:dyDescent="0.25">
      <c r="A1127">
        <v>30</v>
      </c>
      <c r="B1127" s="20" t="s">
        <v>162</v>
      </c>
      <c r="C1127" s="2">
        <v>44888.326388888891</v>
      </c>
      <c r="D1127" s="20" t="s">
        <v>81</v>
      </c>
    </row>
    <row r="1128" spans="1:4" x14ac:dyDescent="0.25">
      <c r="A1128">
        <v>35</v>
      </c>
      <c r="B1128" s="20" t="s">
        <v>166</v>
      </c>
      <c r="C1128" s="2">
        <v>44888.326388888891</v>
      </c>
      <c r="D1128" s="20" t="s">
        <v>81</v>
      </c>
    </row>
    <row r="1129" spans="1:4" x14ac:dyDescent="0.25">
      <c r="A1129">
        <v>5</v>
      </c>
      <c r="B1129" s="20" t="s">
        <v>96</v>
      </c>
      <c r="C1129" s="2">
        <v>44888.336805555555</v>
      </c>
      <c r="D1129" s="20" t="s">
        <v>81</v>
      </c>
    </row>
    <row r="1130" spans="1:4" x14ac:dyDescent="0.25">
      <c r="A1130">
        <v>5</v>
      </c>
      <c r="B1130" s="20" t="s">
        <v>96</v>
      </c>
      <c r="C1130" s="2">
        <v>44888.347222222219</v>
      </c>
      <c r="D1130" s="20" t="s">
        <v>81</v>
      </c>
    </row>
    <row r="1131" spans="1:4" x14ac:dyDescent="0.25">
      <c r="A1131">
        <v>5</v>
      </c>
      <c r="B1131" s="20" t="s">
        <v>96</v>
      </c>
      <c r="C1131" s="2">
        <v>44888.357638888891</v>
      </c>
      <c r="D1131" s="20" t="s">
        <v>81</v>
      </c>
    </row>
    <row r="1132" spans="1:4" x14ac:dyDescent="0.25">
      <c r="A1132">
        <v>5</v>
      </c>
      <c r="B1132" s="20" t="s">
        <v>96</v>
      </c>
      <c r="C1132" s="2">
        <v>44888.368055555555</v>
      </c>
      <c r="D1132" s="20" t="s">
        <v>81</v>
      </c>
    </row>
    <row r="1133" spans="1:4" x14ac:dyDescent="0.25">
      <c r="A1133">
        <v>5</v>
      </c>
      <c r="B1133" s="20" t="s">
        <v>96</v>
      </c>
      <c r="C1133" s="2">
        <v>44888.378472222219</v>
      </c>
      <c r="D1133" s="20" t="s">
        <v>81</v>
      </c>
    </row>
    <row r="1134" spans="1:4" x14ac:dyDescent="0.25">
      <c r="A1134">
        <v>5</v>
      </c>
      <c r="B1134" s="20" t="s">
        <v>96</v>
      </c>
      <c r="C1134" s="2">
        <v>44888.388888888891</v>
      </c>
      <c r="D1134" s="20" t="s">
        <v>81</v>
      </c>
    </row>
    <row r="1135" spans="1:4" x14ac:dyDescent="0.25">
      <c r="A1135">
        <v>5</v>
      </c>
      <c r="B1135" s="20" t="s">
        <v>96</v>
      </c>
      <c r="C1135" s="2">
        <v>44888.399305555555</v>
      </c>
      <c r="D1135" s="20" t="s">
        <v>81</v>
      </c>
    </row>
    <row r="1136" spans="1:4" x14ac:dyDescent="0.25">
      <c r="A1136">
        <v>5</v>
      </c>
      <c r="B1136" s="20" t="s">
        <v>96</v>
      </c>
      <c r="C1136" s="2">
        <v>44888.409722222219</v>
      </c>
      <c r="D1136" s="20" t="s">
        <v>81</v>
      </c>
    </row>
    <row r="1137" spans="1:4" x14ac:dyDescent="0.25">
      <c r="A1137">
        <v>5</v>
      </c>
      <c r="B1137" s="20" t="s">
        <v>96</v>
      </c>
      <c r="C1137" s="2">
        <v>44888.420138888891</v>
      </c>
      <c r="D1137" s="20" t="s">
        <v>81</v>
      </c>
    </row>
    <row r="1138" spans="1:4" x14ac:dyDescent="0.25">
      <c r="A1138">
        <v>5</v>
      </c>
      <c r="B1138" s="20" t="s">
        <v>96</v>
      </c>
      <c r="C1138" s="2">
        <v>44888.430555555555</v>
      </c>
      <c r="D1138" s="20" t="s">
        <v>81</v>
      </c>
    </row>
    <row r="1139" spans="1:4" x14ac:dyDescent="0.25">
      <c r="A1139">
        <v>5</v>
      </c>
      <c r="B1139" s="20" t="s">
        <v>96</v>
      </c>
      <c r="C1139" s="2">
        <v>44888.440972222219</v>
      </c>
      <c r="D1139" s="20" t="s">
        <v>81</v>
      </c>
    </row>
    <row r="1140" spans="1:4" x14ac:dyDescent="0.25">
      <c r="A1140">
        <v>5</v>
      </c>
      <c r="B1140" s="20" t="s">
        <v>96</v>
      </c>
      <c r="C1140" s="2">
        <v>44888.451388888891</v>
      </c>
      <c r="D1140" s="20" t="s">
        <v>81</v>
      </c>
    </row>
    <row r="1141" spans="1:4" x14ac:dyDescent="0.25">
      <c r="A1141">
        <v>5</v>
      </c>
      <c r="B1141" s="20" t="s">
        <v>96</v>
      </c>
      <c r="C1141" s="2">
        <v>44889.284722222219</v>
      </c>
      <c r="D1141" s="20" t="s">
        <v>81</v>
      </c>
    </row>
    <row r="1142" spans="1:4" x14ac:dyDescent="0.25">
      <c r="A1142">
        <v>25</v>
      </c>
      <c r="B1142" s="20" t="s">
        <v>41</v>
      </c>
      <c r="C1142" s="2">
        <v>44889.284722222219</v>
      </c>
      <c r="D1142" s="20" t="s">
        <v>81</v>
      </c>
    </row>
    <row r="1143" spans="1:4" x14ac:dyDescent="0.25">
      <c r="A1143">
        <v>26</v>
      </c>
      <c r="B1143" s="20" t="s">
        <v>159</v>
      </c>
      <c r="C1143" s="2">
        <v>44889.284722222219</v>
      </c>
      <c r="D1143" s="20" t="s">
        <v>81</v>
      </c>
    </row>
    <row r="1144" spans="1:4" x14ac:dyDescent="0.25">
      <c r="A1144">
        <v>27</v>
      </c>
      <c r="B1144" s="20" t="s">
        <v>60</v>
      </c>
      <c r="C1144" s="2">
        <v>44889.284722222219</v>
      </c>
      <c r="D1144" s="20" t="s">
        <v>81</v>
      </c>
    </row>
    <row r="1145" spans="1:4" x14ac:dyDescent="0.25">
      <c r="A1145">
        <v>29</v>
      </c>
      <c r="B1145" s="20" t="s">
        <v>161</v>
      </c>
      <c r="C1145" s="2">
        <v>44889.284722222219</v>
      </c>
      <c r="D1145" s="20" t="s">
        <v>81</v>
      </c>
    </row>
    <row r="1146" spans="1:4" x14ac:dyDescent="0.25">
      <c r="A1146">
        <v>30</v>
      </c>
      <c r="B1146" s="20" t="s">
        <v>162</v>
      </c>
      <c r="C1146" s="2">
        <v>44889.284722222219</v>
      </c>
      <c r="D1146" s="20" t="s">
        <v>81</v>
      </c>
    </row>
    <row r="1147" spans="1:4" x14ac:dyDescent="0.25">
      <c r="A1147">
        <v>31</v>
      </c>
      <c r="B1147" s="20" t="s">
        <v>163</v>
      </c>
      <c r="C1147" s="2">
        <v>44889.284722222219</v>
      </c>
      <c r="D1147" s="20" t="s">
        <v>81</v>
      </c>
    </row>
    <row r="1148" spans="1:4" x14ac:dyDescent="0.25">
      <c r="A1148">
        <v>5</v>
      </c>
      <c r="B1148" s="20" t="s">
        <v>96</v>
      </c>
      <c r="C1148" s="2">
        <v>44889.295138888891</v>
      </c>
      <c r="D1148" s="20" t="s">
        <v>81</v>
      </c>
    </row>
    <row r="1149" spans="1:4" x14ac:dyDescent="0.25">
      <c r="A1149">
        <v>7</v>
      </c>
      <c r="B1149" s="20" t="s">
        <v>59</v>
      </c>
      <c r="C1149" s="2">
        <v>44889.295138888891</v>
      </c>
      <c r="D1149" s="20" t="s">
        <v>81</v>
      </c>
    </row>
    <row r="1150" spans="1:4" x14ac:dyDescent="0.25">
      <c r="A1150">
        <v>9</v>
      </c>
      <c r="B1150" s="20" t="s">
        <v>61</v>
      </c>
      <c r="C1150" s="2">
        <v>44889.295138888891</v>
      </c>
      <c r="D1150" s="20" t="s">
        <v>81</v>
      </c>
    </row>
    <row r="1151" spans="1:4" x14ac:dyDescent="0.25">
      <c r="A1151">
        <v>10</v>
      </c>
      <c r="B1151" s="20" t="s">
        <v>62</v>
      </c>
      <c r="C1151" s="2">
        <v>44889.295138888891</v>
      </c>
      <c r="D1151" s="20" t="s">
        <v>81</v>
      </c>
    </row>
    <row r="1152" spans="1:4" x14ac:dyDescent="0.25">
      <c r="A1152">
        <v>11</v>
      </c>
      <c r="B1152" s="20" t="s">
        <v>63</v>
      </c>
      <c r="C1152" s="2">
        <v>44889.295138888891</v>
      </c>
      <c r="D1152" s="20" t="s">
        <v>81</v>
      </c>
    </row>
    <row r="1153" spans="1:4" x14ac:dyDescent="0.25">
      <c r="A1153">
        <v>12</v>
      </c>
      <c r="B1153" s="20" t="s">
        <v>64</v>
      </c>
      <c r="C1153" s="2">
        <v>44889.295138888891</v>
      </c>
      <c r="D1153" s="20" t="s">
        <v>81</v>
      </c>
    </row>
    <row r="1154" spans="1:4" x14ac:dyDescent="0.25">
      <c r="A1154">
        <v>13</v>
      </c>
      <c r="B1154" s="20" t="s">
        <v>65</v>
      </c>
      <c r="C1154" s="2">
        <v>44889.295138888891</v>
      </c>
      <c r="D1154" s="20" t="s">
        <v>81</v>
      </c>
    </row>
    <row r="1155" spans="1:4" x14ac:dyDescent="0.25">
      <c r="A1155">
        <v>14</v>
      </c>
      <c r="B1155" s="20" t="s">
        <v>66</v>
      </c>
      <c r="C1155" s="2">
        <v>44889.295138888891</v>
      </c>
      <c r="D1155" s="20" t="s">
        <v>81</v>
      </c>
    </row>
    <row r="1156" spans="1:4" x14ac:dyDescent="0.25">
      <c r="A1156">
        <v>15</v>
      </c>
      <c r="B1156" s="20" t="s">
        <v>157</v>
      </c>
      <c r="C1156" s="2">
        <v>44889.295138888891</v>
      </c>
      <c r="D1156" s="20" t="s">
        <v>81</v>
      </c>
    </row>
    <row r="1157" spans="1:4" x14ac:dyDescent="0.25">
      <c r="A1157">
        <v>16</v>
      </c>
      <c r="B1157" s="20" t="s">
        <v>68</v>
      </c>
      <c r="C1157" s="2">
        <v>44889.295138888891</v>
      </c>
      <c r="D1157" s="20" t="s">
        <v>81</v>
      </c>
    </row>
    <row r="1158" spans="1:4" x14ac:dyDescent="0.25">
      <c r="A1158">
        <v>32</v>
      </c>
      <c r="B1158" s="20" t="s">
        <v>164</v>
      </c>
      <c r="C1158" s="2">
        <v>44889.295138888891</v>
      </c>
      <c r="D1158" s="20" t="s">
        <v>81</v>
      </c>
    </row>
    <row r="1159" spans="1:4" x14ac:dyDescent="0.25">
      <c r="A1159">
        <v>34</v>
      </c>
      <c r="B1159" s="20" t="s">
        <v>67</v>
      </c>
      <c r="C1159" s="2">
        <v>44889.295138888891</v>
      </c>
      <c r="D1159" s="20" t="s">
        <v>81</v>
      </c>
    </row>
    <row r="1160" spans="1:4" x14ac:dyDescent="0.25">
      <c r="A1160">
        <v>35</v>
      </c>
      <c r="B1160" s="20" t="s">
        <v>166</v>
      </c>
      <c r="C1160" s="2">
        <v>44889.295138888891</v>
      </c>
      <c r="D1160" s="20" t="s">
        <v>81</v>
      </c>
    </row>
    <row r="1161" spans="1:4" x14ac:dyDescent="0.25">
      <c r="A1161">
        <v>3</v>
      </c>
      <c r="B1161" s="20" t="s">
        <v>39</v>
      </c>
      <c r="C1161" s="2">
        <v>44889.303472222222</v>
      </c>
      <c r="D1161" s="20" t="s">
        <v>80</v>
      </c>
    </row>
    <row r="1162" spans="1:4" x14ac:dyDescent="0.25">
      <c r="A1162">
        <v>5</v>
      </c>
      <c r="B1162" s="20" t="s">
        <v>96</v>
      </c>
      <c r="C1162" s="2">
        <v>44889.303472222222</v>
      </c>
      <c r="D1162" s="20" t="s">
        <v>80</v>
      </c>
    </row>
    <row r="1163" spans="1:4" x14ac:dyDescent="0.25">
      <c r="A1163">
        <v>17</v>
      </c>
      <c r="B1163" s="20" t="s">
        <v>105</v>
      </c>
      <c r="C1163" s="2">
        <v>44889.303472222222</v>
      </c>
      <c r="D1163" s="20" t="s">
        <v>80</v>
      </c>
    </row>
    <row r="1164" spans="1:4" x14ac:dyDescent="0.25">
      <c r="A1164">
        <v>18</v>
      </c>
      <c r="B1164" s="20" t="s">
        <v>106</v>
      </c>
      <c r="C1164" s="2">
        <v>44889.303472222222</v>
      </c>
      <c r="D1164" s="20" t="s">
        <v>80</v>
      </c>
    </row>
    <row r="1165" spans="1:4" x14ac:dyDescent="0.25">
      <c r="A1165">
        <v>19</v>
      </c>
      <c r="B1165" s="20" t="s">
        <v>107</v>
      </c>
      <c r="C1165" s="2">
        <v>44889.303472222222</v>
      </c>
      <c r="D1165" s="20" t="s">
        <v>80</v>
      </c>
    </row>
    <row r="1166" spans="1:4" x14ac:dyDescent="0.25">
      <c r="A1166">
        <v>20</v>
      </c>
      <c r="B1166" s="20" t="s">
        <v>108</v>
      </c>
      <c r="C1166" s="2">
        <v>44889.303472222222</v>
      </c>
      <c r="D1166" s="20" t="s">
        <v>80</v>
      </c>
    </row>
    <row r="1167" spans="1:4" x14ac:dyDescent="0.25">
      <c r="A1167">
        <v>21</v>
      </c>
      <c r="B1167" s="20" t="s">
        <v>109</v>
      </c>
      <c r="C1167" s="2">
        <v>44889.303472222222</v>
      </c>
      <c r="D1167" s="20" t="s">
        <v>80</v>
      </c>
    </row>
    <row r="1168" spans="1:4" x14ac:dyDescent="0.25">
      <c r="A1168">
        <v>22</v>
      </c>
      <c r="B1168" s="20" t="s">
        <v>110</v>
      </c>
      <c r="C1168" s="2">
        <v>44889.303472222222</v>
      </c>
      <c r="D1168" s="20" t="s">
        <v>80</v>
      </c>
    </row>
    <row r="1169" spans="1:4" x14ac:dyDescent="0.25">
      <c r="A1169">
        <v>23</v>
      </c>
      <c r="B1169" s="20" t="s">
        <v>111</v>
      </c>
      <c r="C1169" s="2">
        <v>44889.303472222222</v>
      </c>
      <c r="D1169" s="20" t="s">
        <v>80</v>
      </c>
    </row>
    <row r="1170" spans="1:4" x14ac:dyDescent="0.25">
      <c r="A1170">
        <v>5</v>
      </c>
      <c r="B1170" s="20" t="s">
        <v>96</v>
      </c>
      <c r="C1170" s="2">
        <v>44889.305555555555</v>
      </c>
      <c r="D1170" s="20" t="s">
        <v>81</v>
      </c>
    </row>
    <row r="1171" spans="1:4" x14ac:dyDescent="0.25">
      <c r="A1171">
        <v>5</v>
      </c>
      <c r="B1171" s="20" t="s">
        <v>96</v>
      </c>
      <c r="C1171" s="2">
        <v>44889.305555555555</v>
      </c>
      <c r="D1171" s="20" t="s">
        <v>80</v>
      </c>
    </row>
    <row r="1172" spans="1:4" x14ac:dyDescent="0.25">
      <c r="A1172">
        <v>5</v>
      </c>
      <c r="B1172" s="20" t="s">
        <v>96</v>
      </c>
      <c r="C1172" s="2">
        <v>44889.315972222219</v>
      </c>
      <c r="D1172" s="20" t="s">
        <v>81</v>
      </c>
    </row>
    <row r="1173" spans="1:4" x14ac:dyDescent="0.25">
      <c r="A1173">
        <v>24</v>
      </c>
      <c r="B1173" s="20" t="s">
        <v>28</v>
      </c>
      <c r="C1173" s="2">
        <v>44889.315972222219</v>
      </c>
      <c r="D1173" s="20" t="s">
        <v>81</v>
      </c>
    </row>
    <row r="1174" spans="1:4" x14ac:dyDescent="0.25">
      <c r="A1174">
        <v>28</v>
      </c>
      <c r="B1174" s="20" t="s">
        <v>160</v>
      </c>
      <c r="C1174" s="2">
        <v>44889.315972222219</v>
      </c>
      <c r="D1174" s="20" t="s">
        <v>81</v>
      </c>
    </row>
    <row r="1175" spans="1:4" x14ac:dyDescent="0.25">
      <c r="A1175">
        <v>33</v>
      </c>
      <c r="B1175" s="20" t="s">
        <v>165</v>
      </c>
      <c r="C1175" s="2">
        <v>44889.315972222219</v>
      </c>
      <c r="D1175" s="20" t="s">
        <v>81</v>
      </c>
    </row>
    <row r="1176" spans="1:4" x14ac:dyDescent="0.25">
      <c r="A1176">
        <v>5</v>
      </c>
      <c r="B1176" s="20" t="s">
        <v>96</v>
      </c>
      <c r="C1176" s="2">
        <v>44889.326388888891</v>
      </c>
      <c r="D1176" s="20" t="s">
        <v>81</v>
      </c>
    </row>
    <row r="1177" spans="1:4" x14ac:dyDescent="0.25">
      <c r="A1177">
        <v>5</v>
      </c>
      <c r="B1177" s="20" t="s">
        <v>96</v>
      </c>
      <c r="C1177" s="2">
        <v>44889.336805555555</v>
      </c>
      <c r="D1177" s="20" t="s">
        <v>81</v>
      </c>
    </row>
    <row r="1178" spans="1:4" x14ac:dyDescent="0.25">
      <c r="A1178">
        <v>5</v>
      </c>
      <c r="B1178" s="20" t="s">
        <v>96</v>
      </c>
      <c r="C1178" s="2">
        <v>44889.347222222219</v>
      </c>
      <c r="D1178" s="20" t="s">
        <v>81</v>
      </c>
    </row>
    <row r="1179" spans="1:4" x14ac:dyDescent="0.25">
      <c r="A1179">
        <v>5</v>
      </c>
      <c r="B1179" s="20" t="s">
        <v>96</v>
      </c>
      <c r="C1179" s="2">
        <v>44889.357638888891</v>
      </c>
      <c r="D1179" s="20" t="s">
        <v>81</v>
      </c>
    </row>
    <row r="1180" spans="1:4" x14ac:dyDescent="0.25">
      <c r="A1180">
        <v>1</v>
      </c>
      <c r="B1180" s="20" t="s">
        <v>6</v>
      </c>
      <c r="C1180" s="2">
        <v>44889.368055555555</v>
      </c>
      <c r="D1180" s="20" t="s">
        <v>81</v>
      </c>
    </row>
    <row r="1181" spans="1:4" x14ac:dyDescent="0.25">
      <c r="A1181">
        <v>5</v>
      </c>
      <c r="B1181" s="20" t="s">
        <v>167</v>
      </c>
      <c r="C1181" s="2">
        <v>44889.368055555555</v>
      </c>
      <c r="D1181" s="20" t="s">
        <v>81</v>
      </c>
    </row>
    <row r="1182" spans="1:4" x14ac:dyDescent="0.25">
      <c r="A1182">
        <v>5</v>
      </c>
      <c r="B1182" s="20" t="s">
        <v>167</v>
      </c>
      <c r="C1182" s="2">
        <v>44889.378472222219</v>
      </c>
      <c r="D1182" s="20" t="s">
        <v>81</v>
      </c>
    </row>
    <row r="1183" spans="1:4" x14ac:dyDescent="0.25">
      <c r="A1183">
        <v>5</v>
      </c>
      <c r="B1183" s="20" t="s">
        <v>167</v>
      </c>
      <c r="C1183" s="2">
        <v>44889.388888888891</v>
      </c>
      <c r="D1183" s="20" t="s">
        <v>81</v>
      </c>
    </row>
    <row r="1184" spans="1:4" x14ac:dyDescent="0.25">
      <c r="A1184">
        <v>5</v>
      </c>
      <c r="B1184" s="20" t="s">
        <v>167</v>
      </c>
      <c r="C1184" s="2">
        <v>44889.399305555555</v>
      </c>
      <c r="D1184" s="20" t="s">
        <v>81</v>
      </c>
    </row>
    <row r="1185" spans="1:4" x14ac:dyDescent="0.25">
      <c r="A1185">
        <v>5</v>
      </c>
      <c r="B1185" s="20" t="s">
        <v>167</v>
      </c>
      <c r="C1185" s="2">
        <v>44889.409722222219</v>
      </c>
      <c r="D1185" s="20" t="s">
        <v>81</v>
      </c>
    </row>
    <row r="1186" spans="1:4" x14ac:dyDescent="0.25">
      <c r="A1186">
        <v>5</v>
      </c>
      <c r="B1186" s="20" t="s">
        <v>167</v>
      </c>
      <c r="C1186" s="2">
        <v>44889.420138888891</v>
      </c>
      <c r="D1186" s="20" t="s">
        <v>81</v>
      </c>
    </row>
    <row r="1187" spans="1:4" x14ac:dyDescent="0.25">
      <c r="A1187">
        <v>5</v>
      </c>
      <c r="B1187" s="20" t="s">
        <v>167</v>
      </c>
      <c r="C1187" s="2">
        <v>44889.430555555555</v>
      </c>
      <c r="D1187" s="20" t="s">
        <v>81</v>
      </c>
    </row>
    <row r="1188" spans="1:4" x14ac:dyDescent="0.25">
      <c r="A1188">
        <v>5</v>
      </c>
      <c r="B1188" s="20" t="s">
        <v>167</v>
      </c>
      <c r="C1188" s="2">
        <v>44889.440972222219</v>
      </c>
      <c r="D1188" s="20" t="s">
        <v>81</v>
      </c>
    </row>
    <row r="1189" spans="1:4" x14ac:dyDescent="0.25">
      <c r="A1189">
        <v>5</v>
      </c>
      <c r="B1189" s="20" t="s">
        <v>167</v>
      </c>
      <c r="C1189" s="2">
        <v>44889.451388888891</v>
      </c>
      <c r="D1189" s="20" t="s">
        <v>81</v>
      </c>
    </row>
    <row r="1190" spans="1:4" x14ac:dyDescent="0.25">
      <c r="A1190">
        <v>5</v>
      </c>
      <c r="B1190" s="20" t="s">
        <v>96</v>
      </c>
      <c r="C1190" s="2">
        <v>44890.284722222219</v>
      </c>
      <c r="D1190" s="20" t="s">
        <v>81</v>
      </c>
    </row>
    <row r="1191" spans="1:4" x14ac:dyDescent="0.25">
      <c r="A1191">
        <v>24</v>
      </c>
      <c r="B1191" s="20" t="s">
        <v>28</v>
      </c>
      <c r="C1191" s="2">
        <v>44890.284722222219</v>
      </c>
      <c r="D1191" s="20" t="s">
        <v>81</v>
      </c>
    </row>
    <row r="1192" spans="1:4" x14ac:dyDescent="0.25">
      <c r="A1192">
        <v>25</v>
      </c>
      <c r="B1192" s="20" t="s">
        <v>41</v>
      </c>
      <c r="C1192" s="2">
        <v>44890.284722222219</v>
      </c>
      <c r="D1192" s="20" t="s">
        <v>81</v>
      </c>
    </row>
    <row r="1193" spans="1:4" x14ac:dyDescent="0.25">
      <c r="A1193">
        <v>27</v>
      </c>
      <c r="B1193" s="20" t="s">
        <v>60</v>
      </c>
      <c r="C1193" s="2">
        <v>44890.284722222219</v>
      </c>
      <c r="D1193" s="20" t="s">
        <v>81</v>
      </c>
    </row>
    <row r="1194" spans="1:4" x14ac:dyDescent="0.25">
      <c r="A1194">
        <v>28</v>
      </c>
      <c r="B1194" s="20" t="s">
        <v>160</v>
      </c>
      <c r="C1194" s="2">
        <v>44890.284722222219</v>
      </c>
      <c r="D1194" s="20" t="s">
        <v>81</v>
      </c>
    </row>
    <row r="1195" spans="1:4" x14ac:dyDescent="0.25">
      <c r="A1195">
        <v>29</v>
      </c>
      <c r="B1195" s="20" t="s">
        <v>161</v>
      </c>
      <c r="C1195" s="2">
        <v>44890.284722222219</v>
      </c>
      <c r="D1195" s="20" t="s">
        <v>81</v>
      </c>
    </row>
    <row r="1196" spans="1:4" x14ac:dyDescent="0.25">
      <c r="A1196">
        <v>30</v>
      </c>
      <c r="B1196" s="20" t="s">
        <v>162</v>
      </c>
      <c r="C1196" s="2">
        <v>44890.284722222219</v>
      </c>
      <c r="D1196" s="20" t="s">
        <v>81</v>
      </c>
    </row>
    <row r="1197" spans="1:4" x14ac:dyDescent="0.25">
      <c r="A1197">
        <v>31</v>
      </c>
      <c r="B1197" s="20" t="s">
        <v>163</v>
      </c>
      <c r="C1197" s="2">
        <v>44890.284722222219</v>
      </c>
      <c r="D1197" s="20" t="s">
        <v>81</v>
      </c>
    </row>
    <row r="1198" spans="1:4" x14ac:dyDescent="0.25">
      <c r="A1198">
        <v>5</v>
      </c>
      <c r="B1198" s="20" t="s">
        <v>96</v>
      </c>
      <c r="C1198" s="2">
        <v>44890.295138888891</v>
      </c>
      <c r="D1198" s="20" t="s">
        <v>81</v>
      </c>
    </row>
    <row r="1199" spans="1:4" x14ac:dyDescent="0.25">
      <c r="A1199">
        <v>7</v>
      </c>
      <c r="B1199" s="20" t="s">
        <v>59</v>
      </c>
      <c r="C1199" s="2">
        <v>44890.295138888891</v>
      </c>
      <c r="D1199" s="20" t="s">
        <v>81</v>
      </c>
    </row>
    <row r="1200" spans="1:4" x14ac:dyDescent="0.25">
      <c r="A1200">
        <v>9</v>
      </c>
      <c r="B1200" s="20" t="s">
        <v>61</v>
      </c>
      <c r="C1200" s="2">
        <v>44890.295138888891</v>
      </c>
      <c r="D1200" s="20" t="s">
        <v>81</v>
      </c>
    </row>
    <row r="1201" spans="1:4" x14ac:dyDescent="0.25">
      <c r="A1201">
        <v>10</v>
      </c>
      <c r="B1201" s="20" t="s">
        <v>62</v>
      </c>
      <c r="C1201" s="2">
        <v>44890.295138888891</v>
      </c>
      <c r="D1201" s="20" t="s">
        <v>81</v>
      </c>
    </row>
    <row r="1202" spans="1:4" x14ac:dyDescent="0.25">
      <c r="A1202">
        <v>11</v>
      </c>
      <c r="B1202" s="20" t="s">
        <v>63</v>
      </c>
      <c r="C1202" s="2">
        <v>44890.295138888891</v>
      </c>
      <c r="D1202" s="20" t="s">
        <v>81</v>
      </c>
    </row>
    <row r="1203" spans="1:4" x14ac:dyDescent="0.25">
      <c r="A1203">
        <v>12</v>
      </c>
      <c r="B1203" s="20" t="s">
        <v>64</v>
      </c>
      <c r="C1203" s="2">
        <v>44890.295138888891</v>
      </c>
      <c r="D1203" s="20" t="s">
        <v>81</v>
      </c>
    </row>
    <row r="1204" spans="1:4" x14ac:dyDescent="0.25">
      <c r="A1204">
        <v>13</v>
      </c>
      <c r="B1204" s="20" t="s">
        <v>65</v>
      </c>
      <c r="C1204" s="2">
        <v>44890.295138888891</v>
      </c>
      <c r="D1204" s="20" t="s">
        <v>81</v>
      </c>
    </row>
    <row r="1205" spans="1:4" x14ac:dyDescent="0.25">
      <c r="A1205">
        <v>14</v>
      </c>
      <c r="B1205" s="20" t="s">
        <v>66</v>
      </c>
      <c r="C1205" s="2">
        <v>44890.295138888891</v>
      </c>
      <c r="D1205" s="20" t="s">
        <v>81</v>
      </c>
    </row>
    <row r="1206" spans="1:4" x14ac:dyDescent="0.25">
      <c r="A1206">
        <v>15</v>
      </c>
      <c r="B1206" s="20" t="s">
        <v>157</v>
      </c>
      <c r="C1206" s="2">
        <v>44890.295138888891</v>
      </c>
      <c r="D1206" s="20" t="s">
        <v>81</v>
      </c>
    </row>
    <row r="1207" spans="1:4" x14ac:dyDescent="0.25">
      <c r="A1207">
        <v>16</v>
      </c>
      <c r="B1207" s="20" t="s">
        <v>68</v>
      </c>
      <c r="C1207" s="2">
        <v>44890.295138888891</v>
      </c>
      <c r="D1207" s="20" t="s">
        <v>81</v>
      </c>
    </row>
    <row r="1208" spans="1:4" x14ac:dyDescent="0.25">
      <c r="A1208">
        <v>35</v>
      </c>
      <c r="B1208" s="20" t="s">
        <v>166</v>
      </c>
      <c r="C1208" s="2">
        <v>44890.295138888891</v>
      </c>
      <c r="D1208" s="20" t="s">
        <v>81</v>
      </c>
    </row>
    <row r="1209" spans="1:4" x14ac:dyDescent="0.25">
      <c r="A1209">
        <v>3</v>
      </c>
      <c r="B1209" s="20" t="s">
        <v>39</v>
      </c>
      <c r="C1209" s="2">
        <v>44890.303472222222</v>
      </c>
      <c r="D1209" s="20" t="s">
        <v>80</v>
      </c>
    </row>
    <row r="1210" spans="1:4" x14ac:dyDescent="0.25">
      <c r="A1210">
        <v>5</v>
      </c>
      <c r="B1210" s="20" t="s">
        <v>96</v>
      </c>
      <c r="C1210" s="2">
        <v>44890.303472222222</v>
      </c>
      <c r="D1210" s="20" t="s">
        <v>80</v>
      </c>
    </row>
    <row r="1211" spans="1:4" x14ac:dyDescent="0.25">
      <c r="A1211">
        <v>17</v>
      </c>
      <c r="B1211" s="20" t="s">
        <v>105</v>
      </c>
      <c r="C1211" s="2">
        <v>44890.303472222222</v>
      </c>
      <c r="D1211" s="20" t="s">
        <v>80</v>
      </c>
    </row>
    <row r="1212" spans="1:4" x14ac:dyDescent="0.25">
      <c r="A1212">
        <v>18</v>
      </c>
      <c r="B1212" s="20" t="s">
        <v>106</v>
      </c>
      <c r="C1212" s="2">
        <v>44890.303472222222</v>
      </c>
      <c r="D1212" s="20" t="s">
        <v>80</v>
      </c>
    </row>
    <row r="1213" spans="1:4" x14ac:dyDescent="0.25">
      <c r="A1213">
        <v>19</v>
      </c>
      <c r="B1213" s="20" t="s">
        <v>107</v>
      </c>
      <c r="C1213" s="2">
        <v>44890.303472222222</v>
      </c>
      <c r="D1213" s="20" t="s">
        <v>80</v>
      </c>
    </row>
    <row r="1214" spans="1:4" x14ac:dyDescent="0.25">
      <c r="A1214">
        <v>20</v>
      </c>
      <c r="B1214" s="20" t="s">
        <v>108</v>
      </c>
      <c r="C1214" s="2">
        <v>44890.303472222222</v>
      </c>
      <c r="D1214" s="20" t="s">
        <v>80</v>
      </c>
    </row>
    <row r="1215" spans="1:4" x14ac:dyDescent="0.25">
      <c r="A1215">
        <v>21</v>
      </c>
      <c r="B1215" s="20" t="s">
        <v>109</v>
      </c>
      <c r="C1215" s="2">
        <v>44890.303472222222</v>
      </c>
      <c r="D1215" s="20" t="s">
        <v>80</v>
      </c>
    </row>
    <row r="1216" spans="1:4" x14ac:dyDescent="0.25">
      <c r="A1216">
        <v>22</v>
      </c>
      <c r="B1216" s="20" t="s">
        <v>110</v>
      </c>
      <c r="C1216" s="2">
        <v>44890.303472222222</v>
      </c>
      <c r="D1216" s="20" t="s">
        <v>80</v>
      </c>
    </row>
    <row r="1217" spans="1:4" x14ac:dyDescent="0.25">
      <c r="A1217">
        <v>23</v>
      </c>
      <c r="B1217" s="20" t="s">
        <v>111</v>
      </c>
      <c r="C1217" s="2">
        <v>44890.303472222222</v>
      </c>
      <c r="D1217" s="20" t="s">
        <v>80</v>
      </c>
    </row>
    <row r="1218" spans="1:4" x14ac:dyDescent="0.25">
      <c r="A1218">
        <v>5</v>
      </c>
      <c r="B1218" s="20" t="s">
        <v>96</v>
      </c>
      <c r="C1218" s="2">
        <v>44890.305555555555</v>
      </c>
      <c r="D1218" s="20" t="s">
        <v>81</v>
      </c>
    </row>
    <row r="1219" spans="1:4" x14ac:dyDescent="0.25">
      <c r="A1219">
        <v>5</v>
      </c>
      <c r="B1219" s="20" t="s">
        <v>96</v>
      </c>
      <c r="C1219" s="2">
        <v>44890.305555555555</v>
      </c>
      <c r="D1219" s="20" t="s">
        <v>80</v>
      </c>
    </row>
    <row r="1220" spans="1:4" x14ac:dyDescent="0.25">
      <c r="A1220">
        <v>5</v>
      </c>
      <c r="B1220" s="20" t="s">
        <v>96</v>
      </c>
      <c r="C1220" s="2">
        <v>44890.315972222219</v>
      </c>
      <c r="D1220" s="20" t="s">
        <v>81</v>
      </c>
    </row>
    <row r="1221" spans="1:4" x14ac:dyDescent="0.25">
      <c r="A1221">
        <v>26</v>
      </c>
      <c r="B1221" s="20" t="s">
        <v>159</v>
      </c>
      <c r="C1221" s="2">
        <v>44890.315972222219</v>
      </c>
      <c r="D1221" s="20" t="s">
        <v>81</v>
      </c>
    </row>
    <row r="1222" spans="1:4" x14ac:dyDescent="0.25">
      <c r="A1222">
        <v>32</v>
      </c>
      <c r="B1222" s="20" t="s">
        <v>164</v>
      </c>
      <c r="C1222" s="2">
        <v>44890.315972222219</v>
      </c>
      <c r="D1222" s="20" t="s">
        <v>81</v>
      </c>
    </row>
    <row r="1223" spans="1:4" x14ac:dyDescent="0.25">
      <c r="A1223">
        <v>33</v>
      </c>
      <c r="B1223" s="20" t="s">
        <v>165</v>
      </c>
      <c r="C1223" s="2">
        <v>44890.315972222219</v>
      </c>
      <c r="D1223" s="20" t="s">
        <v>81</v>
      </c>
    </row>
    <row r="1224" spans="1:4" x14ac:dyDescent="0.25">
      <c r="A1224">
        <v>34</v>
      </c>
      <c r="B1224" s="20" t="s">
        <v>67</v>
      </c>
      <c r="C1224" s="2">
        <v>44890.315972222219</v>
      </c>
      <c r="D1224" s="20" t="s">
        <v>81</v>
      </c>
    </row>
    <row r="1225" spans="1:4" x14ac:dyDescent="0.25">
      <c r="A1225">
        <v>5</v>
      </c>
      <c r="B1225" s="20" t="s">
        <v>96</v>
      </c>
      <c r="C1225" s="2">
        <v>44890.326388888891</v>
      </c>
      <c r="D1225" s="20" t="s">
        <v>81</v>
      </c>
    </row>
    <row r="1226" spans="1:4" x14ac:dyDescent="0.25">
      <c r="A1226">
        <v>5</v>
      </c>
      <c r="B1226" s="20" t="s">
        <v>96</v>
      </c>
      <c r="C1226" s="2">
        <v>44890.336805555555</v>
      </c>
      <c r="D1226" s="20" t="s">
        <v>81</v>
      </c>
    </row>
    <row r="1227" spans="1:4" x14ac:dyDescent="0.25">
      <c r="A1227">
        <v>5</v>
      </c>
      <c r="B1227" s="20" t="s">
        <v>96</v>
      </c>
      <c r="C1227" s="2">
        <v>44890.347222222219</v>
      </c>
      <c r="D1227" s="20" t="s">
        <v>81</v>
      </c>
    </row>
    <row r="1228" spans="1:4" x14ac:dyDescent="0.25">
      <c r="A1228">
        <v>5</v>
      </c>
      <c r="B1228" s="20" t="s">
        <v>96</v>
      </c>
      <c r="C1228" s="2">
        <v>44890.357638888891</v>
      </c>
      <c r="D1228" s="20" t="s">
        <v>81</v>
      </c>
    </row>
    <row r="1229" spans="1:4" x14ac:dyDescent="0.25">
      <c r="A1229">
        <v>1</v>
      </c>
      <c r="B1229" s="20" t="s">
        <v>6</v>
      </c>
      <c r="C1229" s="2">
        <v>44890.368055555555</v>
      </c>
      <c r="D1229" s="20" t="s">
        <v>81</v>
      </c>
    </row>
    <row r="1230" spans="1:4" x14ac:dyDescent="0.25">
      <c r="A1230">
        <v>5</v>
      </c>
      <c r="B1230" s="20" t="s">
        <v>167</v>
      </c>
      <c r="C1230" s="2">
        <v>44890.368055555555</v>
      </c>
      <c r="D1230" s="20" t="s">
        <v>81</v>
      </c>
    </row>
    <row r="1231" spans="1:4" x14ac:dyDescent="0.25">
      <c r="A1231">
        <v>5</v>
      </c>
      <c r="B1231" s="20" t="s">
        <v>167</v>
      </c>
      <c r="C1231" s="2">
        <v>44890.378472222219</v>
      </c>
      <c r="D1231" s="20" t="s">
        <v>81</v>
      </c>
    </row>
    <row r="1232" spans="1:4" x14ac:dyDescent="0.25">
      <c r="A1232">
        <v>5</v>
      </c>
      <c r="B1232" s="20" t="s">
        <v>167</v>
      </c>
      <c r="C1232" s="2">
        <v>44890.388888888891</v>
      </c>
      <c r="D1232" s="20" t="s">
        <v>81</v>
      </c>
    </row>
    <row r="1233" spans="1:4" x14ac:dyDescent="0.25">
      <c r="A1233">
        <v>5</v>
      </c>
      <c r="B1233" s="20" t="s">
        <v>167</v>
      </c>
      <c r="C1233" s="2">
        <v>44890.399305555555</v>
      </c>
      <c r="D1233" s="20" t="s">
        <v>81</v>
      </c>
    </row>
    <row r="1234" spans="1:4" x14ac:dyDescent="0.25">
      <c r="A1234">
        <v>5</v>
      </c>
      <c r="B1234" s="20" t="s">
        <v>167</v>
      </c>
      <c r="C1234" s="2">
        <v>44890.409722222219</v>
      </c>
      <c r="D1234" s="20" t="s">
        <v>81</v>
      </c>
    </row>
    <row r="1235" spans="1:4" x14ac:dyDescent="0.25">
      <c r="A1235">
        <v>5</v>
      </c>
      <c r="B1235" s="20" t="s">
        <v>167</v>
      </c>
      <c r="C1235" s="2">
        <v>44890.420138888891</v>
      </c>
      <c r="D1235" s="20" t="s">
        <v>81</v>
      </c>
    </row>
    <row r="1236" spans="1:4" x14ac:dyDescent="0.25">
      <c r="A1236">
        <v>5</v>
      </c>
      <c r="B1236" s="20" t="s">
        <v>167</v>
      </c>
      <c r="C1236" s="2">
        <v>44890.430555555555</v>
      </c>
      <c r="D1236" s="20" t="s">
        <v>81</v>
      </c>
    </row>
    <row r="1237" spans="1:4" x14ac:dyDescent="0.25">
      <c r="A1237">
        <v>5</v>
      </c>
      <c r="B1237" s="20" t="s">
        <v>167</v>
      </c>
      <c r="C1237" s="2">
        <v>44890.440972222219</v>
      </c>
      <c r="D1237" s="20" t="s">
        <v>81</v>
      </c>
    </row>
    <row r="1238" spans="1:4" x14ac:dyDescent="0.25">
      <c r="A1238">
        <v>5</v>
      </c>
      <c r="B1238" s="20" t="s">
        <v>167</v>
      </c>
      <c r="C1238" s="2">
        <v>44890.451388888891</v>
      </c>
      <c r="D1238" s="20" t="s">
        <v>81</v>
      </c>
    </row>
    <row r="1239" spans="1:4" x14ac:dyDescent="0.25">
      <c r="A1239">
        <v>5</v>
      </c>
      <c r="B1239" s="20" t="s">
        <v>96</v>
      </c>
      <c r="C1239" s="2">
        <v>44891.284722222219</v>
      </c>
      <c r="D1239" s="20" t="s">
        <v>81</v>
      </c>
    </row>
    <row r="1240" spans="1:4" x14ac:dyDescent="0.25">
      <c r="A1240">
        <v>24</v>
      </c>
      <c r="B1240" s="20" t="s">
        <v>28</v>
      </c>
      <c r="C1240" s="2">
        <v>44891.284722222219</v>
      </c>
      <c r="D1240" s="20" t="s">
        <v>81</v>
      </c>
    </row>
    <row r="1241" spans="1:4" x14ac:dyDescent="0.25">
      <c r="A1241">
        <v>25</v>
      </c>
      <c r="B1241" s="20" t="s">
        <v>41</v>
      </c>
      <c r="C1241" s="2">
        <v>44891.284722222219</v>
      </c>
      <c r="D1241" s="20" t="s">
        <v>81</v>
      </c>
    </row>
    <row r="1242" spans="1:4" x14ac:dyDescent="0.25">
      <c r="A1242">
        <v>26</v>
      </c>
      <c r="B1242" s="20" t="s">
        <v>159</v>
      </c>
      <c r="C1242" s="2">
        <v>44891.284722222219</v>
      </c>
      <c r="D1242" s="20" t="s">
        <v>81</v>
      </c>
    </row>
    <row r="1243" spans="1:4" x14ac:dyDescent="0.25">
      <c r="A1243">
        <v>27</v>
      </c>
      <c r="B1243" s="20" t="s">
        <v>60</v>
      </c>
      <c r="C1243" s="2">
        <v>44891.284722222219</v>
      </c>
      <c r="D1243" s="20" t="s">
        <v>81</v>
      </c>
    </row>
    <row r="1244" spans="1:4" x14ac:dyDescent="0.25">
      <c r="A1244">
        <v>28</v>
      </c>
      <c r="B1244" s="20" t="s">
        <v>160</v>
      </c>
      <c r="C1244" s="2">
        <v>44891.284722222219</v>
      </c>
      <c r="D1244" s="20" t="s">
        <v>81</v>
      </c>
    </row>
    <row r="1245" spans="1:4" x14ac:dyDescent="0.25">
      <c r="A1245">
        <v>29</v>
      </c>
      <c r="B1245" s="20" t="s">
        <v>161</v>
      </c>
      <c r="C1245" s="2">
        <v>44891.284722222219</v>
      </c>
      <c r="D1245" s="20" t="s">
        <v>81</v>
      </c>
    </row>
    <row r="1246" spans="1:4" x14ac:dyDescent="0.25">
      <c r="A1246">
        <v>30</v>
      </c>
      <c r="B1246" s="20" t="s">
        <v>162</v>
      </c>
      <c r="C1246" s="2">
        <v>44891.284722222219</v>
      </c>
      <c r="D1246" s="20" t="s">
        <v>81</v>
      </c>
    </row>
    <row r="1247" spans="1:4" x14ac:dyDescent="0.25">
      <c r="A1247">
        <v>31</v>
      </c>
      <c r="B1247" s="20" t="s">
        <v>163</v>
      </c>
      <c r="C1247" s="2">
        <v>44891.284722222219</v>
      </c>
      <c r="D1247" s="20" t="s">
        <v>81</v>
      </c>
    </row>
    <row r="1248" spans="1:4" x14ac:dyDescent="0.25">
      <c r="A1248">
        <v>5</v>
      </c>
      <c r="B1248" s="20" t="s">
        <v>96</v>
      </c>
      <c r="C1248" s="2">
        <v>44891.295138888891</v>
      </c>
      <c r="D1248" s="20" t="s">
        <v>81</v>
      </c>
    </row>
    <row r="1249" spans="1:4" x14ac:dyDescent="0.25">
      <c r="A1249">
        <v>7</v>
      </c>
      <c r="B1249" s="20" t="s">
        <v>59</v>
      </c>
      <c r="C1249" s="2">
        <v>44891.295138888891</v>
      </c>
      <c r="D1249" s="20" t="s">
        <v>81</v>
      </c>
    </row>
    <row r="1250" spans="1:4" x14ac:dyDescent="0.25">
      <c r="A1250">
        <v>9</v>
      </c>
      <c r="B1250" s="20" t="s">
        <v>61</v>
      </c>
      <c r="C1250" s="2">
        <v>44891.295138888891</v>
      </c>
      <c r="D1250" s="20" t="s">
        <v>81</v>
      </c>
    </row>
    <row r="1251" spans="1:4" x14ac:dyDescent="0.25">
      <c r="A1251">
        <v>10</v>
      </c>
      <c r="B1251" s="20" t="s">
        <v>62</v>
      </c>
      <c r="C1251" s="2">
        <v>44891.295138888891</v>
      </c>
      <c r="D1251" s="20" t="s">
        <v>81</v>
      </c>
    </row>
    <row r="1252" spans="1:4" x14ac:dyDescent="0.25">
      <c r="A1252">
        <v>11</v>
      </c>
      <c r="B1252" s="20" t="s">
        <v>63</v>
      </c>
      <c r="C1252" s="2">
        <v>44891.295138888891</v>
      </c>
      <c r="D1252" s="20" t="s">
        <v>81</v>
      </c>
    </row>
    <row r="1253" spans="1:4" x14ac:dyDescent="0.25">
      <c r="A1253">
        <v>12</v>
      </c>
      <c r="B1253" s="20" t="s">
        <v>64</v>
      </c>
      <c r="C1253" s="2">
        <v>44891.295138888891</v>
      </c>
      <c r="D1253" s="20" t="s">
        <v>81</v>
      </c>
    </row>
    <row r="1254" spans="1:4" x14ac:dyDescent="0.25">
      <c r="A1254">
        <v>13</v>
      </c>
      <c r="B1254" s="20" t="s">
        <v>65</v>
      </c>
      <c r="C1254" s="2">
        <v>44891.295138888891</v>
      </c>
      <c r="D1254" s="20" t="s">
        <v>81</v>
      </c>
    </row>
    <row r="1255" spans="1:4" x14ac:dyDescent="0.25">
      <c r="A1255">
        <v>14</v>
      </c>
      <c r="B1255" s="20" t="s">
        <v>66</v>
      </c>
      <c r="C1255" s="2">
        <v>44891.295138888891</v>
      </c>
      <c r="D1255" s="20" t="s">
        <v>81</v>
      </c>
    </row>
    <row r="1256" spans="1:4" x14ac:dyDescent="0.25">
      <c r="A1256">
        <v>15</v>
      </c>
      <c r="B1256" s="20" t="s">
        <v>157</v>
      </c>
      <c r="C1256" s="2">
        <v>44891.295138888891</v>
      </c>
      <c r="D1256" s="20" t="s">
        <v>81</v>
      </c>
    </row>
    <row r="1257" spans="1:4" x14ac:dyDescent="0.25">
      <c r="A1257">
        <v>16</v>
      </c>
      <c r="B1257" s="20" t="s">
        <v>68</v>
      </c>
      <c r="C1257" s="2">
        <v>44891.295138888891</v>
      </c>
      <c r="D1257" s="20" t="s">
        <v>81</v>
      </c>
    </row>
    <row r="1258" spans="1:4" x14ac:dyDescent="0.25">
      <c r="A1258">
        <v>32</v>
      </c>
      <c r="B1258" s="20" t="s">
        <v>164</v>
      </c>
      <c r="C1258" s="2">
        <v>44891.295138888891</v>
      </c>
      <c r="D1258" s="20" t="s">
        <v>81</v>
      </c>
    </row>
    <row r="1259" spans="1:4" x14ac:dyDescent="0.25">
      <c r="A1259">
        <v>34</v>
      </c>
      <c r="B1259" s="20" t="s">
        <v>67</v>
      </c>
      <c r="C1259" s="2">
        <v>44891.295138888891</v>
      </c>
      <c r="D1259" s="20" t="s">
        <v>81</v>
      </c>
    </row>
    <row r="1260" spans="1:4" x14ac:dyDescent="0.25">
      <c r="A1260">
        <v>35</v>
      </c>
      <c r="B1260" s="20" t="s">
        <v>166</v>
      </c>
      <c r="C1260" s="2">
        <v>44891.295138888891</v>
      </c>
      <c r="D1260" s="20" t="s">
        <v>81</v>
      </c>
    </row>
    <row r="1261" spans="1:4" x14ac:dyDescent="0.25">
      <c r="A1261">
        <v>3</v>
      </c>
      <c r="B1261" s="20" t="s">
        <v>39</v>
      </c>
      <c r="C1261" s="2">
        <v>44891.303472222222</v>
      </c>
      <c r="D1261" s="20" t="s">
        <v>80</v>
      </c>
    </row>
    <row r="1262" spans="1:4" x14ac:dyDescent="0.25">
      <c r="A1262">
        <v>5</v>
      </c>
      <c r="B1262" s="20" t="s">
        <v>96</v>
      </c>
      <c r="C1262" s="2">
        <v>44891.303472222222</v>
      </c>
      <c r="D1262" s="20" t="s">
        <v>80</v>
      </c>
    </row>
    <row r="1263" spans="1:4" x14ac:dyDescent="0.25">
      <c r="A1263">
        <v>17</v>
      </c>
      <c r="B1263" s="20" t="s">
        <v>105</v>
      </c>
      <c r="C1263" s="2">
        <v>44891.303472222222</v>
      </c>
      <c r="D1263" s="20" t="s">
        <v>80</v>
      </c>
    </row>
    <row r="1264" spans="1:4" x14ac:dyDescent="0.25">
      <c r="A1264">
        <v>18</v>
      </c>
      <c r="B1264" s="20" t="s">
        <v>106</v>
      </c>
      <c r="C1264" s="2">
        <v>44891.303472222222</v>
      </c>
      <c r="D1264" s="20" t="s">
        <v>80</v>
      </c>
    </row>
    <row r="1265" spans="1:4" x14ac:dyDescent="0.25">
      <c r="A1265">
        <v>19</v>
      </c>
      <c r="B1265" s="20" t="s">
        <v>107</v>
      </c>
      <c r="C1265" s="2">
        <v>44891.303472222222</v>
      </c>
      <c r="D1265" s="20" t="s">
        <v>80</v>
      </c>
    </row>
    <row r="1266" spans="1:4" x14ac:dyDescent="0.25">
      <c r="A1266">
        <v>20</v>
      </c>
      <c r="B1266" s="20" t="s">
        <v>108</v>
      </c>
      <c r="C1266" s="2">
        <v>44891.303472222222</v>
      </c>
      <c r="D1266" s="20" t="s">
        <v>80</v>
      </c>
    </row>
    <row r="1267" spans="1:4" x14ac:dyDescent="0.25">
      <c r="A1267">
        <v>21</v>
      </c>
      <c r="B1267" s="20" t="s">
        <v>109</v>
      </c>
      <c r="C1267" s="2">
        <v>44891.304166666669</v>
      </c>
      <c r="D1267" s="20" t="s">
        <v>80</v>
      </c>
    </row>
    <row r="1268" spans="1:4" x14ac:dyDescent="0.25">
      <c r="A1268">
        <v>22</v>
      </c>
      <c r="B1268" s="20" t="s">
        <v>110</v>
      </c>
      <c r="C1268" s="2">
        <v>44891.304166666669</v>
      </c>
      <c r="D1268" s="20" t="s">
        <v>80</v>
      </c>
    </row>
    <row r="1269" spans="1:4" x14ac:dyDescent="0.25">
      <c r="A1269">
        <v>23</v>
      </c>
      <c r="B1269" s="20" t="s">
        <v>111</v>
      </c>
      <c r="C1269" s="2">
        <v>44891.304166666669</v>
      </c>
      <c r="D1269" s="20" t="s">
        <v>80</v>
      </c>
    </row>
    <row r="1270" spans="1:4" x14ac:dyDescent="0.25">
      <c r="A1270">
        <v>5</v>
      </c>
      <c r="B1270" s="20" t="s">
        <v>96</v>
      </c>
      <c r="C1270" s="2">
        <v>44891.305555555555</v>
      </c>
      <c r="D1270" s="20" t="s">
        <v>81</v>
      </c>
    </row>
    <row r="1271" spans="1:4" x14ac:dyDescent="0.25">
      <c r="A1271">
        <v>5</v>
      </c>
      <c r="B1271" s="20" t="s">
        <v>96</v>
      </c>
      <c r="C1271" s="2">
        <v>44891.305555555555</v>
      </c>
      <c r="D1271" s="20" t="s">
        <v>80</v>
      </c>
    </row>
    <row r="1272" spans="1:4" x14ac:dyDescent="0.25">
      <c r="A1272">
        <v>5</v>
      </c>
      <c r="B1272" s="20" t="s">
        <v>96</v>
      </c>
      <c r="C1272" s="2">
        <v>44891.315972222219</v>
      </c>
      <c r="D1272" s="20" t="s">
        <v>81</v>
      </c>
    </row>
    <row r="1273" spans="1:4" x14ac:dyDescent="0.25">
      <c r="A1273">
        <v>33</v>
      </c>
      <c r="B1273" s="20" t="s">
        <v>165</v>
      </c>
      <c r="C1273" s="2">
        <v>44891.315972222219</v>
      </c>
      <c r="D1273" s="20" t="s">
        <v>81</v>
      </c>
    </row>
    <row r="1274" spans="1:4" x14ac:dyDescent="0.25">
      <c r="A1274">
        <v>5</v>
      </c>
      <c r="B1274" s="20" t="s">
        <v>96</v>
      </c>
      <c r="C1274" s="2">
        <v>44891.326388888891</v>
      </c>
      <c r="D1274" s="20" t="s">
        <v>81</v>
      </c>
    </row>
    <row r="1275" spans="1:4" x14ac:dyDescent="0.25">
      <c r="A1275">
        <v>5</v>
      </c>
      <c r="B1275" s="20" t="s">
        <v>96</v>
      </c>
      <c r="C1275" s="2">
        <v>44891.336805555555</v>
      </c>
      <c r="D1275" s="20" t="s">
        <v>81</v>
      </c>
    </row>
    <row r="1276" spans="1:4" x14ac:dyDescent="0.25">
      <c r="A1276">
        <v>5</v>
      </c>
      <c r="B1276" s="20" t="s">
        <v>96</v>
      </c>
      <c r="C1276" s="2">
        <v>44891.347222222219</v>
      </c>
      <c r="D1276" s="20" t="s">
        <v>81</v>
      </c>
    </row>
    <row r="1277" spans="1:4" x14ac:dyDescent="0.25">
      <c r="A1277">
        <v>5</v>
      </c>
      <c r="B1277" s="20" t="s">
        <v>96</v>
      </c>
      <c r="C1277" s="2">
        <v>44891.357638888891</v>
      </c>
      <c r="D1277" s="20" t="s">
        <v>81</v>
      </c>
    </row>
    <row r="1278" spans="1:4" x14ac:dyDescent="0.25">
      <c r="A1278">
        <v>1</v>
      </c>
      <c r="B1278" s="20" t="s">
        <v>6</v>
      </c>
      <c r="C1278" s="2">
        <v>44891.368055555555</v>
      </c>
      <c r="D1278" s="20" t="s">
        <v>81</v>
      </c>
    </row>
    <row r="1279" spans="1:4" x14ac:dyDescent="0.25">
      <c r="A1279">
        <v>5</v>
      </c>
      <c r="B1279" s="20" t="s">
        <v>167</v>
      </c>
      <c r="C1279" s="2">
        <v>44891.368055555555</v>
      </c>
      <c r="D1279" s="20" t="s">
        <v>81</v>
      </c>
    </row>
    <row r="1280" spans="1:4" x14ac:dyDescent="0.25">
      <c r="A1280">
        <v>5</v>
      </c>
      <c r="B1280" s="20" t="s">
        <v>167</v>
      </c>
      <c r="C1280" s="2">
        <v>44891.378472222219</v>
      </c>
      <c r="D1280" s="20" t="s">
        <v>81</v>
      </c>
    </row>
    <row r="1281" spans="1:4" x14ac:dyDescent="0.25">
      <c r="A1281">
        <v>5</v>
      </c>
      <c r="B1281" s="20" t="s">
        <v>167</v>
      </c>
      <c r="C1281" s="2">
        <v>44891.388888888891</v>
      </c>
      <c r="D1281" s="20" t="s">
        <v>81</v>
      </c>
    </row>
    <row r="1282" spans="1:4" x14ac:dyDescent="0.25">
      <c r="A1282">
        <v>5</v>
      </c>
      <c r="B1282" s="20" t="s">
        <v>167</v>
      </c>
      <c r="C1282" s="2">
        <v>44891.399305555555</v>
      </c>
      <c r="D1282" s="20" t="s">
        <v>81</v>
      </c>
    </row>
    <row r="1283" spans="1:4" x14ac:dyDescent="0.25">
      <c r="A1283">
        <v>5</v>
      </c>
      <c r="B1283" s="20" t="s">
        <v>167</v>
      </c>
      <c r="C1283" s="2">
        <v>44891.409722222219</v>
      </c>
      <c r="D1283" s="20" t="s">
        <v>81</v>
      </c>
    </row>
    <row r="1284" spans="1:4" x14ac:dyDescent="0.25">
      <c r="A1284">
        <v>5</v>
      </c>
      <c r="B1284" s="20" t="s">
        <v>167</v>
      </c>
      <c r="C1284" s="2">
        <v>44891.420138888891</v>
      </c>
      <c r="D1284" s="20" t="s">
        <v>81</v>
      </c>
    </row>
    <row r="1285" spans="1:4" x14ac:dyDescent="0.25">
      <c r="A1285">
        <v>5</v>
      </c>
      <c r="B1285" s="20" t="s">
        <v>167</v>
      </c>
      <c r="C1285" s="2">
        <v>44891.430555555555</v>
      </c>
      <c r="D1285" s="20" t="s">
        <v>81</v>
      </c>
    </row>
    <row r="1286" spans="1:4" x14ac:dyDescent="0.25">
      <c r="A1286">
        <v>5</v>
      </c>
      <c r="B1286" s="20" t="s">
        <v>167</v>
      </c>
      <c r="C1286" s="2">
        <v>44891.440972222219</v>
      </c>
      <c r="D1286" s="20" t="s">
        <v>81</v>
      </c>
    </row>
    <row r="1287" spans="1:4" x14ac:dyDescent="0.25">
      <c r="A1287">
        <v>5</v>
      </c>
      <c r="B1287" s="20" t="s">
        <v>167</v>
      </c>
      <c r="C1287" s="2">
        <v>44891.451388888891</v>
      </c>
      <c r="D1287" s="20" t="s">
        <v>81</v>
      </c>
    </row>
    <row r="1288" spans="1:4" x14ac:dyDescent="0.25">
      <c r="A1288">
        <v>5</v>
      </c>
      <c r="B1288" s="20" t="s">
        <v>96</v>
      </c>
      <c r="C1288" s="2">
        <v>44892.284722222219</v>
      </c>
      <c r="D1288" s="20" t="s">
        <v>81</v>
      </c>
    </row>
    <row r="1289" spans="1:4" x14ac:dyDescent="0.25">
      <c r="A1289">
        <v>24</v>
      </c>
      <c r="B1289" s="20" t="s">
        <v>28</v>
      </c>
      <c r="C1289" s="2">
        <v>44892.284722222219</v>
      </c>
      <c r="D1289" s="20" t="s">
        <v>81</v>
      </c>
    </row>
    <row r="1290" spans="1:4" x14ac:dyDescent="0.25">
      <c r="A1290">
        <v>28</v>
      </c>
      <c r="B1290" s="20" t="s">
        <v>160</v>
      </c>
      <c r="C1290" s="2">
        <v>44892.284722222219</v>
      </c>
      <c r="D1290" s="20" t="s">
        <v>81</v>
      </c>
    </row>
    <row r="1291" spans="1:4" x14ac:dyDescent="0.25">
      <c r="A1291">
        <v>29</v>
      </c>
      <c r="B1291" s="20" t="s">
        <v>161</v>
      </c>
      <c r="C1291" s="2">
        <v>44892.284722222219</v>
      </c>
      <c r="D1291" s="20" t="s">
        <v>81</v>
      </c>
    </row>
    <row r="1292" spans="1:4" x14ac:dyDescent="0.25">
      <c r="A1292">
        <v>31</v>
      </c>
      <c r="B1292" s="20" t="s">
        <v>163</v>
      </c>
      <c r="C1292" s="2">
        <v>44892.284722222219</v>
      </c>
      <c r="D1292" s="20" t="s">
        <v>81</v>
      </c>
    </row>
    <row r="1293" spans="1:4" x14ac:dyDescent="0.25">
      <c r="A1293">
        <v>5</v>
      </c>
      <c r="B1293" s="20" t="s">
        <v>96</v>
      </c>
      <c r="C1293" s="2">
        <v>44892.295138888891</v>
      </c>
      <c r="D1293" s="20" t="s">
        <v>81</v>
      </c>
    </row>
    <row r="1294" spans="1:4" x14ac:dyDescent="0.25">
      <c r="A1294">
        <v>7</v>
      </c>
      <c r="B1294" s="20" t="s">
        <v>59</v>
      </c>
      <c r="C1294" s="2">
        <v>44892.295138888891</v>
      </c>
      <c r="D1294" s="20" t="s">
        <v>81</v>
      </c>
    </row>
    <row r="1295" spans="1:4" x14ac:dyDescent="0.25">
      <c r="A1295">
        <v>9</v>
      </c>
      <c r="B1295" s="20" t="s">
        <v>61</v>
      </c>
      <c r="C1295" s="2">
        <v>44892.295138888891</v>
      </c>
      <c r="D1295" s="20" t="s">
        <v>81</v>
      </c>
    </row>
    <row r="1296" spans="1:4" x14ac:dyDescent="0.25">
      <c r="A1296">
        <v>10</v>
      </c>
      <c r="B1296" s="20" t="s">
        <v>62</v>
      </c>
      <c r="C1296" s="2">
        <v>44892.295138888891</v>
      </c>
      <c r="D1296" s="20" t="s">
        <v>81</v>
      </c>
    </row>
    <row r="1297" spans="1:4" x14ac:dyDescent="0.25">
      <c r="A1297">
        <v>11</v>
      </c>
      <c r="B1297" s="20" t="s">
        <v>63</v>
      </c>
      <c r="C1297" s="2">
        <v>44892.295138888891</v>
      </c>
      <c r="D1297" s="20" t="s">
        <v>81</v>
      </c>
    </row>
    <row r="1298" spans="1:4" x14ac:dyDescent="0.25">
      <c r="A1298">
        <v>12</v>
      </c>
      <c r="B1298" s="20" t="s">
        <v>64</v>
      </c>
      <c r="C1298" s="2">
        <v>44892.295138888891</v>
      </c>
      <c r="D1298" s="20" t="s">
        <v>81</v>
      </c>
    </row>
    <row r="1299" spans="1:4" x14ac:dyDescent="0.25">
      <c r="A1299">
        <v>13</v>
      </c>
      <c r="B1299" s="20" t="s">
        <v>65</v>
      </c>
      <c r="C1299" s="2">
        <v>44892.295138888891</v>
      </c>
      <c r="D1299" s="20" t="s">
        <v>81</v>
      </c>
    </row>
    <row r="1300" spans="1:4" x14ac:dyDescent="0.25">
      <c r="A1300">
        <v>14</v>
      </c>
      <c r="B1300" s="20" t="s">
        <v>66</v>
      </c>
      <c r="C1300" s="2">
        <v>44892.295138888891</v>
      </c>
      <c r="D1300" s="20" t="s">
        <v>81</v>
      </c>
    </row>
    <row r="1301" spans="1:4" x14ac:dyDescent="0.25">
      <c r="A1301">
        <v>15</v>
      </c>
      <c r="B1301" s="20" t="s">
        <v>157</v>
      </c>
      <c r="C1301" s="2">
        <v>44892.295138888891</v>
      </c>
      <c r="D1301" s="20" t="s">
        <v>81</v>
      </c>
    </row>
    <row r="1302" spans="1:4" x14ac:dyDescent="0.25">
      <c r="A1302">
        <v>16</v>
      </c>
      <c r="B1302" s="20" t="s">
        <v>68</v>
      </c>
      <c r="C1302" s="2">
        <v>44892.295138888891</v>
      </c>
      <c r="D1302" s="20" t="s">
        <v>81</v>
      </c>
    </row>
    <row r="1303" spans="1:4" x14ac:dyDescent="0.25">
      <c r="A1303">
        <v>32</v>
      </c>
      <c r="B1303" s="20" t="s">
        <v>164</v>
      </c>
      <c r="C1303" s="2">
        <v>44892.295138888891</v>
      </c>
      <c r="D1303" s="20" t="s">
        <v>81</v>
      </c>
    </row>
    <row r="1304" spans="1:4" x14ac:dyDescent="0.25">
      <c r="A1304">
        <v>34</v>
      </c>
      <c r="B1304" s="20" t="s">
        <v>67</v>
      </c>
      <c r="C1304" s="2">
        <v>44892.295138888891</v>
      </c>
      <c r="D1304" s="20" t="s">
        <v>81</v>
      </c>
    </row>
    <row r="1305" spans="1:4" x14ac:dyDescent="0.25">
      <c r="A1305">
        <v>35</v>
      </c>
      <c r="B1305" s="20" t="s">
        <v>166</v>
      </c>
      <c r="C1305" s="2">
        <v>44892.295138888891</v>
      </c>
      <c r="D1305" s="20" t="s">
        <v>81</v>
      </c>
    </row>
    <row r="1306" spans="1:4" x14ac:dyDescent="0.25">
      <c r="A1306">
        <v>3</v>
      </c>
      <c r="B1306" s="20" t="s">
        <v>39</v>
      </c>
      <c r="C1306" s="2">
        <v>44892.304166666669</v>
      </c>
      <c r="D1306" s="20" t="s">
        <v>80</v>
      </c>
    </row>
    <row r="1307" spans="1:4" x14ac:dyDescent="0.25">
      <c r="A1307">
        <v>5</v>
      </c>
      <c r="B1307" s="20" t="s">
        <v>96</v>
      </c>
      <c r="C1307" s="2">
        <v>44892.304166666669</v>
      </c>
      <c r="D1307" s="20" t="s">
        <v>80</v>
      </c>
    </row>
    <row r="1308" spans="1:4" x14ac:dyDescent="0.25">
      <c r="A1308">
        <v>17</v>
      </c>
      <c r="B1308" s="20" t="s">
        <v>105</v>
      </c>
      <c r="C1308" s="2">
        <v>44892.304166666669</v>
      </c>
      <c r="D1308" s="20" t="s">
        <v>80</v>
      </c>
    </row>
    <row r="1309" spans="1:4" x14ac:dyDescent="0.25">
      <c r="A1309">
        <v>18</v>
      </c>
      <c r="B1309" s="20" t="s">
        <v>106</v>
      </c>
      <c r="C1309" s="2">
        <v>44892.304166666669</v>
      </c>
      <c r="D1309" s="20" t="s">
        <v>80</v>
      </c>
    </row>
    <row r="1310" spans="1:4" x14ac:dyDescent="0.25">
      <c r="A1310">
        <v>19</v>
      </c>
      <c r="B1310" s="20" t="s">
        <v>107</v>
      </c>
      <c r="C1310" s="2">
        <v>44892.304166666669</v>
      </c>
      <c r="D1310" s="20" t="s">
        <v>80</v>
      </c>
    </row>
    <row r="1311" spans="1:4" x14ac:dyDescent="0.25">
      <c r="A1311">
        <v>20</v>
      </c>
      <c r="B1311" s="20" t="s">
        <v>108</v>
      </c>
      <c r="C1311" s="2">
        <v>44892.304166666669</v>
      </c>
      <c r="D1311" s="20" t="s">
        <v>80</v>
      </c>
    </row>
    <row r="1312" spans="1:4" x14ac:dyDescent="0.25">
      <c r="A1312">
        <v>21</v>
      </c>
      <c r="B1312" s="20" t="s">
        <v>109</v>
      </c>
      <c r="C1312" s="2">
        <v>44892.304166666669</v>
      </c>
      <c r="D1312" s="20" t="s">
        <v>80</v>
      </c>
    </row>
    <row r="1313" spans="1:4" x14ac:dyDescent="0.25">
      <c r="A1313">
        <v>22</v>
      </c>
      <c r="B1313" s="20" t="s">
        <v>110</v>
      </c>
      <c r="C1313" s="2">
        <v>44892.304166666669</v>
      </c>
      <c r="D1313" s="20" t="s">
        <v>80</v>
      </c>
    </row>
    <row r="1314" spans="1:4" x14ac:dyDescent="0.25">
      <c r="A1314">
        <v>23</v>
      </c>
      <c r="B1314" s="20" t="s">
        <v>111</v>
      </c>
      <c r="C1314" s="2">
        <v>44892.304166666669</v>
      </c>
      <c r="D1314" s="20" t="s">
        <v>80</v>
      </c>
    </row>
    <row r="1315" spans="1:4" x14ac:dyDescent="0.25">
      <c r="A1315">
        <v>5</v>
      </c>
      <c r="B1315" s="20" t="s">
        <v>96</v>
      </c>
      <c r="C1315" s="2">
        <v>44892.305555555555</v>
      </c>
      <c r="D1315" s="20" t="s">
        <v>81</v>
      </c>
    </row>
    <row r="1316" spans="1:4" x14ac:dyDescent="0.25">
      <c r="A1316">
        <v>5</v>
      </c>
      <c r="B1316" s="20" t="s">
        <v>96</v>
      </c>
      <c r="C1316" s="2">
        <v>44892.306250000001</v>
      </c>
      <c r="D1316" s="20" t="s">
        <v>80</v>
      </c>
    </row>
    <row r="1317" spans="1:4" x14ac:dyDescent="0.25">
      <c r="A1317">
        <v>5</v>
      </c>
      <c r="B1317" s="20" t="s">
        <v>96</v>
      </c>
      <c r="C1317" s="2">
        <v>44892.315972222219</v>
      </c>
      <c r="D1317" s="20" t="s">
        <v>81</v>
      </c>
    </row>
    <row r="1318" spans="1:4" x14ac:dyDescent="0.25">
      <c r="A1318">
        <v>25</v>
      </c>
      <c r="B1318" s="20" t="s">
        <v>41</v>
      </c>
      <c r="C1318" s="2">
        <v>44892.315972222219</v>
      </c>
      <c r="D1318" s="20" t="s">
        <v>81</v>
      </c>
    </row>
    <row r="1319" spans="1:4" x14ac:dyDescent="0.25">
      <c r="A1319">
        <v>26</v>
      </c>
      <c r="B1319" s="20" t="s">
        <v>159</v>
      </c>
      <c r="C1319" s="2">
        <v>44892.315972222219</v>
      </c>
      <c r="D1319" s="20" t="s">
        <v>81</v>
      </c>
    </row>
    <row r="1320" spans="1:4" x14ac:dyDescent="0.25">
      <c r="A1320">
        <v>27</v>
      </c>
      <c r="B1320" s="20" t="s">
        <v>60</v>
      </c>
      <c r="C1320" s="2">
        <v>44892.315972222219</v>
      </c>
      <c r="D1320" s="20" t="s">
        <v>81</v>
      </c>
    </row>
    <row r="1321" spans="1:4" x14ac:dyDescent="0.25">
      <c r="A1321">
        <v>30</v>
      </c>
      <c r="B1321" s="20" t="s">
        <v>162</v>
      </c>
      <c r="C1321" s="2">
        <v>44892.315972222219</v>
      </c>
      <c r="D1321" s="20" t="s">
        <v>81</v>
      </c>
    </row>
    <row r="1322" spans="1:4" x14ac:dyDescent="0.25">
      <c r="A1322">
        <v>33</v>
      </c>
      <c r="B1322" s="20" t="s">
        <v>165</v>
      </c>
      <c r="C1322" s="2">
        <v>44892.315972222219</v>
      </c>
      <c r="D1322" s="20" t="s">
        <v>81</v>
      </c>
    </row>
    <row r="1323" spans="1:4" x14ac:dyDescent="0.25">
      <c r="A1323">
        <v>5</v>
      </c>
      <c r="B1323" s="20" t="s">
        <v>96</v>
      </c>
      <c r="C1323" s="2">
        <v>44892.326388888891</v>
      </c>
      <c r="D1323" s="20" t="s">
        <v>81</v>
      </c>
    </row>
    <row r="1324" spans="1:4" x14ac:dyDescent="0.25">
      <c r="A1324">
        <v>5</v>
      </c>
      <c r="B1324" s="20" t="s">
        <v>96</v>
      </c>
      <c r="C1324" s="2">
        <v>44892.336805555555</v>
      </c>
      <c r="D1324" s="20" t="s">
        <v>81</v>
      </c>
    </row>
    <row r="1325" spans="1:4" x14ac:dyDescent="0.25">
      <c r="A1325">
        <v>5</v>
      </c>
      <c r="B1325" s="20" t="s">
        <v>96</v>
      </c>
      <c r="C1325" s="2">
        <v>44892.347222222219</v>
      </c>
      <c r="D1325" s="20" t="s">
        <v>81</v>
      </c>
    </row>
    <row r="1326" spans="1:4" x14ac:dyDescent="0.25">
      <c r="A1326">
        <v>5</v>
      </c>
      <c r="B1326" s="20" t="s">
        <v>96</v>
      </c>
      <c r="C1326" s="2">
        <v>44892.357638888891</v>
      </c>
      <c r="D1326" s="20" t="s">
        <v>81</v>
      </c>
    </row>
    <row r="1327" spans="1:4" x14ac:dyDescent="0.25">
      <c r="A1327">
        <v>5</v>
      </c>
      <c r="B1327" s="20" t="s">
        <v>96</v>
      </c>
      <c r="C1327" s="2">
        <v>44892.368055555555</v>
      </c>
      <c r="D1327" s="20" t="s">
        <v>81</v>
      </c>
    </row>
    <row r="1328" spans="1:4" x14ac:dyDescent="0.25">
      <c r="A1328">
        <v>1</v>
      </c>
      <c r="B1328" s="20" t="s">
        <v>6</v>
      </c>
      <c r="C1328" s="2">
        <v>44892.378472222219</v>
      </c>
      <c r="D1328" s="20" t="s">
        <v>81</v>
      </c>
    </row>
    <row r="1329" spans="1:4" x14ac:dyDescent="0.25">
      <c r="A1329">
        <v>5</v>
      </c>
      <c r="B1329" s="20" t="s">
        <v>167</v>
      </c>
      <c r="C1329" s="2">
        <v>44892.378472222219</v>
      </c>
      <c r="D1329" s="20" t="s">
        <v>81</v>
      </c>
    </row>
    <row r="1330" spans="1:4" x14ac:dyDescent="0.25">
      <c r="A1330">
        <v>5</v>
      </c>
      <c r="B1330" s="20" t="s">
        <v>167</v>
      </c>
      <c r="C1330" s="2">
        <v>44892.388888888891</v>
      </c>
      <c r="D1330" s="20" t="s">
        <v>81</v>
      </c>
    </row>
    <row r="1331" spans="1:4" x14ac:dyDescent="0.25">
      <c r="A1331">
        <v>5</v>
      </c>
      <c r="B1331" s="20" t="s">
        <v>167</v>
      </c>
      <c r="C1331" s="2">
        <v>44892.399305555555</v>
      </c>
      <c r="D1331" s="20" t="s">
        <v>81</v>
      </c>
    </row>
    <row r="1332" spans="1:4" x14ac:dyDescent="0.25">
      <c r="A1332">
        <v>5</v>
      </c>
      <c r="B1332" s="20" t="s">
        <v>167</v>
      </c>
      <c r="C1332" s="2">
        <v>44892.409722222219</v>
      </c>
      <c r="D1332" s="20" t="s">
        <v>81</v>
      </c>
    </row>
    <row r="1333" spans="1:4" x14ac:dyDescent="0.25">
      <c r="A1333">
        <v>5</v>
      </c>
      <c r="B1333" s="20" t="s">
        <v>167</v>
      </c>
      <c r="C1333" s="2">
        <v>44892.420138888891</v>
      </c>
      <c r="D1333" s="20" t="s">
        <v>81</v>
      </c>
    </row>
    <row r="1334" spans="1:4" x14ac:dyDescent="0.25">
      <c r="A1334">
        <v>5</v>
      </c>
      <c r="B1334" s="20" t="s">
        <v>167</v>
      </c>
      <c r="C1334" s="2">
        <v>44892.430555555555</v>
      </c>
      <c r="D1334" s="20" t="s">
        <v>81</v>
      </c>
    </row>
    <row r="1335" spans="1:4" x14ac:dyDescent="0.25">
      <c r="A1335">
        <v>5</v>
      </c>
      <c r="B1335" s="20" t="s">
        <v>167</v>
      </c>
      <c r="C1335" s="2">
        <v>44892.440972222219</v>
      </c>
      <c r="D1335" s="20" t="s">
        <v>81</v>
      </c>
    </row>
    <row r="1336" spans="1:4" x14ac:dyDescent="0.25">
      <c r="A1336">
        <v>5</v>
      </c>
      <c r="B1336" s="20" t="s">
        <v>167</v>
      </c>
      <c r="C1336" s="2">
        <v>44892.451388888891</v>
      </c>
      <c r="D1336" s="20" t="s">
        <v>81</v>
      </c>
    </row>
    <row r="1337" spans="1:4" x14ac:dyDescent="0.25">
      <c r="A1337">
        <v>5</v>
      </c>
      <c r="B1337" s="20" t="s">
        <v>96</v>
      </c>
      <c r="C1337" s="2">
        <v>44893.284722222219</v>
      </c>
      <c r="D1337" s="20" t="s">
        <v>81</v>
      </c>
    </row>
    <row r="1338" spans="1:4" x14ac:dyDescent="0.25">
      <c r="A1338">
        <v>26</v>
      </c>
      <c r="B1338" s="20" t="s">
        <v>159</v>
      </c>
      <c r="C1338" s="2">
        <v>44893.284722222219</v>
      </c>
      <c r="D1338" s="20" t="s">
        <v>81</v>
      </c>
    </row>
    <row r="1339" spans="1:4" x14ac:dyDescent="0.25">
      <c r="A1339">
        <v>27</v>
      </c>
      <c r="B1339" s="20" t="s">
        <v>60</v>
      </c>
      <c r="C1339" s="2">
        <v>44893.284722222219</v>
      </c>
      <c r="D1339" s="20" t="s">
        <v>81</v>
      </c>
    </row>
    <row r="1340" spans="1:4" x14ac:dyDescent="0.25">
      <c r="A1340">
        <v>28</v>
      </c>
      <c r="B1340" s="20" t="s">
        <v>160</v>
      </c>
      <c r="C1340" s="2">
        <v>44893.284722222219</v>
      </c>
      <c r="D1340" s="20" t="s">
        <v>81</v>
      </c>
    </row>
    <row r="1341" spans="1:4" x14ac:dyDescent="0.25">
      <c r="A1341">
        <v>29</v>
      </c>
      <c r="B1341" s="20" t="s">
        <v>161</v>
      </c>
      <c r="C1341" s="2">
        <v>44893.284722222219</v>
      </c>
      <c r="D1341" s="20" t="s">
        <v>81</v>
      </c>
    </row>
    <row r="1342" spans="1:4" x14ac:dyDescent="0.25">
      <c r="A1342">
        <v>30</v>
      </c>
      <c r="B1342" s="20" t="s">
        <v>162</v>
      </c>
      <c r="C1342" s="2">
        <v>44893.284722222219</v>
      </c>
      <c r="D1342" s="20" t="s">
        <v>81</v>
      </c>
    </row>
    <row r="1343" spans="1:4" x14ac:dyDescent="0.25">
      <c r="A1343">
        <v>31</v>
      </c>
      <c r="B1343" s="20" t="s">
        <v>163</v>
      </c>
      <c r="C1343" s="2">
        <v>44893.284722222219</v>
      </c>
      <c r="D1343" s="20" t="s">
        <v>81</v>
      </c>
    </row>
    <row r="1344" spans="1:4" x14ac:dyDescent="0.25">
      <c r="A1344">
        <v>5</v>
      </c>
      <c r="B1344" s="20" t="s">
        <v>96</v>
      </c>
      <c r="C1344" s="2">
        <v>44893.295138888891</v>
      </c>
      <c r="D1344" s="20" t="s">
        <v>81</v>
      </c>
    </row>
    <row r="1345" spans="1:4" x14ac:dyDescent="0.25">
      <c r="A1345">
        <v>7</v>
      </c>
      <c r="B1345" s="20" t="s">
        <v>59</v>
      </c>
      <c r="C1345" s="2">
        <v>44893.295138888891</v>
      </c>
      <c r="D1345" s="20" t="s">
        <v>81</v>
      </c>
    </row>
    <row r="1346" spans="1:4" x14ac:dyDescent="0.25">
      <c r="A1346">
        <v>9</v>
      </c>
      <c r="B1346" s="20" t="s">
        <v>61</v>
      </c>
      <c r="C1346" s="2">
        <v>44893.295138888891</v>
      </c>
      <c r="D1346" s="20" t="s">
        <v>81</v>
      </c>
    </row>
    <row r="1347" spans="1:4" x14ac:dyDescent="0.25">
      <c r="A1347">
        <v>10</v>
      </c>
      <c r="B1347" s="20" t="s">
        <v>62</v>
      </c>
      <c r="C1347" s="2">
        <v>44893.295138888891</v>
      </c>
      <c r="D1347" s="20" t="s">
        <v>81</v>
      </c>
    </row>
    <row r="1348" spans="1:4" x14ac:dyDescent="0.25">
      <c r="A1348">
        <v>11</v>
      </c>
      <c r="B1348" s="20" t="s">
        <v>63</v>
      </c>
      <c r="C1348" s="2">
        <v>44893.295138888891</v>
      </c>
      <c r="D1348" s="20" t="s">
        <v>81</v>
      </c>
    </row>
    <row r="1349" spans="1:4" x14ac:dyDescent="0.25">
      <c r="A1349">
        <v>12</v>
      </c>
      <c r="B1349" s="20" t="s">
        <v>64</v>
      </c>
      <c r="C1349" s="2">
        <v>44893.295138888891</v>
      </c>
      <c r="D1349" s="20" t="s">
        <v>81</v>
      </c>
    </row>
    <row r="1350" spans="1:4" x14ac:dyDescent="0.25">
      <c r="A1350">
        <v>13</v>
      </c>
      <c r="B1350" s="20" t="s">
        <v>65</v>
      </c>
      <c r="C1350" s="2">
        <v>44893.295138888891</v>
      </c>
      <c r="D1350" s="20" t="s">
        <v>81</v>
      </c>
    </row>
    <row r="1351" spans="1:4" x14ac:dyDescent="0.25">
      <c r="A1351">
        <v>14</v>
      </c>
      <c r="B1351" s="20" t="s">
        <v>66</v>
      </c>
      <c r="C1351" s="2">
        <v>44893.295138888891</v>
      </c>
      <c r="D1351" s="20" t="s">
        <v>81</v>
      </c>
    </row>
    <row r="1352" spans="1:4" x14ac:dyDescent="0.25">
      <c r="A1352">
        <v>15</v>
      </c>
      <c r="B1352" s="20" t="s">
        <v>157</v>
      </c>
      <c r="C1352" s="2">
        <v>44893.295138888891</v>
      </c>
      <c r="D1352" s="20" t="s">
        <v>81</v>
      </c>
    </row>
    <row r="1353" spans="1:4" x14ac:dyDescent="0.25">
      <c r="A1353">
        <v>16</v>
      </c>
      <c r="B1353" s="20" t="s">
        <v>68</v>
      </c>
      <c r="C1353" s="2">
        <v>44893.295138888891</v>
      </c>
      <c r="D1353" s="20" t="s">
        <v>81</v>
      </c>
    </row>
    <row r="1354" spans="1:4" x14ac:dyDescent="0.25">
      <c r="A1354">
        <v>32</v>
      </c>
      <c r="B1354" s="20" t="s">
        <v>164</v>
      </c>
      <c r="C1354" s="2">
        <v>44893.295138888891</v>
      </c>
      <c r="D1354" s="20" t="s">
        <v>81</v>
      </c>
    </row>
    <row r="1355" spans="1:4" x14ac:dyDescent="0.25">
      <c r="A1355">
        <v>33</v>
      </c>
      <c r="B1355" s="20" t="s">
        <v>165</v>
      </c>
      <c r="C1355" s="2">
        <v>44893.295138888891</v>
      </c>
      <c r="D1355" s="20" t="s">
        <v>81</v>
      </c>
    </row>
    <row r="1356" spans="1:4" x14ac:dyDescent="0.25">
      <c r="A1356">
        <v>34</v>
      </c>
      <c r="B1356" s="20" t="s">
        <v>67</v>
      </c>
      <c r="C1356" s="2">
        <v>44893.295138888891</v>
      </c>
      <c r="D1356" s="20" t="s">
        <v>81</v>
      </c>
    </row>
    <row r="1357" spans="1:4" x14ac:dyDescent="0.25">
      <c r="A1357">
        <v>35</v>
      </c>
      <c r="B1357" s="20" t="s">
        <v>166</v>
      </c>
      <c r="C1357" s="2">
        <v>44893.295138888891</v>
      </c>
      <c r="D1357" s="20" t="s">
        <v>81</v>
      </c>
    </row>
    <row r="1358" spans="1:4" x14ac:dyDescent="0.25">
      <c r="A1358">
        <v>3</v>
      </c>
      <c r="B1358" s="20" t="s">
        <v>39</v>
      </c>
      <c r="C1358" s="2">
        <v>44893.304166666669</v>
      </c>
      <c r="D1358" s="20" t="s">
        <v>80</v>
      </c>
    </row>
    <row r="1359" spans="1:4" x14ac:dyDescent="0.25">
      <c r="A1359">
        <v>5</v>
      </c>
      <c r="B1359" s="20" t="s">
        <v>96</v>
      </c>
      <c r="C1359" s="2">
        <v>44893.304166666669</v>
      </c>
      <c r="D1359" s="20" t="s">
        <v>80</v>
      </c>
    </row>
    <row r="1360" spans="1:4" x14ac:dyDescent="0.25">
      <c r="A1360">
        <v>17</v>
      </c>
      <c r="B1360" s="20" t="s">
        <v>105</v>
      </c>
      <c r="C1360" s="2">
        <v>44893.304166666669</v>
      </c>
      <c r="D1360" s="20" t="s">
        <v>80</v>
      </c>
    </row>
    <row r="1361" spans="1:4" x14ac:dyDescent="0.25">
      <c r="A1361">
        <v>18</v>
      </c>
      <c r="B1361" s="20" t="s">
        <v>106</v>
      </c>
      <c r="C1361" s="2">
        <v>44893.304166666669</v>
      </c>
      <c r="D1361" s="20" t="s">
        <v>80</v>
      </c>
    </row>
    <row r="1362" spans="1:4" x14ac:dyDescent="0.25">
      <c r="A1362">
        <v>19</v>
      </c>
      <c r="B1362" s="20" t="s">
        <v>107</v>
      </c>
      <c r="C1362" s="2">
        <v>44893.304166666669</v>
      </c>
      <c r="D1362" s="20" t="s">
        <v>80</v>
      </c>
    </row>
    <row r="1363" spans="1:4" x14ac:dyDescent="0.25">
      <c r="A1363">
        <v>20</v>
      </c>
      <c r="B1363" s="20" t="s">
        <v>108</v>
      </c>
      <c r="C1363" s="2">
        <v>44893.304166666669</v>
      </c>
      <c r="D1363" s="20" t="s">
        <v>80</v>
      </c>
    </row>
    <row r="1364" spans="1:4" x14ac:dyDescent="0.25">
      <c r="A1364">
        <v>21</v>
      </c>
      <c r="B1364" s="20" t="s">
        <v>109</v>
      </c>
      <c r="C1364" s="2">
        <v>44893.304166666669</v>
      </c>
      <c r="D1364" s="20" t="s">
        <v>80</v>
      </c>
    </row>
    <row r="1365" spans="1:4" x14ac:dyDescent="0.25">
      <c r="A1365">
        <v>22</v>
      </c>
      <c r="B1365" s="20" t="s">
        <v>110</v>
      </c>
      <c r="C1365" s="2">
        <v>44893.304166666669</v>
      </c>
      <c r="D1365" s="20" t="s">
        <v>80</v>
      </c>
    </row>
    <row r="1366" spans="1:4" x14ac:dyDescent="0.25">
      <c r="A1366">
        <v>23</v>
      </c>
      <c r="B1366" s="20" t="s">
        <v>111</v>
      </c>
      <c r="C1366" s="2">
        <v>44893.304166666669</v>
      </c>
      <c r="D1366" s="20" t="s">
        <v>80</v>
      </c>
    </row>
    <row r="1367" spans="1:4" x14ac:dyDescent="0.25">
      <c r="A1367">
        <v>5</v>
      </c>
      <c r="B1367" s="20" t="s">
        <v>96</v>
      </c>
      <c r="C1367" s="2">
        <v>44893.305555555555</v>
      </c>
      <c r="D1367" s="20" t="s">
        <v>81</v>
      </c>
    </row>
    <row r="1368" spans="1:4" x14ac:dyDescent="0.25">
      <c r="A1368">
        <v>5</v>
      </c>
      <c r="B1368" s="20" t="s">
        <v>96</v>
      </c>
      <c r="C1368" s="2">
        <v>44893.306250000001</v>
      </c>
      <c r="D1368" s="20" t="s">
        <v>80</v>
      </c>
    </row>
    <row r="1369" spans="1:4" x14ac:dyDescent="0.25">
      <c r="A1369">
        <v>5</v>
      </c>
      <c r="B1369" s="20" t="s">
        <v>96</v>
      </c>
      <c r="C1369" s="2">
        <v>44893.315972222219</v>
      </c>
      <c r="D1369" s="20" t="s">
        <v>81</v>
      </c>
    </row>
    <row r="1370" spans="1:4" x14ac:dyDescent="0.25">
      <c r="A1370">
        <v>24</v>
      </c>
      <c r="B1370" s="20" t="s">
        <v>28</v>
      </c>
      <c r="C1370" s="2">
        <v>44893.315972222219</v>
      </c>
      <c r="D1370" s="20" t="s">
        <v>81</v>
      </c>
    </row>
    <row r="1371" spans="1:4" x14ac:dyDescent="0.25">
      <c r="A1371">
        <v>25</v>
      </c>
      <c r="B1371" s="20" t="s">
        <v>41</v>
      </c>
      <c r="C1371" s="2">
        <v>44893.315972222219</v>
      </c>
      <c r="D1371" s="20" t="s">
        <v>81</v>
      </c>
    </row>
    <row r="1372" spans="1:4" x14ac:dyDescent="0.25">
      <c r="A1372">
        <v>5</v>
      </c>
      <c r="B1372" s="20" t="s">
        <v>96</v>
      </c>
      <c r="C1372" s="2">
        <v>44893.326388888891</v>
      </c>
      <c r="D1372" s="20" t="s">
        <v>81</v>
      </c>
    </row>
    <row r="1373" spans="1:4" x14ac:dyDescent="0.25">
      <c r="A1373">
        <v>5</v>
      </c>
      <c r="B1373" s="20" t="s">
        <v>96</v>
      </c>
      <c r="C1373" s="2">
        <v>44893.336805555555</v>
      </c>
      <c r="D1373" s="20" t="s">
        <v>81</v>
      </c>
    </row>
    <row r="1374" spans="1:4" x14ac:dyDescent="0.25">
      <c r="A1374">
        <v>5</v>
      </c>
      <c r="B1374" s="20" t="s">
        <v>96</v>
      </c>
      <c r="C1374" s="2">
        <v>44893.347222222219</v>
      </c>
      <c r="D1374" s="20" t="s">
        <v>81</v>
      </c>
    </row>
    <row r="1375" spans="1:4" x14ac:dyDescent="0.25">
      <c r="A1375">
        <v>5</v>
      </c>
      <c r="B1375" s="20" t="s">
        <v>96</v>
      </c>
      <c r="C1375" s="2">
        <v>44893.357638888891</v>
      </c>
      <c r="D1375" s="20" t="s">
        <v>81</v>
      </c>
    </row>
    <row r="1376" spans="1:4" x14ac:dyDescent="0.25">
      <c r="A1376">
        <v>5</v>
      </c>
      <c r="B1376" s="20" t="s">
        <v>96</v>
      </c>
      <c r="C1376" s="2">
        <v>44893.368055555555</v>
      </c>
      <c r="D1376" s="20" t="s">
        <v>81</v>
      </c>
    </row>
    <row r="1377" spans="1:4" x14ac:dyDescent="0.25">
      <c r="A1377">
        <v>1</v>
      </c>
      <c r="B1377" s="20" t="s">
        <v>6</v>
      </c>
      <c r="C1377" s="2">
        <v>44893.378472222219</v>
      </c>
      <c r="D1377" s="20" t="s">
        <v>81</v>
      </c>
    </row>
    <row r="1378" spans="1:4" x14ac:dyDescent="0.25">
      <c r="A1378">
        <v>5</v>
      </c>
      <c r="B1378" s="20" t="s">
        <v>167</v>
      </c>
      <c r="C1378" s="2">
        <v>44893.378472222219</v>
      </c>
      <c r="D1378" s="20" t="s">
        <v>81</v>
      </c>
    </row>
    <row r="1379" spans="1:4" x14ac:dyDescent="0.25">
      <c r="A1379">
        <v>5</v>
      </c>
      <c r="B1379" s="20" t="s">
        <v>167</v>
      </c>
      <c r="C1379" s="2">
        <v>44893.388888888891</v>
      </c>
      <c r="D1379" s="20" t="s">
        <v>81</v>
      </c>
    </row>
    <row r="1380" spans="1:4" x14ac:dyDescent="0.25">
      <c r="A1380">
        <v>5</v>
      </c>
      <c r="B1380" s="20" t="s">
        <v>167</v>
      </c>
      <c r="C1380" s="2">
        <v>44893.399305555555</v>
      </c>
      <c r="D1380" s="20" t="s">
        <v>81</v>
      </c>
    </row>
    <row r="1381" spans="1:4" x14ac:dyDescent="0.25">
      <c r="A1381">
        <v>5</v>
      </c>
      <c r="B1381" s="20" t="s">
        <v>167</v>
      </c>
      <c r="C1381" s="2">
        <v>44893.409722222219</v>
      </c>
      <c r="D1381" s="20" t="s">
        <v>81</v>
      </c>
    </row>
    <row r="1382" spans="1:4" x14ac:dyDescent="0.25">
      <c r="A1382">
        <v>5</v>
      </c>
      <c r="B1382" s="20" t="s">
        <v>167</v>
      </c>
      <c r="C1382" s="2">
        <v>44893.420138888891</v>
      </c>
      <c r="D1382" s="20" t="s">
        <v>81</v>
      </c>
    </row>
    <row r="1383" spans="1:4" x14ac:dyDescent="0.25">
      <c r="A1383">
        <v>5</v>
      </c>
      <c r="B1383" s="20" t="s">
        <v>167</v>
      </c>
      <c r="C1383" s="2">
        <v>44893.430555555555</v>
      </c>
      <c r="D1383" s="20" t="s">
        <v>81</v>
      </c>
    </row>
    <row r="1384" spans="1:4" x14ac:dyDescent="0.25">
      <c r="A1384">
        <v>5</v>
      </c>
      <c r="B1384" s="20" t="s">
        <v>167</v>
      </c>
      <c r="C1384" s="2">
        <v>44893.440972222219</v>
      </c>
      <c r="D1384" s="20" t="s">
        <v>81</v>
      </c>
    </row>
    <row r="1385" spans="1:4" x14ac:dyDescent="0.25">
      <c r="A1385">
        <v>5</v>
      </c>
      <c r="B1385" s="20" t="s">
        <v>167</v>
      </c>
      <c r="C1385" s="2">
        <v>44893.451388888891</v>
      </c>
      <c r="D1385" s="20" t="s">
        <v>81</v>
      </c>
    </row>
    <row r="1386" spans="1:4" x14ac:dyDescent="0.25">
      <c r="A1386">
        <v>5</v>
      </c>
      <c r="B1386" s="20" t="s">
        <v>96</v>
      </c>
      <c r="C1386" s="2">
        <v>44894.284722222219</v>
      </c>
      <c r="D1386" s="20" t="s">
        <v>81</v>
      </c>
    </row>
    <row r="1387" spans="1:4" x14ac:dyDescent="0.25">
      <c r="A1387">
        <v>24</v>
      </c>
      <c r="B1387" s="20" t="s">
        <v>28</v>
      </c>
      <c r="C1387" s="2">
        <v>44894.284722222219</v>
      </c>
      <c r="D1387" s="20" t="s">
        <v>81</v>
      </c>
    </row>
    <row r="1388" spans="1:4" x14ac:dyDescent="0.25">
      <c r="A1388">
        <v>25</v>
      </c>
      <c r="B1388" s="20" t="s">
        <v>41</v>
      </c>
      <c r="C1388" s="2">
        <v>44894.284722222219</v>
      </c>
      <c r="D1388" s="20" t="s">
        <v>81</v>
      </c>
    </row>
    <row r="1389" spans="1:4" x14ac:dyDescent="0.25">
      <c r="A1389">
        <v>26</v>
      </c>
      <c r="B1389" s="20" t="s">
        <v>159</v>
      </c>
      <c r="C1389" s="2">
        <v>44894.284722222219</v>
      </c>
      <c r="D1389" s="20" t="s">
        <v>81</v>
      </c>
    </row>
    <row r="1390" spans="1:4" x14ac:dyDescent="0.25">
      <c r="A1390">
        <v>27</v>
      </c>
      <c r="B1390" s="20" t="s">
        <v>60</v>
      </c>
      <c r="C1390" s="2">
        <v>44894.284722222219</v>
      </c>
      <c r="D1390" s="20" t="s">
        <v>81</v>
      </c>
    </row>
    <row r="1391" spans="1:4" x14ac:dyDescent="0.25">
      <c r="A1391">
        <v>28</v>
      </c>
      <c r="B1391" s="20" t="s">
        <v>160</v>
      </c>
      <c r="C1391" s="2">
        <v>44894.284722222219</v>
      </c>
      <c r="D1391" s="20" t="s">
        <v>81</v>
      </c>
    </row>
    <row r="1392" spans="1:4" x14ac:dyDescent="0.25">
      <c r="A1392">
        <v>29</v>
      </c>
      <c r="B1392" s="20" t="s">
        <v>161</v>
      </c>
      <c r="C1392" s="2">
        <v>44894.284722222219</v>
      </c>
      <c r="D1392" s="20" t="s">
        <v>81</v>
      </c>
    </row>
    <row r="1393" spans="1:4" x14ac:dyDescent="0.25">
      <c r="A1393">
        <v>30</v>
      </c>
      <c r="B1393" s="20" t="s">
        <v>162</v>
      </c>
      <c r="C1393" s="2">
        <v>44894.284722222219</v>
      </c>
      <c r="D1393" s="20" t="s">
        <v>81</v>
      </c>
    </row>
    <row r="1394" spans="1:4" x14ac:dyDescent="0.25">
      <c r="A1394">
        <v>31</v>
      </c>
      <c r="B1394" s="20" t="s">
        <v>163</v>
      </c>
      <c r="C1394" s="2">
        <v>44894.284722222219</v>
      </c>
      <c r="D1394" s="20" t="s">
        <v>81</v>
      </c>
    </row>
    <row r="1395" spans="1:4" x14ac:dyDescent="0.25">
      <c r="A1395">
        <v>5</v>
      </c>
      <c r="B1395" s="20" t="s">
        <v>96</v>
      </c>
      <c r="C1395" s="2">
        <v>44894.295138888891</v>
      </c>
      <c r="D1395" s="20" t="s">
        <v>81</v>
      </c>
    </row>
    <row r="1396" spans="1:4" x14ac:dyDescent="0.25">
      <c r="A1396">
        <v>7</v>
      </c>
      <c r="B1396" s="20" t="s">
        <v>59</v>
      </c>
      <c r="C1396" s="2">
        <v>44894.295138888891</v>
      </c>
      <c r="D1396" s="20" t="s">
        <v>81</v>
      </c>
    </row>
    <row r="1397" spans="1:4" x14ac:dyDescent="0.25">
      <c r="A1397">
        <v>9</v>
      </c>
      <c r="B1397" s="20" t="s">
        <v>61</v>
      </c>
      <c r="C1397" s="2">
        <v>44894.295138888891</v>
      </c>
      <c r="D1397" s="20" t="s">
        <v>81</v>
      </c>
    </row>
    <row r="1398" spans="1:4" x14ac:dyDescent="0.25">
      <c r="A1398">
        <v>10</v>
      </c>
      <c r="B1398" s="20" t="s">
        <v>62</v>
      </c>
      <c r="C1398" s="2">
        <v>44894.295138888891</v>
      </c>
      <c r="D1398" s="20" t="s">
        <v>81</v>
      </c>
    </row>
    <row r="1399" spans="1:4" x14ac:dyDescent="0.25">
      <c r="A1399">
        <v>11</v>
      </c>
      <c r="B1399" s="20" t="s">
        <v>63</v>
      </c>
      <c r="C1399" s="2">
        <v>44894.295138888891</v>
      </c>
      <c r="D1399" s="20" t="s">
        <v>81</v>
      </c>
    </row>
    <row r="1400" spans="1:4" x14ac:dyDescent="0.25">
      <c r="A1400">
        <v>12</v>
      </c>
      <c r="B1400" s="20" t="s">
        <v>64</v>
      </c>
      <c r="C1400" s="2">
        <v>44894.295138888891</v>
      </c>
      <c r="D1400" s="20" t="s">
        <v>81</v>
      </c>
    </row>
    <row r="1401" spans="1:4" x14ac:dyDescent="0.25">
      <c r="A1401">
        <v>13</v>
      </c>
      <c r="B1401" s="20" t="s">
        <v>65</v>
      </c>
      <c r="C1401" s="2">
        <v>44894.295138888891</v>
      </c>
      <c r="D1401" s="20" t="s">
        <v>81</v>
      </c>
    </row>
    <row r="1402" spans="1:4" x14ac:dyDescent="0.25">
      <c r="A1402">
        <v>14</v>
      </c>
      <c r="B1402" s="20" t="s">
        <v>66</v>
      </c>
      <c r="C1402" s="2">
        <v>44894.295138888891</v>
      </c>
      <c r="D1402" s="20" t="s">
        <v>81</v>
      </c>
    </row>
    <row r="1403" spans="1:4" x14ac:dyDescent="0.25">
      <c r="A1403">
        <v>15</v>
      </c>
      <c r="B1403" s="20" t="s">
        <v>157</v>
      </c>
      <c r="C1403" s="2">
        <v>44894.295138888891</v>
      </c>
      <c r="D1403" s="20" t="s">
        <v>81</v>
      </c>
    </row>
    <row r="1404" spans="1:4" x14ac:dyDescent="0.25">
      <c r="A1404">
        <v>16</v>
      </c>
      <c r="B1404" s="20" t="s">
        <v>68</v>
      </c>
      <c r="C1404" s="2">
        <v>44894.295138888891</v>
      </c>
      <c r="D1404" s="20" t="s">
        <v>81</v>
      </c>
    </row>
    <row r="1405" spans="1:4" x14ac:dyDescent="0.25">
      <c r="A1405">
        <v>32</v>
      </c>
      <c r="B1405" s="20" t="s">
        <v>164</v>
      </c>
      <c r="C1405" s="2">
        <v>44894.295138888891</v>
      </c>
      <c r="D1405" s="20" t="s">
        <v>81</v>
      </c>
    </row>
    <row r="1406" spans="1:4" x14ac:dyDescent="0.25">
      <c r="A1406">
        <v>33</v>
      </c>
      <c r="B1406" s="20" t="s">
        <v>165</v>
      </c>
      <c r="C1406" s="2">
        <v>44894.295138888891</v>
      </c>
      <c r="D1406" s="20" t="s">
        <v>81</v>
      </c>
    </row>
    <row r="1407" spans="1:4" x14ac:dyDescent="0.25">
      <c r="A1407">
        <v>34</v>
      </c>
      <c r="B1407" s="20" t="s">
        <v>67</v>
      </c>
      <c r="C1407" s="2">
        <v>44894.295138888891</v>
      </c>
      <c r="D1407" s="20" t="s">
        <v>81</v>
      </c>
    </row>
    <row r="1408" spans="1:4" x14ac:dyDescent="0.25">
      <c r="A1408">
        <v>35</v>
      </c>
      <c r="B1408" s="20" t="s">
        <v>166</v>
      </c>
      <c r="C1408" s="2">
        <v>44894.295138888891</v>
      </c>
      <c r="D1408" s="20" t="s">
        <v>81</v>
      </c>
    </row>
    <row r="1409" spans="1:4" x14ac:dyDescent="0.25">
      <c r="A1409">
        <v>3</v>
      </c>
      <c r="B1409" s="20" t="s">
        <v>39</v>
      </c>
      <c r="C1409" s="2">
        <v>44894.304166666669</v>
      </c>
      <c r="D1409" s="20" t="s">
        <v>80</v>
      </c>
    </row>
    <row r="1410" spans="1:4" x14ac:dyDescent="0.25">
      <c r="A1410">
        <v>5</v>
      </c>
      <c r="B1410" s="20" t="s">
        <v>96</v>
      </c>
      <c r="C1410" s="2">
        <v>44894.304166666669</v>
      </c>
      <c r="D1410" s="20" t="s">
        <v>80</v>
      </c>
    </row>
    <row r="1411" spans="1:4" x14ac:dyDescent="0.25">
      <c r="A1411">
        <v>17</v>
      </c>
      <c r="B1411" s="20" t="s">
        <v>105</v>
      </c>
      <c r="C1411" s="2">
        <v>44894.304166666669</v>
      </c>
      <c r="D1411" s="20" t="s">
        <v>80</v>
      </c>
    </row>
    <row r="1412" spans="1:4" x14ac:dyDescent="0.25">
      <c r="A1412">
        <v>18</v>
      </c>
      <c r="B1412" s="20" t="s">
        <v>106</v>
      </c>
      <c r="C1412" s="2">
        <v>44894.304166666669</v>
      </c>
      <c r="D1412" s="20" t="s">
        <v>80</v>
      </c>
    </row>
    <row r="1413" spans="1:4" x14ac:dyDescent="0.25">
      <c r="A1413">
        <v>19</v>
      </c>
      <c r="B1413" s="20" t="s">
        <v>107</v>
      </c>
      <c r="C1413" s="2">
        <v>44894.304166666669</v>
      </c>
      <c r="D1413" s="20" t="s">
        <v>80</v>
      </c>
    </row>
    <row r="1414" spans="1:4" x14ac:dyDescent="0.25">
      <c r="A1414">
        <v>20</v>
      </c>
      <c r="B1414" s="20" t="s">
        <v>108</v>
      </c>
      <c r="C1414" s="2">
        <v>44894.304166666669</v>
      </c>
      <c r="D1414" s="20" t="s">
        <v>80</v>
      </c>
    </row>
    <row r="1415" spans="1:4" x14ac:dyDescent="0.25">
      <c r="A1415">
        <v>21</v>
      </c>
      <c r="B1415" s="20" t="s">
        <v>109</v>
      </c>
      <c r="C1415" s="2">
        <v>44894.304166666669</v>
      </c>
      <c r="D1415" s="20" t="s">
        <v>80</v>
      </c>
    </row>
    <row r="1416" spans="1:4" x14ac:dyDescent="0.25">
      <c r="A1416">
        <v>22</v>
      </c>
      <c r="B1416" s="20" t="s">
        <v>110</v>
      </c>
      <c r="C1416" s="2">
        <v>44894.304166666669</v>
      </c>
      <c r="D1416" s="20" t="s">
        <v>80</v>
      </c>
    </row>
    <row r="1417" spans="1:4" x14ac:dyDescent="0.25">
      <c r="A1417">
        <v>23</v>
      </c>
      <c r="B1417" s="20" t="s">
        <v>111</v>
      </c>
      <c r="C1417" s="2">
        <v>44894.304166666669</v>
      </c>
      <c r="D1417" s="20" t="s">
        <v>80</v>
      </c>
    </row>
    <row r="1418" spans="1:4" x14ac:dyDescent="0.25">
      <c r="A1418">
        <v>5</v>
      </c>
      <c r="B1418" s="20" t="s">
        <v>96</v>
      </c>
      <c r="C1418" s="2">
        <v>44894.305555555555</v>
      </c>
      <c r="D1418" s="20" t="s">
        <v>81</v>
      </c>
    </row>
    <row r="1419" spans="1:4" x14ac:dyDescent="0.25">
      <c r="A1419">
        <v>5</v>
      </c>
      <c r="B1419" s="20" t="s">
        <v>96</v>
      </c>
      <c r="C1419" s="2">
        <v>44894.306250000001</v>
      </c>
      <c r="D1419" s="20" t="s">
        <v>80</v>
      </c>
    </row>
    <row r="1420" spans="1:4" x14ac:dyDescent="0.25">
      <c r="A1420">
        <v>5</v>
      </c>
      <c r="B1420" s="20" t="s">
        <v>96</v>
      </c>
      <c r="C1420" s="2">
        <v>44894.315972222219</v>
      </c>
      <c r="D1420" s="20" t="s">
        <v>81</v>
      </c>
    </row>
    <row r="1421" spans="1:4" x14ac:dyDescent="0.25">
      <c r="A1421">
        <v>5</v>
      </c>
      <c r="B1421" s="20" t="s">
        <v>96</v>
      </c>
      <c r="C1421" s="2">
        <v>44894.326388888891</v>
      </c>
      <c r="D1421" s="20" t="s">
        <v>81</v>
      </c>
    </row>
    <row r="1422" spans="1:4" x14ac:dyDescent="0.25">
      <c r="A1422">
        <v>5</v>
      </c>
      <c r="B1422" s="20" t="s">
        <v>96</v>
      </c>
      <c r="C1422" s="2">
        <v>44894.336805555555</v>
      </c>
      <c r="D1422" s="20" t="s">
        <v>81</v>
      </c>
    </row>
    <row r="1423" spans="1:4" x14ac:dyDescent="0.25">
      <c r="A1423">
        <v>5</v>
      </c>
      <c r="B1423" s="20" t="s">
        <v>96</v>
      </c>
      <c r="C1423" s="2">
        <v>44894.347222222219</v>
      </c>
      <c r="D1423" s="20" t="s">
        <v>81</v>
      </c>
    </row>
    <row r="1424" spans="1:4" x14ac:dyDescent="0.25">
      <c r="A1424">
        <v>5</v>
      </c>
      <c r="B1424" s="20" t="s">
        <v>96</v>
      </c>
      <c r="C1424" s="2">
        <v>44894.357638888891</v>
      </c>
      <c r="D1424" s="20" t="s">
        <v>81</v>
      </c>
    </row>
    <row r="1425" spans="1:4" x14ac:dyDescent="0.25">
      <c r="A1425">
        <v>5</v>
      </c>
      <c r="B1425" s="20" t="s">
        <v>96</v>
      </c>
      <c r="C1425" s="2">
        <v>44894.368055555555</v>
      </c>
      <c r="D1425" s="20" t="s">
        <v>81</v>
      </c>
    </row>
    <row r="1426" spans="1:4" x14ac:dyDescent="0.25">
      <c r="A1426">
        <v>1</v>
      </c>
      <c r="B1426" s="20" t="s">
        <v>6</v>
      </c>
      <c r="C1426" s="2">
        <v>44894.378472222219</v>
      </c>
      <c r="D1426" s="20" t="s">
        <v>81</v>
      </c>
    </row>
    <row r="1427" spans="1:4" x14ac:dyDescent="0.25">
      <c r="A1427">
        <v>5</v>
      </c>
      <c r="B1427" s="20" t="s">
        <v>167</v>
      </c>
      <c r="C1427" s="2">
        <v>44894.378472222219</v>
      </c>
      <c r="D1427" s="20" t="s">
        <v>81</v>
      </c>
    </row>
    <row r="1428" spans="1:4" x14ac:dyDescent="0.25">
      <c r="A1428">
        <v>5</v>
      </c>
      <c r="B1428" s="20" t="s">
        <v>167</v>
      </c>
      <c r="C1428" s="2">
        <v>44894.388888888891</v>
      </c>
      <c r="D1428" s="20" t="s">
        <v>81</v>
      </c>
    </row>
    <row r="1429" spans="1:4" x14ac:dyDescent="0.25">
      <c r="A1429">
        <v>5</v>
      </c>
      <c r="B1429" s="20" t="s">
        <v>167</v>
      </c>
      <c r="C1429" s="2">
        <v>44894.399305555555</v>
      </c>
      <c r="D1429" s="20" t="s">
        <v>81</v>
      </c>
    </row>
    <row r="1430" spans="1:4" x14ac:dyDescent="0.25">
      <c r="A1430">
        <v>5</v>
      </c>
      <c r="B1430" s="20" t="s">
        <v>167</v>
      </c>
      <c r="C1430" s="2">
        <v>44894.409722222219</v>
      </c>
      <c r="D1430" s="20" t="s">
        <v>81</v>
      </c>
    </row>
    <row r="1431" spans="1:4" x14ac:dyDescent="0.25">
      <c r="A1431">
        <v>5</v>
      </c>
      <c r="B1431" s="20" t="s">
        <v>167</v>
      </c>
      <c r="C1431" s="2">
        <v>44894.420138888891</v>
      </c>
      <c r="D1431" s="20" t="s">
        <v>81</v>
      </c>
    </row>
    <row r="1432" spans="1:4" x14ac:dyDescent="0.25">
      <c r="A1432">
        <v>5</v>
      </c>
      <c r="B1432" s="20" t="s">
        <v>167</v>
      </c>
      <c r="C1432" s="2">
        <v>44894.430555555555</v>
      </c>
      <c r="D1432" s="20" t="s">
        <v>81</v>
      </c>
    </row>
    <row r="1433" spans="1:4" x14ac:dyDescent="0.25">
      <c r="A1433">
        <v>5</v>
      </c>
      <c r="B1433" s="20" t="s">
        <v>167</v>
      </c>
      <c r="C1433" s="2">
        <v>44894.440972222219</v>
      </c>
      <c r="D1433" s="20" t="s">
        <v>81</v>
      </c>
    </row>
    <row r="1434" spans="1:4" x14ac:dyDescent="0.25">
      <c r="A1434">
        <v>5</v>
      </c>
      <c r="B1434" s="20" t="s">
        <v>167</v>
      </c>
      <c r="C1434" s="2">
        <v>44894.451388888891</v>
      </c>
      <c r="D1434" s="20" t="s">
        <v>81</v>
      </c>
    </row>
    <row r="1435" spans="1:4" x14ac:dyDescent="0.25">
      <c r="A1435">
        <v>5</v>
      </c>
      <c r="B1435" s="20" t="s">
        <v>96</v>
      </c>
      <c r="C1435" s="2">
        <v>44895.284722222219</v>
      </c>
      <c r="D1435" s="20" t="s">
        <v>81</v>
      </c>
    </row>
    <row r="1436" spans="1:4" x14ac:dyDescent="0.25">
      <c r="A1436">
        <v>25</v>
      </c>
      <c r="B1436" s="20" t="s">
        <v>41</v>
      </c>
      <c r="C1436" s="2">
        <v>44895.284722222219</v>
      </c>
      <c r="D1436" s="20" t="s">
        <v>81</v>
      </c>
    </row>
    <row r="1437" spans="1:4" x14ac:dyDescent="0.25">
      <c r="A1437">
        <v>26</v>
      </c>
      <c r="B1437" s="20" t="s">
        <v>159</v>
      </c>
      <c r="C1437" s="2">
        <v>44895.284722222219</v>
      </c>
      <c r="D1437" s="20" t="s">
        <v>81</v>
      </c>
    </row>
    <row r="1438" spans="1:4" x14ac:dyDescent="0.25">
      <c r="A1438">
        <v>27</v>
      </c>
      <c r="B1438" s="20" t="s">
        <v>60</v>
      </c>
      <c r="C1438" s="2">
        <v>44895.284722222219</v>
      </c>
      <c r="D1438" s="20" t="s">
        <v>81</v>
      </c>
    </row>
    <row r="1439" spans="1:4" x14ac:dyDescent="0.25">
      <c r="A1439">
        <v>28</v>
      </c>
      <c r="B1439" s="20" t="s">
        <v>160</v>
      </c>
      <c r="C1439" s="2">
        <v>44895.284722222219</v>
      </c>
      <c r="D1439" s="20" t="s">
        <v>81</v>
      </c>
    </row>
    <row r="1440" spans="1:4" x14ac:dyDescent="0.25">
      <c r="A1440">
        <v>29</v>
      </c>
      <c r="B1440" s="20" t="s">
        <v>161</v>
      </c>
      <c r="C1440" s="2">
        <v>44895.284722222219</v>
      </c>
      <c r="D1440" s="20" t="s">
        <v>81</v>
      </c>
    </row>
    <row r="1441" spans="1:4" x14ac:dyDescent="0.25">
      <c r="A1441">
        <v>30</v>
      </c>
      <c r="B1441" s="20" t="s">
        <v>162</v>
      </c>
      <c r="C1441" s="2">
        <v>44895.284722222219</v>
      </c>
      <c r="D1441" s="20" t="s">
        <v>81</v>
      </c>
    </row>
    <row r="1442" spans="1:4" x14ac:dyDescent="0.25">
      <c r="A1442">
        <v>31</v>
      </c>
      <c r="B1442" s="20" t="s">
        <v>163</v>
      </c>
      <c r="C1442" s="2">
        <v>44895.284722222219</v>
      </c>
      <c r="D1442" s="20" t="s">
        <v>81</v>
      </c>
    </row>
    <row r="1443" spans="1:4" x14ac:dyDescent="0.25">
      <c r="A1443">
        <v>5</v>
      </c>
      <c r="B1443" s="20" t="s">
        <v>96</v>
      </c>
      <c r="C1443" s="2">
        <v>44895.295138888891</v>
      </c>
      <c r="D1443" s="20" t="s">
        <v>81</v>
      </c>
    </row>
    <row r="1444" spans="1:4" x14ac:dyDescent="0.25">
      <c r="A1444">
        <v>7</v>
      </c>
      <c r="B1444" s="20" t="s">
        <v>59</v>
      </c>
      <c r="C1444" s="2">
        <v>44895.295138888891</v>
      </c>
      <c r="D1444" s="20" t="s">
        <v>81</v>
      </c>
    </row>
    <row r="1445" spans="1:4" x14ac:dyDescent="0.25">
      <c r="A1445">
        <v>9</v>
      </c>
      <c r="B1445" s="20" t="s">
        <v>61</v>
      </c>
      <c r="C1445" s="2">
        <v>44895.295138888891</v>
      </c>
      <c r="D1445" s="20" t="s">
        <v>81</v>
      </c>
    </row>
    <row r="1446" spans="1:4" x14ac:dyDescent="0.25">
      <c r="A1446">
        <v>10</v>
      </c>
      <c r="B1446" s="20" t="s">
        <v>62</v>
      </c>
      <c r="C1446" s="2">
        <v>44895.295138888891</v>
      </c>
      <c r="D1446" s="20" t="s">
        <v>81</v>
      </c>
    </row>
    <row r="1447" spans="1:4" x14ac:dyDescent="0.25">
      <c r="A1447">
        <v>11</v>
      </c>
      <c r="B1447" s="20" t="s">
        <v>63</v>
      </c>
      <c r="C1447" s="2">
        <v>44895.295138888891</v>
      </c>
      <c r="D1447" s="20" t="s">
        <v>81</v>
      </c>
    </row>
    <row r="1448" spans="1:4" x14ac:dyDescent="0.25">
      <c r="A1448">
        <v>12</v>
      </c>
      <c r="B1448" s="20" t="s">
        <v>64</v>
      </c>
      <c r="C1448" s="2">
        <v>44895.295138888891</v>
      </c>
      <c r="D1448" s="20" t="s">
        <v>81</v>
      </c>
    </row>
    <row r="1449" spans="1:4" x14ac:dyDescent="0.25">
      <c r="A1449">
        <v>13</v>
      </c>
      <c r="B1449" s="20" t="s">
        <v>65</v>
      </c>
      <c r="C1449" s="2">
        <v>44895.295138888891</v>
      </c>
      <c r="D1449" s="20" t="s">
        <v>81</v>
      </c>
    </row>
    <row r="1450" spans="1:4" x14ac:dyDescent="0.25">
      <c r="A1450">
        <v>14</v>
      </c>
      <c r="B1450" s="20" t="s">
        <v>66</v>
      </c>
      <c r="C1450" s="2">
        <v>44895.295138888891</v>
      </c>
      <c r="D1450" s="20" t="s">
        <v>81</v>
      </c>
    </row>
    <row r="1451" spans="1:4" x14ac:dyDescent="0.25">
      <c r="A1451">
        <v>15</v>
      </c>
      <c r="B1451" s="20" t="s">
        <v>157</v>
      </c>
      <c r="C1451" s="2">
        <v>44895.295138888891</v>
      </c>
      <c r="D1451" s="20" t="s">
        <v>81</v>
      </c>
    </row>
    <row r="1452" spans="1:4" x14ac:dyDescent="0.25">
      <c r="A1452">
        <v>16</v>
      </c>
      <c r="B1452" s="20" t="s">
        <v>68</v>
      </c>
      <c r="C1452" s="2">
        <v>44895.295138888891</v>
      </c>
      <c r="D1452" s="20" t="s">
        <v>81</v>
      </c>
    </row>
    <row r="1453" spans="1:4" x14ac:dyDescent="0.25">
      <c r="A1453">
        <v>32</v>
      </c>
      <c r="B1453" s="20" t="s">
        <v>164</v>
      </c>
      <c r="C1453" s="2">
        <v>44895.295138888891</v>
      </c>
      <c r="D1453" s="20" t="s">
        <v>81</v>
      </c>
    </row>
    <row r="1454" spans="1:4" x14ac:dyDescent="0.25">
      <c r="A1454">
        <v>33</v>
      </c>
      <c r="B1454" s="20" t="s">
        <v>165</v>
      </c>
      <c r="C1454" s="2">
        <v>44895.295138888891</v>
      </c>
      <c r="D1454" s="20" t="s">
        <v>81</v>
      </c>
    </row>
    <row r="1455" spans="1:4" x14ac:dyDescent="0.25">
      <c r="A1455">
        <v>35</v>
      </c>
      <c r="B1455" s="20" t="s">
        <v>166</v>
      </c>
      <c r="C1455" s="2">
        <v>44895.295138888891</v>
      </c>
      <c r="D1455" s="20" t="s">
        <v>81</v>
      </c>
    </row>
    <row r="1456" spans="1:4" x14ac:dyDescent="0.25">
      <c r="A1456">
        <v>3</v>
      </c>
      <c r="B1456" s="20" t="s">
        <v>39</v>
      </c>
      <c r="C1456" s="2">
        <v>44895.304166666669</v>
      </c>
      <c r="D1456" s="20" t="s">
        <v>80</v>
      </c>
    </row>
    <row r="1457" spans="1:4" x14ac:dyDescent="0.25">
      <c r="A1457">
        <v>5</v>
      </c>
      <c r="B1457" s="20" t="s">
        <v>96</v>
      </c>
      <c r="C1457" s="2">
        <v>44895.304166666669</v>
      </c>
      <c r="D1457" s="20" t="s">
        <v>80</v>
      </c>
    </row>
    <row r="1458" spans="1:4" x14ac:dyDescent="0.25">
      <c r="A1458">
        <v>17</v>
      </c>
      <c r="B1458" s="20" t="s">
        <v>105</v>
      </c>
      <c r="C1458" s="2">
        <v>44895.304166666669</v>
      </c>
      <c r="D1458" s="20" t="s">
        <v>80</v>
      </c>
    </row>
    <row r="1459" spans="1:4" x14ac:dyDescent="0.25">
      <c r="A1459">
        <v>18</v>
      </c>
      <c r="B1459" s="20" t="s">
        <v>106</v>
      </c>
      <c r="C1459" s="2">
        <v>44895.304166666669</v>
      </c>
      <c r="D1459" s="20" t="s">
        <v>80</v>
      </c>
    </row>
    <row r="1460" spans="1:4" x14ac:dyDescent="0.25">
      <c r="A1460">
        <v>19</v>
      </c>
      <c r="B1460" s="20" t="s">
        <v>107</v>
      </c>
      <c r="C1460" s="2">
        <v>44895.304166666669</v>
      </c>
      <c r="D1460" s="20" t="s">
        <v>80</v>
      </c>
    </row>
    <row r="1461" spans="1:4" x14ac:dyDescent="0.25">
      <c r="A1461">
        <v>20</v>
      </c>
      <c r="B1461" s="20" t="s">
        <v>108</v>
      </c>
      <c r="C1461" s="2">
        <v>44895.304166666669</v>
      </c>
      <c r="D1461" s="20" t="s">
        <v>80</v>
      </c>
    </row>
    <row r="1462" spans="1:4" x14ac:dyDescent="0.25">
      <c r="A1462">
        <v>21</v>
      </c>
      <c r="B1462" s="20" t="s">
        <v>109</v>
      </c>
      <c r="C1462" s="2">
        <v>44895.304166666669</v>
      </c>
      <c r="D1462" s="20" t="s">
        <v>80</v>
      </c>
    </row>
    <row r="1463" spans="1:4" x14ac:dyDescent="0.25">
      <c r="A1463">
        <v>22</v>
      </c>
      <c r="B1463" s="20" t="s">
        <v>110</v>
      </c>
      <c r="C1463" s="2">
        <v>44895.304166666669</v>
      </c>
      <c r="D1463" s="20" t="s">
        <v>80</v>
      </c>
    </row>
    <row r="1464" spans="1:4" x14ac:dyDescent="0.25">
      <c r="A1464">
        <v>23</v>
      </c>
      <c r="B1464" s="20" t="s">
        <v>111</v>
      </c>
      <c r="C1464" s="2">
        <v>44895.304166666669</v>
      </c>
      <c r="D1464" s="20" t="s">
        <v>80</v>
      </c>
    </row>
    <row r="1465" spans="1:4" x14ac:dyDescent="0.25">
      <c r="A1465">
        <v>5</v>
      </c>
      <c r="B1465" s="20" t="s">
        <v>96</v>
      </c>
      <c r="C1465" s="2">
        <v>44895.305555555555</v>
      </c>
      <c r="D1465" s="20" t="s">
        <v>81</v>
      </c>
    </row>
    <row r="1466" spans="1:4" x14ac:dyDescent="0.25">
      <c r="A1466">
        <v>5</v>
      </c>
      <c r="B1466" s="20" t="s">
        <v>96</v>
      </c>
      <c r="C1466" s="2">
        <v>44895.306250000001</v>
      </c>
      <c r="D1466" s="20" t="s">
        <v>80</v>
      </c>
    </row>
    <row r="1467" spans="1:4" x14ac:dyDescent="0.25">
      <c r="A1467">
        <v>5</v>
      </c>
      <c r="B1467" s="20" t="s">
        <v>96</v>
      </c>
      <c r="C1467" s="2">
        <v>44895.315972222219</v>
      </c>
      <c r="D1467" s="20" t="s">
        <v>81</v>
      </c>
    </row>
    <row r="1468" spans="1:4" x14ac:dyDescent="0.25">
      <c r="A1468">
        <v>24</v>
      </c>
      <c r="B1468" s="20" t="s">
        <v>28</v>
      </c>
      <c r="C1468" s="2">
        <v>44895.315972222219</v>
      </c>
      <c r="D1468" s="20" t="s">
        <v>81</v>
      </c>
    </row>
    <row r="1469" spans="1:4" x14ac:dyDescent="0.25">
      <c r="A1469">
        <v>34</v>
      </c>
      <c r="B1469" s="20" t="s">
        <v>67</v>
      </c>
      <c r="C1469" s="2">
        <v>44895.315972222219</v>
      </c>
      <c r="D1469" s="20" t="s">
        <v>81</v>
      </c>
    </row>
    <row r="1470" spans="1:4" x14ac:dyDescent="0.25">
      <c r="A1470">
        <v>5</v>
      </c>
      <c r="B1470" s="20" t="s">
        <v>96</v>
      </c>
      <c r="C1470" s="2">
        <v>44895.326388888891</v>
      </c>
      <c r="D1470" s="20" t="s">
        <v>81</v>
      </c>
    </row>
    <row r="1471" spans="1:4" x14ac:dyDescent="0.25">
      <c r="A1471">
        <v>5</v>
      </c>
      <c r="B1471" s="20" t="s">
        <v>96</v>
      </c>
      <c r="C1471" s="2">
        <v>44895.336805555555</v>
      </c>
      <c r="D1471" s="20" t="s">
        <v>81</v>
      </c>
    </row>
    <row r="1472" spans="1:4" x14ac:dyDescent="0.25">
      <c r="A1472">
        <v>5</v>
      </c>
      <c r="B1472" s="20" t="s">
        <v>96</v>
      </c>
      <c r="C1472" s="2">
        <v>44895.347222222219</v>
      </c>
      <c r="D1472" s="20" t="s">
        <v>81</v>
      </c>
    </row>
    <row r="1473" spans="1:4" x14ac:dyDescent="0.25">
      <c r="A1473">
        <v>5</v>
      </c>
      <c r="B1473" s="20" t="s">
        <v>96</v>
      </c>
      <c r="C1473" s="2">
        <v>44895.357638888891</v>
      </c>
      <c r="D1473" s="20" t="s">
        <v>81</v>
      </c>
    </row>
    <row r="1474" spans="1:4" x14ac:dyDescent="0.25">
      <c r="A1474">
        <v>5</v>
      </c>
      <c r="B1474" s="20" t="s">
        <v>96</v>
      </c>
      <c r="C1474" s="2">
        <v>44895.368055555555</v>
      </c>
      <c r="D1474" s="20" t="s">
        <v>81</v>
      </c>
    </row>
    <row r="1475" spans="1:4" x14ac:dyDescent="0.25">
      <c r="A1475">
        <v>1</v>
      </c>
      <c r="B1475" s="20" t="s">
        <v>6</v>
      </c>
      <c r="C1475" s="2">
        <v>44895.378472222219</v>
      </c>
      <c r="D1475" s="20" t="s">
        <v>81</v>
      </c>
    </row>
    <row r="1476" spans="1:4" x14ac:dyDescent="0.25">
      <c r="A1476">
        <v>5</v>
      </c>
      <c r="B1476" s="20" t="s">
        <v>167</v>
      </c>
      <c r="C1476" s="2">
        <v>44895.378472222219</v>
      </c>
      <c r="D1476" s="20" t="s">
        <v>81</v>
      </c>
    </row>
    <row r="1477" spans="1:4" x14ac:dyDescent="0.25">
      <c r="A1477">
        <v>5</v>
      </c>
      <c r="B1477" s="20" t="s">
        <v>167</v>
      </c>
      <c r="C1477" s="2">
        <v>44895.388888888891</v>
      </c>
      <c r="D1477" s="20" t="s">
        <v>81</v>
      </c>
    </row>
    <row r="1478" spans="1:4" x14ac:dyDescent="0.25">
      <c r="A1478">
        <v>5</v>
      </c>
      <c r="B1478" s="20" t="s">
        <v>167</v>
      </c>
      <c r="C1478" s="2">
        <v>44895.399305555555</v>
      </c>
      <c r="D1478" s="20" t="s">
        <v>81</v>
      </c>
    </row>
    <row r="1479" spans="1:4" x14ac:dyDescent="0.25">
      <c r="A1479">
        <v>5</v>
      </c>
      <c r="B1479" s="20" t="s">
        <v>167</v>
      </c>
      <c r="C1479" s="2">
        <v>44895.409722222219</v>
      </c>
      <c r="D1479" s="20" t="s">
        <v>81</v>
      </c>
    </row>
    <row r="1480" spans="1:4" x14ac:dyDescent="0.25">
      <c r="A1480">
        <v>5</v>
      </c>
      <c r="B1480" s="20" t="s">
        <v>167</v>
      </c>
      <c r="C1480" s="2">
        <v>44895.420138888891</v>
      </c>
      <c r="D1480" s="20" t="s">
        <v>81</v>
      </c>
    </row>
    <row r="1481" spans="1:4" x14ac:dyDescent="0.25">
      <c r="A1481">
        <v>5</v>
      </c>
      <c r="B1481" s="20" t="s">
        <v>167</v>
      </c>
      <c r="C1481" s="2">
        <v>44895.430555555555</v>
      </c>
      <c r="D1481" s="20" t="s">
        <v>81</v>
      </c>
    </row>
    <row r="1482" spans="1:4" x14ac:dyDescent="0.25">
      <c r="A1482">
        <v>5</v>
      </c>
      <c r="B1482" s="20" t="s">
        <v>167</v>
      </c>
      <c r="C1482" s="2">
        <v>44895.440972222219</v>
      </c>
      <c r="D1482" s="20" t="s">
        <v>81</v>
      </c>
    </row>
    <row r="1483" spans="1:4" x14ac:dyDescent="0.25">
      <c r="A1483">
        <v>5</v>
      </c>
      <c r="B1483" s="20" t="s">
        <v>167</v>
      </c>
      <c r="C1483" s="2">
        <v>44895.451388888891</v>
      </c>
      <c r="D1483" s="20" t="s">
        <v>81</v>
      </c>
    </row>
    <row r="1484" spans="1:4" x14ac:dyDescent="0.25">
      <c r="A1484">
        <v>5</v>
      </c>
      <c r="B1484" s="20" t="s">
        <v>171</v>
      </c>
      <c r="C1484" s="2">
        <v>44895.62222222222</v>
      </c>
      <c r="D1484" s="20" t="s">
        <v>81</v>
      </c>
    </row>
    <row r="1485" spans="1:4" x14ac:dyDescent="0.25">
      <c r="A1485">
        <v>14</v>
      </c>
      <c r="B1485" s="20" t="s">
        <v>66</v>
      </c>
      <c r="C1485" s="2">
        <v>44895.62222222222</v>
      </c>
      <c r="D1485" s="20" t="s">
        <v>81</v>
      </c>
    </row>
    <row r="1486" spans="1:4" x14ac:dyDescent="0.25">
      <c r="A1486">
        <v>5</v>
      </c>
      <c r="B1486" s="20" t="s">
        <v>96</v>
      </c>
      <c r="C1486" s="2">
        <v>44896.284722222219</v>
      </c>
      <c r="D1486" s="20" t="s">
        <v>81</v>
      </c>
    </row>
    <row r="1487" spans="1:4" x14ac:dyDescent="0.25">
      <c r="A1487">
        <v>27</v>
      </c>
      <c r="B1487" s="20" t="s">
        <v>60</v>
      </c>
      <c r="C1487" s="2">
        <v>44896.284722222219</v>
      </c>
      <c r="D1487" s="20" t="s">
        <v>81</v>
      </c>
    </row>
    <row r="1488" spans="1:4" x14ac:dyDescent="0.25">
      <c r="A1488">
        <v>29</v>
      </c>
      <c r="B1488" s="20" t="s">
        <v>161</v>
      </c>
      <c r="C1488" s="2">
        <v>44896.284722222219</v>
      </c>
      <c r="D1488" s="20" t="s">
        <v>81</v>
      </c>
    </row>
    <row r="1489" spans="1:4" x14ac:dyDescent="0.25">
      <c r="A1489">
        <v>31</v>
      </c>
      <c r="B1489" s="20" t="s">
        <v>163</v>
      </c>
      <c r="C1489" s="2">
        <v>44896.284722222219</v>
      </c>
      <c r="D1489" s="20" t="s">
        <v>81</v>
      </c>
    </row>
    <row r="1490" spans="1:4" x14ac:dyDescent="0.25">
      <c r="A1490">
        <v>5</v>
      </c>
      <c r="B1490" s="20" t="s">
        <v>96</v>
      </c>
      <c r="C1490" s="2">
        <v>44896.295138888891</v>
      </c>
      <c r="D1490" s="20" t="s">
        <v>81</v>
      </c>
    </row>
    <row r="1491" spans="1:4" x14ac:dyDescent="0.25">
      <c r="A1491">
        <v>7</v>
      </c>
      <c r="B1491" s="20" t="s">
        <v>59</v>
      </c>
      <c r="C1491" s="2">
        <v>44896.295138888891</v>
      </c>
      <c r="D1491" s="20" t="s">
        <v>81</v>
      </c>
    </row>
    <row r="1492" spans="1:4" x14ac:dyDescent="0.25">
      <c r="A1492">
        <v>9</v>
      </c>
      <c r="B1492" s="20" t="s">
        <v>61</v>
      </c>
      <c r="C1492" s="2">
        <v>44896.295138888891</v>
      </c>
      <c r="D1492" s="20" t="s">
        <v>81</v>
      </c>
    </row>
    <row r="1493" spans="1:4" x14ac:dyDescent="0.25">
      <c r="A1493">
        <v>10</v>
      </c>
      <c r="B1493" s="20" t="s">
        <v>62</v>
      </c>
      <c r="C1493" s="2">
        <v>44896.295138888891</v>
      </c>
      <c r="D1493" s="20" t="s">
        <v>81</v>
      </c>
    </row>
    <row r="1494" spans="1:4" x14ac:dyDescent="0.25">
      <c r="A1494">
        <v>11</v>
      </c>
      <c r="B1494" s="20" t="s">
        <v>63</v>
      </c>
      <c r="C1494" s="2">
        <v>44896.295138888891</v>
      </c>
      <c r="D1494" s="20" t="s">
        <v>81</v>
      </c>
    </row>
    <row r="1495" spans="1:4" x14ac:dyDescent="0.25">
      <c r="A1495">
        <v>12</v>
      </c>
      <c r="B1495" s="20" t="s">
        <v>64</v>
      </c>
      <c r="C1495" s="2">
        <v>44896.295138888891</v>
      </c>
      <c r="D1495" s="20" t="s">
        <v>81</v>
      </c>
    </row>
    <row r="1496" spans="1:4" x14ac:dyDescent="0.25">
      <c r="A1496">
        <v>13</v>
      </c>
      <c r="B1496" s="20" t="s">
        <v>65</v>
      </c>
      <c r="C1496" s="2">
        <v>44896.295138888891</v>
      </c>
      <c r="D1496" s="20" t="s">
        <v>81</v>
      </c>
    </row>
    <row r="1497" spans="1:4" x14ac:dyDescent="0.25">
      <c r="A1497">
        <v>14</v>
      </c>
      <c r="B1497" s="20" t="s">
        <v>66</v>
      </c>
      <c r="C1497" s="2">
        <v>44896.295138888891</v>
      </c>
      <c r="D1497" s="20" t="s">
        <v>81</v>
      </c>
    </row>
    <row r="1498" spans="1:4" x14ac:dyDescent="0.25">
      <c r="A1498">
        <v>15</v>
      </c>
      <c r="B1498" s="20" t="s">
        <v>157</v>
      </c>
      <c r="C1498" s="2">
        <v>44896.295138888891</v>
      </c>
      <c r="D1498" s="20" t="s">
        <v>81</v>
      </c>
    </row>
    <row r="1499" spans="1:4" x14ac:dyDescent="0.25">
      <c r="A1499">
        <v>16</v>
      </c>
      <c r="B1499" s="20" t="s">
        <v>68</v>
      </c>
      <c r="C1499" s="2">
        <v>44896.295138888891</v>
      </c>
      <c r="D1499" s="20" t="s">
        <v>81</v>
      </c>
    </row>
    <row r="1500" spans="1:4" x14ac:dyDescent="0.25">
      <c r="A1500">
        <v>30</v>
      </c>
      <c r="B1500" s="20" t="s">
        <v>162</v>
      </c>
      <c r="C1500" s="2">
        <v>44896.295138888891</v>
      </c>
      <c r="D1500" s="20" t="s">
        <v>81</v>
      </c>
    </row>
    <row r="1501" spans="1:4" x14ac:dyDescent="0.25">
      <c r="A1501">
        <v>32</v>
      </c>
      <c r="B1501" s="20" t="s">
        <v>164</v>
      </c>
      <c r="C1501" s="2">
        <v>44896.295138888891</v>
      </c>
      <c r="D1501" s="20" t="s">
        <v>81</v>
      </c>
    </row>
    <row r="1502" spans="1:4" x14ac:dyDescent="0.25">
      <c r="A1502">
        <v>33</v>
      </c>
      <c r="B1502" s="20" t="s">
        <v>165</v>
      </c>
      <c r="C1502" s="2">
        <v>44896.295138888891</v>
      </c>
      <c r="D1502" s="20" t="s">
        <v>81</v>
      </c>
    </row>
    <row r="1503" spans="1:4" x14ac:dyDescent="0.25">
      <c r="A1503">
        <v>34</v>
      </c>
      <c r="B1503" s="20" t="s">
        <v>67</v>
      </c>
      <c r="C1503" s="2">
        <v>44896.295138888891</v>
      </c>
      <c r="D1503" s="20" t="s">
        <v>81</v>
      </c>
    </row>
    <row r="1504" spans="1:4" x14ac:dyDescent="0.25">
      <c r="A1504">
        <v>5</v>
      </c>
      <c r="B1504" s="20" t="s">
        <v>96</v>
      </c>
      <c r="C1504" s="2">
        <v>44896.305555555555</v>
      </c>
      <c r="D1504" s="20" t="s">
        <v>81</v>
      </c>
    </row>
    <row r="1505" spans="1:4" x14ac:dyDescent="0.25">
      <c r="A1505">
        <v>3</v>
      </c>
      <c r="B1505" s="20" t="s">
        <v>39</v>
      </c>
      <c r="C1505" s="2">
        <v>44896.306944444441</v>
      </c>
      <c r="D1505" s="20" t="s">
        <v>80</v>
      </c>
    </row>
    <row r="1506" spans="1:4" x14ac:dyDescent="0.25">
      <c r="A1506">
        <v>5</v>
      </c>
      <c r="B1506" s="20" t="s">
        <v>96</v>
      </c>
      <c r="C1506" s="2">
        <v>44896.306944444441</v>
      </c>
      <c r="D1506" s="20" t="s">
        <v>80</v>
      </c>
    </row>
    <row r="1507" spans="1:4" x14ac:dyDescent="0.25">
      <c r="A1507">
        <v>17</v>
      </c>
      <c r="B1507" s="20" t="s">
        <v>105</v>
      </c>
      <c r="C1507" s="2">
        <v>44896.306944444441</v>
      </c>
      <c r="D1507" s="20" t="s">
        <v>80</v>
      </c>
    </row>
    <row r="1508" spans="1:4" x14ac:dyDescent="0.25">
      <c r="A1508">
        <v>18</v>
      </c>
      <c r="B1508" s="20" t="s">
        <v>106</v>
      </c>
      <c r="C1508" s="2">
        <v>44896.306944444441</v>
      </c>
      <c r="D1508" s="20" t="s">
        <v>80</v>
      </c>
    </row>
    <row r="1509" spans="1:4" x14ac:dyDescent="0.25">
      <c r="A1509">
        <v>19</v>
      </c>
      <c r="B1509" s="20" t="s">
        <v>107</v>
      </c>
      <c r="C1509" s="2">
        <v>44896.306944444441</v>
      </c>
      <c r="D1509" s="20" t="s">
        <v>80</v>
      </c>
    </row>
    <row r="1510" spans="1:4" x14ac:dyDescent="0.25">
      <c r="A1510">
        <v>20</v>
      </c>
      <c r="B1510" s="20" t="s">
        <v>108</v>
      </c>
      <c r="C1510" s="2">
        <v>44896.306944444441</v>
      </c>
      <c r="D1510" s="20" t="s">
        <v>80</v>
      </c>
    </row>
    <row r="1511" spans="1:4" x14ac:dyDescent="0.25">
      <c r="A1511">
        <v>21</v>
      </c>
      <c r="B1511" s="20" t="s">
        <v>109</v>
      </c>
      <c r="C1511" s="2">
        <v>44896.306944444441</v>
      </c>
      <c r="D1511" s="20" t="s">
        <v>80</v>
      </c>
    </row>
    <row r="1512" spans="1:4" x14ac:dyDescent="0.25">
      <c r="A1512">
        <v>22</v>
      </c>
      <c r="B1512" s="20" t="s">
        <v>110</v>
      </c>
      <c r="C1512" s="2">
        <v>44896.306944444441</v>
      </c>
      <c r="D1512" s="20" t="s">
        <v>80</v>
      </c>
    </row>
    <row r="1513" spans="1:4" x14ac:dyDescent="0.25">
      <c r="A1513">
        <v>23</v>
      </c>
      <c r="B1513" s="20" t="s">
        <v>111</v>
      </c>
      <c r="C1513" s="2">
        <v>44896.306944444441</v>
      </c>
      <c r="D1513" s="20" t="s">
        <v>80</v>
      </c>
    </row>
    <row r="1514" spans="1:4" x14ac:dyDescent="0.25">
      <c r="A1514">
        <v>5</v>
      </c>
      <c r="B1514" s="20" t="s">
        <v>96</v>
      </c>
      <c r="C1514" s="2">
        <v>44896.315972222219</v>
      </c>
      <c r="D1514" s="20" t="s">
        <v>81</v>
      </c>
    </row>
    <row r="1515" spans="1:4" x14ac:dyDescent="0.25">
      <c r="A1515">
        <v>5</v>
      </c>
      <c r="B1515" s="20" t="s">
        <v>96</v>
      </c>
      <c r="C1515" s="2">
        <v>44896.326388888891</v>
      </c>
      <c r="D1515" s="20" t="s">
        <v>81</v>
      </c>
    </row>
    <row r="1516" spans="1:4" x14ac:dyDescent="0.25">
      <c r="A1516">
        <v>24</v>
      </c>
      <c r="B1516" s="20" t="s">
        <v>28</v>
      </c>
      <c r="C1516" s="2">
        <v>44896.326388888891</v>
      </c>
      <c r="D1516" s="20" t="s">
        <v>81</v>
      </c>
    </row>
    <row r="1517" spans="1:4" x14ac:dyDescent="0.25">
      <c r="A1517">
        <v>25</v>
      </c>
      <c r="B1517" s="20" t="s">
        <v>41</v>
      </c>
      <c r="C1517" s="2">
        <v>44896.326388888891</v>
      </c>
      <c r="D1517" s="20" t="s">
        <v>81</v>
      </c>
    </row>
    <row r="1518" spans="1:4" x14ac:dyDescent="0.25">
      <c r="A1518">
        <v>26</v>
      </c>
      <c r="B1518" s="20" t="s">
        <v>159</v>
      </c>
      <c r="C1518" s="2">
        <v>44896.326388888891</v>
      </c>
      <c r="D1518" s="20" t="s">
        <v>81</v>
      </c>
    </row>
    <row r="1519" spans="1:4" x14ac:dyDescent="0.25">
      <c r="A1519">
        <v>28</v>
      </c>
      <c r="B1519" s="20" t="s">
        <v>160</v>
      </c>
      <c r="C1519" s="2">
        <v>44896.326388888891</v>
      </c>
      <c r="D1519" s="20" t="s">
        <v>81</v>
      </c>
    </row>
    <row r="1520" spans="1:4" x14ac:dyDescent="0.25">
      <c r="A1520">
        <v>35</v>
      </c>
      <c r="B1520" s="20" t="s">
        <v>166</v>
      </c>
      <c r="C1520" s="2">
        <v>44896.326388888891</v>
      </c>
      <c r="D1520" s="20" t="s">
        <v>81</v>
      </c>
    </row>
    <row r="1521" spans="1:4" x14ac:dyDescent="0.25">
      <c r="A1521">
        <v>5</v>
      </c>
      <c r="B1521" s="20" t="s">
        <v>96</v>
      </c>
      <c r="C1521" s="2">
        <v>44896.336805555555</v>
      </c>
      <c r="D1521" s="20" t="s">
        <v>81</v>
      </c>
    </row>
    <row r="1522" spans="1:4" x14ac:dyDescent="0.25">
      <c r="A1522">
        <v>5</v>
      </c>
      <c r="B1522" s="20" t="s">
        <v>96</v>
      </c>
      <c r="C1522" s="2">
        <v>44896.347222222219</v>
      </c>
      <c r="D1522" s="20" t="s">
        <v>81</v>
      </c>
    </row>
    <row r="1523" spans="1:4" x14ac:dyDescent="0.25">
      <c r="A1523">
        <v>5</v>
      </c>
      <c r="B1523" s="20" t="s">
        <v>96</v>
      </c>
      <c r="C1523" s="2">
        <v>44896.357638888891</v>
      </c>
      <c r="D1523" s="20" t="s">
        <v>81</v>
      </c>
    </row>
    <row r="1524" spans="1:4" x14ac:dyDescent="0.25">
      <c r="A1524">
        <v>5</v>
      </c>
      <c r="B1524" s="20" t="s">
        <v>96</v>
      </c>
      <c r="C1524" s="2">
        <v>44896.368055555555</v>
      </c>
      <c r="D1524" s="20" t="s">
        <v>81</v>
      </c>
    </row>
    <row r="1525" spans="1:4" x14ac:dyDescent="0.25">
      <c r="A1525">
        <v>1</v>
      </c>
      <c r="B1525" s="20" t="s">
        <v>6</v>
      </c>
      <c r="C1525" s="2">
        <v>44896.378472222219</v>
      </c>
      <c r="D1525" s="20" t="s">
        <v>81</v>
      </c>
    </row>
    <row r="1526" spans="1:4" x14ac:dyDescent="0.25">
      <c r="A1526">
        <v>5</v>
      </c>
      <c r="B1526" s="20" t="s">
        <v>167</v>
      </c>
      <c r="C1526" s="2">
        <v>44896.378472222219</v>
      </c>
      <c r="D1526" s="20" t="s">
        <v>81</v>
      </c>
    </row>
    <row r="1527" spans="1:4" x14ac:dyDescent="0.25">
      <c r="A1527">
        <v>5</v>
      </c>
      <c r="B1527" s="20" t="s">
        <v>167</v>
      </c>
      <c r="C1527" s="2">
        <v>44896.388888888891</v>
      </c>
      <c r="D1527" s="20" t="s">
        <v>81</v>
      </c>
    </row>
    <row r="1528" spans="1:4" x14ac:dyDescent="0.25">
      <c r="A1528">
        <v>5</v>
      </c>
      <c r="B1528" s="20" t="s">
        <v>167</v>
      </c>
      <c r="C1528" s="2">
        <v>44896.399305555555</v>
      </c>
      <c r="D1528" s="20" t="s">
        <v>81</v>
      </c>
    </row>
    <row r="1529" spans="1:4" x14ac:dyDescent="0.25">
      <c r="A1529">
        <v>5</v>
      </c>
      <c r="B1529" s="20" t="s">
        <v>167</v>
      </c>
      <c r="C1529" s="2">
        <v>44896.409722222219</v>
      </c>
      <c r="D1529" s="20" t="s">
        <v>81</v>
      </c>
    </row>
    <row r="1530" spans="1:4" x14ac:dyDescent="0.25">
      <c r="A1530">
        <v>5</v>
      </c>
      <c r="B1530" s="20" t="s">
        <v>167</v>
      </c>
      <c r="C1530" s="2">
        <v>44896.420138888891</v>
      </c>
      <c r="D1530" s="20" t="s">
        <v>81</v>
      </c>
    </row>
    <row r="1531" spans="1:4" x14ac:dyDescent="0.25">
      <c r="A1531">
        <v>5</v>
      </c>
      <c r="B1531" s="20" t="s">
        <v>167</v>
      </c>
      <c r="C1531" s="2">
        <v>44896.430555555555</v>
      </c>
      <c r="D1531" s="20" t="s">
        <v>81</v>
      </c>
    </row>
    <row r="1532" spans="1:4" x14ac:dyDescent="0.25">
      <c r="A1532">
        <v>5</v>
      </c>
      <c r="B1532" s="20" t="s">
        <v>167</v>
      </c>
      <c r="C1532" s="2">
        <v>44896.440972222219</v>
      </c>
      <c r="D1532" s="20" t="s">
        <v>81</v>
      </c>
    </row>
    <row r="1533" spans="1:4" x14ac:dyDescent="0.25">
      <c r="A1533">
        <v>5</v>
      </c>
      <c r="B1533" s="20" t="s">
        <v>167</v>
      </c>
      <c r="C1533" s="2">
        <v>44896.451388888891</v>
      </c>
      <c r="D1533" s="20" t="s">
        <v>81</v>
      </c>
    </row>
    <row r="1534" spans="1:4" x14ac:dyDescent="0.25">
      <c r="A1534">
        <v>5</v>
      </c>
      <c r="B1534" s="20" t="s">
        <v>96</v>
      </c>
      <c r="C1534" s="2">
        <v>44897.284722222219</v>
      </c>
      <c r="D1534" s="20" t="s">
        <v>81</v>
      </c>
    </row>
    <row r="1535" spans="1:4" x14ac:dyDescent="0.25">
      <c r="A1535">
        <v>26</v>
      </c>
      <c r="B1535" s="20" t="s">
        <v>159</v>
      </c>
      <c r="C1535" s="2">
        <v>44897.284722222219</v>
      </c>
      <c r="D1535" s="20" t="s">
        <v>81</v>
      </c>
    </row>
    <row r="1536" spans="1:4" x14ac:dyDescent="0.25">
      <c r="A1536">
        <v>28</v>
      </c>
      <c r="B1536" s="20" t="s">
        <v>160</v>
      </c>
      <c r="C1536" s="2">
        <v>44897.284722222219</v>
      </c>
      <c r="D1536" s="20" t="s">
        <v>81</v>
      </c>
    </row>
    <row r="1537" spans="1:4" x14ac:dyDescent="0.25">
      <c r="A1537">
        <v>29</v>
      </c>
      <c r="B1537" s="20" t="s">
        <v>161</v>
      </c>
      <c r="C1537" s="2">
        <v>44897.284722222219</v>
      </c>
      <c r="D1537" s="20" t="s">
        <v>81</v>
      </c>
    </row>
    <row r="1538" spans="1:4" x14ac:dyDescent="0.25">
      <c r="A1538">
        <v>31</v>
      </c>
      <c r="B1538" s="20" t="s">
        <v>163</v>
      </c>
      <c r="C1538" s="2">
        <v>44897.284722222219</v>
      </c>
      <c r="D1538" s="20" t="s">
        <v>81</v>
      </c>
    </row>
    <row r="1539" spans="1:4" x14ac:dyDescent="0.25">
      <c r="A1539">
        <v>5</v>
      </c>
      <c r="B1539" s="20" t="s">
        <v>96</v>
      </c>
      <c r="C1539" s="2">
        <v>44897.295138888891</v>
      </c>
      <c r="D1539" s="20" t="s">
        <v>81</v>
      </c>
    </row>
    <row r="1540" spans="1:4" x14ac:dyDescent="0.25">
      <c r="A1540">
        <v>7</v>
      </c>
      <c r="B1540" s="20" t="s">
        <v>59</v>
      </c>
      <c r="C1540" s="2">
        <v>44897.295138888891</v>
      </c>
      <c r="D1540" s="20" t="s">
        <v>81</v>
      </c>
    </row>
    <row r="1541" spans="1:4" x14ac:dyDescent="0.25">
      <c r="A1541">
        <v>9</v>
      </c>
      <c r="B1541" s="20" t="s">
        <v>61</v>
      </c>
      <c r="C1541" s="2">
        <v>44897.295138888891</v>
      </c>
      <c r="D1541" s="20" t="s">
        <v>81</v>
      </c>
    </row>
    <row r="1542" spans="1:4" x14ac:dyDescent="0.25">
      <c r="A1542">
        <v>10</v>
      </c>
      <c r="B1542" s="20" t="s">
        <v>62</v>
      </c>
      <c r="C1542" s="2">
        <v>44897.295138888891</v>
      </c>
      <c r="D1542" s="20" t="s">
        <v>81</v>
      </c>
    </row>
    <row r="1543" spans="1:4" x14ac:dyDescent="0.25">
      <c r="A1543">
        <v>11</v>
      </c>
      <c r="B1543" s="20" t="s">
        <v>63</v>
      </c>
      <c r="C1543" s="2">
        <v>44897.295138888891</v>
      </c>
      <c r="D1543" s="20" t="s">
        <v>81</v>
      </c>
    </row>
    <row r="1544" spans="1:4" x14ac:dyDescent="0.25">
      <c r="A1544">
        <v>12</v>
      </c>
      <c r="B1544" s="20" t="s">
        <v>64</v>
      </c>
      <c r="C1544" s="2">
        <v>44897.295138888891</v>
      </c>
      <c r="D1544" s="20" t="s">
        <v>81</v>
      </c>
    </row>
    <row r="1545" spans="1:4" x14ac:dyDescent="0.25">
      <c r="A1545">
        <v>13</v>
      </c>
      <c r="B1545" s="20" t="s">
        <v>65</v>
      </c>
      <c r="C1545" s="2">
        <v>44897.295138888891</v>
      </c>
      <c r="D1545" s="20" t="s">
        <v>81</v>
      </c>
    </row>
    <row r="1546" spans="1:4" x14ac:dyDescent="0.25">
      <c r="A1546">
        <v>14</v>
      </c>
      <c r="B1546" s="20" t="s">
        <v>66</v>
      </c>
      <c r="C1546" s="2">
        <v>44897.295138888891</v>
      </c>
      <c r="D1546" s="20" t="s">
        <v>81</v>
      </c>
    </row>
    <row r="1547" spans="1:4" x14ac:dyDescent="0.25">
      <c r="A1547">
        <v>15</v>
      </c>
      <c r="B1547" s="20" t="s">
        <v>157</v>
      </c>
      <c r="C1547" s="2">
        <v>44897.295138888891</v>
      </c>
      <c r="D1547" s="20" t="s">
        <v>81</v>
      </c>
    </row>
    <row r="1548" spans="1:4" x14ac:dyDescent="0.25">
      <c r="A1548">
        <v>16</v>
      </c>
      <c r="B1548" s="20" t="s">
        <v>68</v>
      </c>
      <c r="C1548" s="2">
        <v>44897.295138888891</v>
      </c>
      <c r="D1548" s="20" t="s">
        <v>81</v>
      </c>
    </row>
    <row r="1549" spans="1:4" x14ac:dyDescent="0.25">
      <c r="A1549">
        <v>30</v>
      </c>
      <c r="B1549" s="20" t="s">
        <v>162</v>
      </c>
      <c r="C1549" s="2">
        <v>44897.295138888891</v>
      </c>
      <c r="D1549" s="20" t="s">
        <v>81</v>
      </c>
    </row>
    <row r="1550" spans="1:4" x14ac:dyDescent="0.25">
      <c r="A1550">
        <v>32</v>
      </c>
      <c r="B1550" s="20" t="s">
        <v>164</v>
      </c>
      <c r="C1550" s="2">
        <v>44897.295138888891</v>
      </c>
      <c r="D1550" s="20" t="s">
        <v>81</v>
      </c>
    </row>
    <row r="1551" spans="1:4" x14ac:dyDescent="0.25">
      <c r="A1551">
        <v>33</v>
      </c>
      <c r="B1551" s="20" t="s">
        <v>165</v>
      </c>
      <c r="C1551" s="2">
        <v>44897.295138888891</v>
      </c>
      <c r="D1551" s="20" t="s">
        <v>81</v>
      </c>
    </row>
    <row r="1552" spans="1:4" x14ac:dyDescent="0.25">
      <c r="A1552">
        <v>34</v>
      </c>
      <c r="B1552" s="20" t="s">
        <v>67</v>
      </c>
      <c r="C1552" s="2">
        <v>44897.295138888891</v>
      </c>
      <c r="D1552" s="20" t="s">
        <v>81</v>
      </c>
    </row>
    <row r="1553" spans="1:4" x14ac:dyDescent="0.25">
      <c r="A1553">
        <v>3</v>
      </c>
      <c r="B1553" s="20" t="s">
        <v>39</v>
      </c>
      <c r="C1553" s="2">
        <v>44897.306250000001</v>
      </c>
      <c r="D1553" s="20" t="s">
        <v>80</v>
      </c>
    </row>
    <row r="1554" spans="1:4" x14ac:dyDescent="0.25">
      <c r="A1554">
        <v>5</v>
      </c>
      <c r="B1554" s="20" t="s">
        <v>96</v>
      </c>
      <c r="C1554" s="2">
        <v>44897.306250000001</v>
      </c>
      <c r="D1554" s="20" t="s">
        <v>80</v>
      </c>
    </row>
    <row r="1555" spans="1:4" x14ac:dyDescent="0.25">
      <c r="A1555">
        <v>17</v>
      </c>
      <c r="B1555" s="20" t="s">
        <v>105</v>
      </c>
      <c r="C1555" s="2">
        <v>44897.306250000001</v>
      </c>
      <c r="D1555" s="20" t="s">
        <v>80</v>
      </c>
    </row>
    <row r="1556" spans="1:4" x14ac:dyDescent="0.25">
      <c r="A1556">
        <v>18</v>
      </c>
      <c r="B1556" s="20" t="s">
        <v>106</v>
      </c>
      <c r="C1556" s="2">
        <v>44897.306250000001</v>
      </c>
      <c r="D1556" s="20" t="s">
        <v>80</v>
      </c>
    </row>
    <row r="1557" spans="1:4" x14ac:dyDescent="0.25">
      <c r="A1557">
        <v>19</v>
      </c>
      <c r="B1557" s="20" t="s">
        <v>107</v>
      </c>
      <c r="C1557" s="2">
        <v>44897.306250000001</v>
      </c>
      <c r="D1557" s="20" t="s">
        <v>80</v>
      </c>
    </row>
    <row r="1558" spans="1:4" x14ac:dyDescent="0.25">
      <c r="A1558">
        <v>20</v>
      </c>
      <c r="B1558" s="20" t="s">
        <v>108</v>
      </c>
      <c r="C1558" s="2">
        <v>44897.306250000001</v>
      </c>
      <c r="D1558" s="20" t="s">
        <v>80</v>
      </c>
    </row>
    <row r="1559" spans="1:4" x14ac:dyDescent="0.25">
      <c r="A1559">
        <v>21</v>
      </c>
      <c r="B1559" s="20" t="s">
        <v>109</v>
      </c>
      <c r="C1559" s="2">
        <v>44897.306250000001</v>
      </c>
      <c r="D1559" s="20" t="s">
        <v>80</v>
      </c>
    </row>
    <row r="1560" spans="1:4" x14ac:dyDescent="0.25">
      <c r="A1560">
        <v>22</v>
      </c>
      <c r="B1560" s="20" t="s">
        <v>110</v>
      </c>
      <c r="C1560" s="2">
        <v>44897.306250000001</v>
      </c>
      <c r="D1560" s="20" t="s">
        <v>80</v>
      </c>
    </row>
    <row r="1561" spans="1:4" x14ac:dyDescent="0.25">
      <c r="A1561">
        <v>23</v>
      </c>
      <c r="B1561" s="20" t="s">
        <v>111</v>
      </c>
      <c r="C1561" s="2">
        <v>44897.306250000001</v>
      </c>
      <c r="D1561" s="20" t="s">
        <v>80</v>
      </c>
    </row>
    <row r="1562" spans="1:4" x14ac:dyDescent="0.25">
      <c r="A1562">
        <v>5</v>
      </c>
      <c r="B1562" s="20" t="s">
        <v>96</v>
      </c>
      <c r="C1562" s="2">
        <v>44897.315972222219</v>
      </c>
      <c r="D1562" s="20" t="s">
        <v>81</v>
      </c>
    </row>
    <row r="1563" spans="1:4" x14ac:dyDescent="0.25">
      <c r="A1563">
        <v>24</v>
      </c>
      <c r="B1563" s="20" t="s">
        <v>28</v>
      </c>
      <c r="C1563" s="2">
        <v>44897.315972222219</v>
      </c>
      <c r="D1563" s="20" t="s">
        <v>81</v>
      </c>
    </row>
    <row r="1564" spans="1:4" x14ac:dyDescent="0.25">
      <c r="A1564">
        <v>25</v>
      </c>
      <c r="B1564" s="20" t="s">
        <v>41</v>
      </c>
      <c r="C1564" s="2">
        <v>44897.315972222219</v>
      </c>
      <c r="D1564" s="20" t="s">
        <v>81</v>
      </c>
    </row>
    <row r="1565" spans="1:4" x14ac:dyDescent="0.25">
      <c r="A1565">
        <v>27</v>
      </c>
      <c r="B1565" s="20" t="s">
        <v>60</v>
      </c>
      <c r="C1565" s="2">
        <v>44897.315972222219</v>
      </c>
      <c r="D1565" s="20" t="s">
        <v>81</v>
      </c>
    </row>
    <row r="1566" spans="1:4" x14ac:dyDescent="0.25">
      <c r="A1566">
        <v>35</v>
      </c>
      <c r="B1566" s="20" t="s">
        <v>166</v>
      </c>
      <c r="C1566" s="2">
        <v>44897.315972222219</v>
      </c>
      <c r="D1566" s="20" t="s">
        <v>81</v>
      </c>
    </row>
    <row r="1567" spans="1:4" x14ac:dyDescent="0.25">
      <c r="A1567">
        <v>5</v>
      </c>
      <c r="B1567" s="20" t="s">
        <v>96</v>
      </c>
      <c r="C1567" s="2">
        <v>44897.326388888891</v>
      </c>
      <c r="D1567" s="20" t="s">
        <v>81</v>
      </c>
    </row>
    <row r="1568" spans="1:4" x14ac:dyDescent="0.25">
      <c r="A1568">
        <v>5</v>
      </c>
      <c r="B1568" s="20" t="s">
        <v>96</v>
      </c>
      <c r="C1568" s="2">
        <v>44897.336805555555</v>
      </c>
      <c r="D1568" s="20" t="s">
        <v>81</v>
      </c>
    </row>
    <row r="1569" spans="1:4" x14ac:dyDescent="0.25">
      <c r="A1569">
        <v>5</v>
      </c>
      <c r="B1569" s="20" t="s">
        <v>96</v>
      </c>
      <c r="C1569" s="2">
        <v>44897.347222222219</v>
      </c>
      <c r="D1569" s="20" t="s">
        <v>81</v>
      </c>
    </row>
    <row r="1570" spans="1:4" x14ac:dyDescent="0.25">
      <c r="A1570">
        <v>5</v>
      </c>
      <c r="B1570" s="20" t="s">
        <v>96</v>
      </c>
      <c r="C1570" s="2">
        <v>44897.357638888891</v>
      </c>
      <c r="D1570" s="20" t="s">
        <v>81</v>
      </c>
    </row>
    <row r="1571" spans="1:4" x14ac:dyDescent="0.25">
      <c r="A1571">
        <v>5</v>
      </c>
      <c r="B1571" s="20" t="s">
        <v>96</v>
      </c>
      <c r="C1571" s="2">
        <v>44897.368055555555</v>
      </c>
      <c r="D1571" s="20" t="s">
        <v>81</v>
      </c>
    </row>
    <row r="1572" spans="1:4" x14ac:dyDescent="0.25">
      <c r="A1572">
        <v>1</v>
      </c>
      <c r="B1572" s="20" t="s">
        <v>6</v>
      </c>
      <c r="C1572" s="2">
        <v>44897.378472222219</v>
      </c>
      <c r="D1572" s="20" t="s">
        <v>81</v>
      </c>
    </row>
    <row r="1573" spans="1:4" x14ac:dyDescent="0.25">
      <c r="A1573">
        <v>5</v>
      </c>
      <c r="B1573" s="20" t="s">
        <v>167</v>
      </c>
      <c r="C1573" s="2">
        <v>44897.378472222219</v>
      </c>
      <c r="D1573" s="20" t="s">
        <v>81</v>
      </c>
    </row>
    <row r="1574" spans="1:4" x14ac:dyDescent="0.25">
      <c r="A1574">
        <v>5</v>
      </c>
      <c r="B1574" s="20" t="s">
        <v>167</v>
      </c>
      <c r="C1574" s="2">
        <v>44897.388888888891</v>
      </c>
      <c r="D1574" s="20" t="s">
        <v>81</v>
      </c>
    </row>
    <row r="1575" spans="1:4" x14ac:dyDescent="0.25">
      <c r="A1575">
        <v>5</v>
      </c>
      <c r="B1575" s="20" t="s">
        <v>167</v>
      </c>
      <c r="C1575" s="2">
        <v>44897.399305555555</v>
      </c>
      <c r="D1575" s="20" t="s">
        <v>81</v>
      </c>
    </row>
    <row r="1576" spans="1:4" x14ac:dyDescent="0.25">
      <c r="A1576">
        <v>5</v>
      </c>
      <c r="B1576" s="20" t="s">
        <v>167</v>
      </c>
      <c r="C1576" s="2">
        <v>44897.409722222219</v>
      </c>
      <c r="D1576" s="20" t="s">
        <v>81</v>
      </c>
    </row>
    <row r="1577" spans="1:4" x14ac:dyDescent="0.25">
      <c r="A1577">
        <v>5</v>
      </c>
      <c r="B1577" s="20" t="s">
        <v>167</v>
      </c>
      <c r="C1577" s="2">
        <v>44897.420138888891</v>
      </c>
      <c r="D1577" s="20" t="s">
        <v>81</v>
      </c>
    </row>
    <row r="1578" spans="1:4" x14ac:dyDescent="0.25">
      <c r="A1578">
        <v>5</v>
      </c>
      <c r="B1578" s="20" t="s">
        <v>167</v>
      </c>
      <c r="C1578" s="2">
        <v>44897.430555555555</v>
      </c>
      <c r="D1578" s="20" t="s">
        <v>81</v>
      </c>
    </row>
    <row r="1579" spans="1:4" x14ac:dyDescent="0.25">
      <c r="A1579">
        <v>5</v>
      </c>
      <c r="B1579" s="20" t="s">
        <v>167</v>
      </c>
      <c r="C1579" s="2">
        <v>44897.440972222219</v>
      </c>
      <c r="D1579" s="20" t="s">
        <v>81</v>
      </c>
    </row>
    <row r="1580" spans="1:4" x14ac:dyDescent="0.25">
      <c r="A1580">
        <v>5</v>
      </c>
      <c r="B1580" s="20" t="s">
        <v>167</v>
      </c>
      <c r="C1580" s="2">
        <v>44897.451388888891</v>
      </c>
      <c r="D1580" s="20" t="s">
        <v>81</v>
      </c>
    </row>
    <row r="1581" spans="1:4" x14ac:dyDescent="0.25">
      <c r="A1581">
        <v>5</v>
      </c>
      <c r="B1581" s="20" t="s">
        <v>96</v>
      </c>
      <c r="C1581" s="2">
        <v>44898.284722222219</v>
      </c>
      <c r="D1581" s="20" t="s">
        <v>81</v>
      </c>
    </row>
    <row r="1582" spans="1:4" x14ac:dyDescent="0.25">
      <c r="A1582">
        <v>24</v>
      </c>
      <c r="B1582" s="20" t="s">
        <v>28</v>
      </c>
      <c r="C1582" s="2">
        <v>44898.284722222219</v>
      </c>
      <c r="D1582" s="20" t="s">
        <v>81</v>
      </c>
    </row>
    <row r="1583" spans="1:4" x14ac:dyDescent="0.25">
      <c r="A1583">
        <v>26</v>
      </c>
      <c r="B1583" s="20" t="s">
        <v>159</v>
      </c>
      <c r="C1583" s="2">
        <v>44898.284722222219</v>
      </c>
      <c r="D1583" s="20" t="s">
        <v>81</v>
      </c>
    </row>
    <row r="1584" spans="1:4" x14ac:dyDescent="0.25">
      <c r="A1584">
        <v>28</v>
      </c>
      <c r="B1584" s="20" t="s">
        <v>160</v>
      </c>
      <c r="C1584" s="2">
        <v>44898.284722222219</v>
      </c>
      <c r="D1584" s="20" t="s">
        <v>81</v>
      </c>
    </row>
    <row r="1585" spans="1:4" x14ac:dyDescent="0.25">
      <c r="A1585">
        <v>31</v>
      </c>
      <c r="B1585" s="20" t="s">
        <v>163</v>
      </c>
      <c r="C1585" s="2">
        <v>44898.284722222219</v>
      </c>
      <c r="D1585" s="20" t="s">
        <v>81</v>
      </c>
    </row>
    <row r="1586" spans="1:4" x14ac:dyDescent="0.25">
      <c r="A1586">
        <v>5</v>
      </c>
      <c r="B1586" s="20" t="s">
        <v>96</v>
      </c>
      <c r="C1586" s="2">
        <v>44898.295138888891</v>
      </c>
      <c r="D1586" s="20" t="s">
        <v>81</v>
      </c>
    </row>
    <row r="1587" spans="1:4" x14ac:dyDescent="0.25">
      <c r="A1587">
        <v>7</v>
      </c>
      <c r="B1587" s="20" t="s">
        <v>59</v>
      </c>
      <c r="C1587" s="2">
        <v>44898.295138888891</v>
      </c>
      <c r="D1587" s="20" t="s">
        <v>81</v>
      </c>
    </row>
    <row r="1588" spans="1:4" x14ac:dyDescent="0.25">
      <c r="A1588">
        <v>9</v>
      </c>
      <c r="B1588" s="20" t="s">
        <v>61</v>
      </c>
      <c r="C1588" s="2">
        <v>44898.295138888891</v>
      </c>
      <c r="D1588" s="20" t="s">
        <v>81</v>
      </c>
    </row>
    <row r="1589" spans="1:4" x14ac:dyDescent="0.25">
      <c r="A1589">
        <v>10</v>
      </c>
      <c r="B1589" s="20" t="s">
        <v>62</v>
      </c>
      <c r="C1589" s="2">
        <v>44898.295138888891</v>
      </c>
      <c r="D1589" s="20" t="s">
        <v>81</v>
      </c>
    </row>
    <row r="1590" spans="1:4" x14ac:dyDescent="0.25">
      <c r="A1590">
        <v>11</v>
      </c>
      <c r="B1590" s="20" t="s">
        <v>63</v>
      </c>
      <c r="C1590" s="2">
        <v>44898.295138888891</v>
      </c>
      <c r="D1590" s="20" t="s">
        <v>81</v>
      </c>
    </row>
    <row r="1591" spans="1:4" x14ac:dyDescent="0.25">
      <c r="A1591">
        <v>12</v>
      </c>
      <c r="B1591" s="20" t="s">
        <v>64</v>
      </c>
      <c r="C1591" s="2">
        <v>44898.295138888891</v>
      </c>
      <c r="D1591" s="20" t="s">
        <v>81</v>
      </c>
    </row>
    <row r="1592" spans="1:4" x14ac:dyDescent="0.25">
      <c r="A1592">
        <v>13</v>
      </c>
      <c r="B1592" s="20" t="s">
        <v>65</v>
      </c>
      <c r="C1592" s="2">
        <v>44898.295138888891</v>
      </c>
      <c r="D1592" s="20" t="s">
        <v>81</v>
      </c>
    </row>
    <row r="1593" spans="1:4" x14ac:dyDescent="0.25">
      <c r="A1593">
        <v>14</v>
      </c>
      <c r="B1593" s="20" t="s">
        <v>66</v>
      </c>
      <c r="C1593" s="2">
        <v>44898.295138888891</v>
      </c>
      <c r="D1593" s="20" t="s">
        <v>81</v>
      </c>
    </row>
    <row r="1594" spans="1:4" x14ac:dyDescent="0.25">
      <c r="A1594">
        <v>15</v>
      </c>
      <c r="B1594" s="20" t="s">
        <v>157</v>
      </c>
      <c r="C1594" s="2">
        <v>44898.295138888891</v>
      </c>
      <c r="D1594" s="20" t="s">
        <v>81</v>
      </c>
    </row>
    <row r="1595" spans="1:4" x14ac:dyDescent="0.25">
      <c r="A1595">
        <v>16</v>
      </c>
      <c r="B1595" s="20" t="s">
        <v>68</v>
      </c>
      <c r="C1595" s="2">
        <v>44898.295138888891</v>
      </c>
      <c r="D1595" s="20" t="s">
        <v>81</v>
      </c>
    </row>
    <row r="1596" spans="1:4" x14ac:dyDescent="0.25">
      <c r="A1596">
        <v>34</v>
      </c>
      <c r="B1596" s="20" t="s">
        <v>67</v>
      </c>
      <c r="C1596" s="2">
        <v>44898.295138888891</v>
      </c>
      <c r="D1596" s="20" t="s">
        <v>81</v>
      </c>
    </row>
    <row r="1597" spans="1:4" x14ac:dyDescent="0.25">
      <c r="A1597">
        <v>35</v>
      </c>
      <c r="B1597" s="20" t="s">
        <v>166</v>
      </c>
      <c r="C1597" s="2">
        <v>44898.295138888891</v>
      </c>
      <c r="D1597" s="20" t="s">
        <v>81</v>
      </c>
    </row>
    <row r="1598" spans="1:4" x14ac:dyDescent="0.25">
      <c r="A1598">
        <v>5</v>
      </c>
      <c r="B1598" s="20" t="s">
        <v>96</v>
      </c>
      <c r="C1598" s="2">
        <v>44898.305555555555</v>
      </c>
      <c r="D1598" s="20" t="s">
        <v>81</v>
      </c>
    </row>
    <row r="1599" spans="1:4" x14ac:dyDescent="0.25">
      <c r="A1599">
        <v>3</v>
      </c>
      <c r="B1599" s="20" t="s">
        <v>39</v>
      </c>
      <c r="C1599" s="2">
        <v>44898.306250000001</v>
      </c>
      <c r="D1599" s="20" t="s">
        <v>80</v>
      </c>
    </row>
    <row r="1600" spans="1:4" x14ac:dyDescent="0.25">
      <c r="A1600">
        <v>5</v>
      </c>
      <c r="B1600" s="20" t="s">
        <v>96</v>
      </c>
      <c r="C1600" s="2">
        <v>44898.306250000001</v>
      </c>
      <c r="D1600" s="20" t="s">
        <v>80</v>
      </c>
    </row>
    <row r="1601" spans="1:4" x14ac:dyDescent="0.25">
      <c r="A1601">
        <v>17</v>
      </c>
      <c r="B1601" s="20" t="s">
        <v>105</v>
      </c>
      <c r="C1601" s="2">
        <v>44898.306250000001</v>
      </c>
      <c r="D1601" s="20" t="s">
        <v>80</v>
      </c>
    </row>
    <row r="1602" spans="1:4" x14ac:dyDescent="0.25">
      <c r="A1602">
        <v>18</v>
      </c>
      <c r="B1602" s="20" t="s">
        <v>106</v>
      </c>
      <c r="C1602" s="2">
        <v>44898.306250000001</v>
      </c>
      <c r="D1602" s="20" t="s">
        <v>80</v>
      </c>
    </row>
    <row r="1603" spans="1:4" x14ac:dyDescent="0.25">
      <c r="A1603">
        <v>19</v>
      </c>
      <c r="B1603" s="20" t="s">
        <v>107</v>
      </c>
      <c r="C1603" s="2">
        <v>44898.306250000001</v>
      </c>
      <c r="D1603" s="20" t="s">
        <v>80</v>
      </c>
    </row>
    <row r="1604" spans="1:4" x14ac:dyDescent="0.25">
      <c r="A1604">
        <v>20</v>
      </c>
      <c r="B1604" s="20" t="s">
        <v>108</v>
      </c>
      <c r="C1604" s="2">
        <v>44898.306250000001</v>
      </c>
      <c r="D1604" s="20" t="s">
        <v>80</v>
      </c>
    </row>
    <row r="1605" spans="1:4" x14ac:dyDescent="0.25">
      <c r="A1605">
        <v>21</v>
      </c>
      <c r="B1605" s="20" t="s">
        <v>109</v>
      </c>
      <c r="C1605" s="2">
        <v>44898.306250000001</v>
      </c>
      <c r="D1605" s="20" t="s">
        <v>80</v>
      </c>
    </row>
    <row r="1606" spans="1:4" x14ac:dyDescent="0.25">
      <c r="A1606">
        <v>22</v>
      </c>
      <c r="B1606" s="20" t="s">
        <v>110</v>
      </c>
      <c r="C1606" s="2">
        <v>44898.306250000001</v>
      </c>
      <c r="D1606" s="20" t="s">
        <v>80</v>
      </c>
    </row>
    <row r="1607" spans="1:4" x14ac:dyDescent="0.25">
      <c r="A1607">
        <v>23</v>
      </c>
      <c r="B1607" s="20" t="s">
        <v>111</v>
      </c>
      <c r="C1607" s="2">
        <v>44898.306250000001</v>
      </c>
      <c r="D1607" s="20" t="s">
        <v>80</v>
      </c>
    </row>
    <row r="1608" spans="1:4" x14ac:dyDescent="0.25">
      <c r="A1608">
        <v>5</v>
      </c>
      <c r="B1608" s="20" t="s">
        <v>96</v>
      </c>
      <c r="C1608" s="2">
        <v>44898.315972222219</v>
      </c>
      <c r="D1608" s="20" t="s">
        <v>81</v>
      </c>
    </row>
    <row r="1609" spans="1:4" x14ac:dyDescent="0.25">
      <c r="A1609">
        <v>5</v>
      </c>
      <c r="B1609" s="20" t="s">
        <v>96</v>
      </c>
      <c r="C1609" s="2">
        <v>44898.326388888891</v>
      </c>
      <c r="D1609" s="20" t="s">
        <v>81</v>
      </c>
    </row>
    <row r="1610" spans="1:4" x14ac:dyDescent="0.25">
      <c r="A1610">
        <v>25</v>
      </c>
      <c r="B1610" s="20" t="s">
        <v>41</v>
      </c>
      <c r="C1610" s="2">
        <v>44898.326388888891</v>
      </c>
      <c r="D1610" s="20" t="s">
        <v>81</v>
      </c>
    </row>
    <row r="1611" spans="1:4" x14ac:dyDescent="0.25">
      <c r="A1611">
        <v>30</v>
      </c>
      <c r="B1611" s="20" t="s">
        <v>162</v>
      </c>
      <c r="C1611" s="2">
        <v>44898.326388888891</v>
      </c>
      <c r="D1611" s="20" t="s">
        <v>81</v>
      </c>
    </row>
    <row r="1612" spans="1:4" x14ac:dyDescent="0.25">
      <c r="A1612">
        <v>5</v>
      </c>
      <c r="B1612" s="20" t="s">
        <v>96</v>
      </c>
      <c r="C1612" s="2">
        <v>44898.336805555555</v>
      </c>
      <c r="D1612" s="20" t="s">
        <v>81</v>
      </c>
    </row>
    <row r="1613" spans="1:4" x14ac:dyDescent="0.25">
      <c r="A1613">
        <v>27</v>
      </c>
      <c r="B1613" s="20" t="s">
        <v>60</v>
      </c>
      <c r="C1613" s="2">
        <v>44898.336805555555</v>
      </c>
      <c r="D1613" s="20" t="s">
        <v>81</v>
      </c>
    </row>
    <row r="1614" spans="1:4" x14ac:dyDescent="0.25">
      <c r="A1614">
        <v>29</v>
      </c>
      <c r="B1614" s="20" t="s">
        <v>161</v>
      </c>
      <c r="C1614" s="2">
        <v>44898.336805555555</v>
      </c>
      <c r="D1614" s="20" t="s">
        <v>81</v>
      </c>
    </row>
    <row r="1615" spans="1:4" x14ac:dyDescent="0.25">
      <c r="A1615">
        <v>32</v>
      </c>
      <c r="B1615" s="20" t="s">
        <v>164</v>
      </c>
      <c r="C1615" s="2">
        <v>44898.336805555555</v>
      </c>
      <c r="D1615" s="20" t="s">
        <v>81</v>
      </c>
    </row>
    <row r="1616" spans="1:4" x14ac:dyDescent="0.25">
      <c r="A1616">
        <v>33</v>
      </c>
      <c r="B1616" s="20" t="s">
        <v>165</v>
      </c>
      <c r="C1616" s="2">
        <v>44898.336805555555</v>
      </c>
      <c r="D1616" s="20" t="s">
        <v>81</v>
      </c>
    </row>
    <row r="1617" spans="1:4" x14ac:dyDescent="0.25">
      <c r="A1617">
        <v>5</v>
      </c>
      <c r="B1617" s="20" t="s">
        <v>96</v>
      </c>
      <c r="C1617" s="2">
        <v>44898.347222222219</v>
      </c>
      <c r="D1617" s="20" t="s">
        <v>81</v>
      </c>
    </row>
    <row r="1618" spans="1:4" x14ac:dyDescent="0.25">
      <c r="A1618">
        <v>5</v>
      </c>
      <c r="B1618" s="20" t="s">
        <v>96</v>
      </c>
      <c r="C1618" s="2">
        <v>44898.357638888891</v>
      </c>
      <c r="D1618" s="20" t="s">
        <v>81</v>
      </c>
    </row>
    <row r="1619" spans="1:4" x14ac:dyDescent="0.25">
      <c r="A1619">
        <v>5</v>
      </c>
      <c r="B1619" s="20" t="s">
        <v>96</v>
      </c>
      <c r="C1619" s="2">
        <v>44898.368055555555</v>
      </c>
      <c r="D1619" s="20" t="s">
        <v>81</v>
      </c>
    </row>
    <row r="1620" spans="1:4" x14ac:dyDescent="0.25">
      <c r="A1620">
        <v>5</v>
      </c>
      <c r="B1620" s="20" t="s">
        <v>96</v>
      </c>
      <c r="C1620" s="2">
        <v>44898.378472222219</v>
      </c>
      <c r="D1620" s="20" t="s">
        <v>81</v>
      </c>
    </row>
    <row r="1621" spans="1:4" x14ac:dyDescent="0.25">
      <c r="A1621">
        <v>1</v>
      </c>
      <c r="B1621" s="20" t="s">
        <v>6</v>
      </c>
      <c r="C1621" s="2">
        <v>44898.388888888891</v>
      </c>
      <c r="D1621" s="20" t="s">
        <v>81</v>
      </c>
    </row>
    <row r="1622" spans="1:4" x14ac:dyDescent="0.25">
      <c r="A1622">
        <v>5</v>
      </c>
      <c r="B1622" s="20" t="s">
        <v>167</v>
      </c>
      <c r="C1622" s="2">
        <v>44898.388888888891</v>
      </c>
      <c r="D1622" s="20" t="s">
        <v>81</v>
      </c>
    </row>
    <row r="1623" spans="1:4" x14ac:dyDescent="0.25">
      <c r="A1623">
        <v>5</v>
      </c>
      <c r="B1623" s="20" t="s">
        <v>167</v>
      </c>
      <c r="C1623" s="2">
        <v>44898.399305555555</v>
      </c>
      <c r="D1623" s="20" t="s">
        <v>81</v>
      </c>
    </row>
    <row r="1624" spans="1:4" x14ac:dyDescent="0.25">
      <c r="A1624">
        <v>5</v>
      </c>
      <c r="B1624" s="20" t="s">
        <v>167</v>
      </c>
      <c r="C1624" s="2">
        <v>44898.409722222219</v>
      </c>
      <c r="D1624" s="20" t="s">
        <v>81</v>
      </c>
    </row>
    <row r="1625" spans="1:4" x14ac:dyDescent="0.25">
      <c r="A1625">
        <v>5</v>
      </c>
      <c r="B1625" s="20" t="s">
        <v>167</v>
      </c>
      <c r="C1625" s="2">
        <v>44898.420138888891</v>
      </c>
      <c r="D1625" s="20" t="s">
        <v>81</v>
      </c>
    </row>
    <row r="1626" spans="1:4" x14ac:dyDescent="0.25">
      <c r="A1626">
        <v>5</v>
      </c>
      <c r="B1626" s="20" t="s">
        <v>167</v>
      </c>
      <c r="C1626" s="2">
        <v>44898.430555555555</v>
      </c>
      <c r="D1626" s="20" t="s">
        <v>81</v>
      </c>
    </row>
    <row r="1627" spans="1:4" x14ac:dyDescent="0.25">
      <c r="A1627">
        <v>5</v>
      </c>
      <c r="B1627" s="20" t="s">
        <v>167</v>
      </c>
      <c r="C1627" s="2">
        <v>44898.440972222219</v>
      </c>
      <c r="D1627" s="20" t="s">
        <v>81</v>
      </c>
    </row>
    <row r="1628" spans="1:4" x14ac:dyDescent="0.25">
      <c r="A1628">
        <v>5</v>
      </c>
      <c r="B1628" s="20" t="s">
        <v>167</v>
      </c>
      <c r="C1628" s="2">
        <v>44898.451388888891</v>
      </c>
      <c r="D1628" s="20" t="s">
        <v>81</v>
      </c>
    </row>
    <row r="1629" spans="1:4" x14ac:dyDescent="0.25">
      <c r="A1629">
        <v>5</v>
      </c>
      <c r="B1629" s="20" t="s">
        <v>96</v>
      </c>
      <c r="C1629" s="2">
        <v>44899.284722222219</v>
      </c>
      <c r="D1629" s="20" t="s">
        <v>81</v>
      </c>
    </row>
    <row r="1630" spans="1:4" x14ac:dyDescent="0.25">
      <c r="A1630">
        <v>27</v>
      </c>
      <c r="B1630" s="20" t="s">
        <v>60</v>
      </c>
      <c r="C1630" s="2">
        <v>44899.284722222219</v>
      </c>
      <c r="D1630" s="20" t="s">
        <v>81</v>
      </c>
    </row>
    <row r="1631" spans="1:4" x14ac:dyDescent="0.25">
      <c r="A1631">
        <v>28</v>
      </c>
      <c r="B1631" s="20" t="s">
        <v>160</v>
      </c>
      <c r="C1631" s="2">
        <v>44899.284722222219</v>
      </c>
      <c r="D1631" s="20" t="s">
        <v>81</v>
      </c>
    </row>
    <row r="1632" spans="1:4" x14ac:dyDescent="0.25">
      <c r="A1632">
        <v>29</v>
      </c>
      <c r="B1632" s="20" t="s">
        <v>161</v>
      </c>
      <c r="C1632" s="2">
        <v>44899.284722222219</v>
      </c>
      <c r="D1632" s="20" t="s">
        <v>81</v>
      </c>
    </row>
    <row r="1633" spans="1:4" x14ac:dyDescent="0.25">
      <c r="A1633">
        <v>31</v>
      </c>
      <c r="B1633" s="20" t="s">
        <v>163</v>
      </c>
      <c r="C1633" s="2">
        <v>44899.284722222219</v>
      </c>
      <c r="D1633" s="20" t="s">
        <v>81</v>
      </c>
    </row>
    <row r="1634" spans="1:4" x14ac:dyDescent="0.25">
      <c r="A1634">
        <v>5</v>
      </c>
      <c r="B1634" s="20" t="s">
        <v>96</v>
      </c>
      <c r="C1634" s="2">
        <v>44899.295138888891</v>
      </c>
      <c r="D1634" s="20" t="s">
        <v>81</v>
      </c>
    </row>
    <row r="1635" spans="1:4" x14ac:dyDescent="0.25">
      <c r="A1635">
        <v>7</v>
      </c>
      <c r="B1635" s="20" t="s">
        <v>59</v>
      </c>
      <c r="C1635" s="2">
        <v>44899.295138888891</v>
      </c>
      <c r="D1635" s="20" t="s">
        <v>81</v>
      </c>
    </row>
    <row r="1636" spans="1:4" x14ac:dyDescent="0.25">
      <c r="A1636">
        <v>9</v>
      </c>
      <c r="B1636" s="20" t="s">
        <v>61</v>
      </c>
      <c r="C1636" s="2">
        <v>44899.295138888891</v>
      </c>
      <c r="D1636" s="20" t="s">
        <v>81</v>
      </c>
    </row>
    <row r="1637" spans="1:4" x14ac:dyDescent="0.25">
      <c r="A1637">
        <v>10</v>
      </c>
      <c r="B1637" s="20" t="s">
        <v>62</v>
      </c>
      <c r="C1637" s="2">
        <v>44899.295138888891</v>
      </c>
      <c r="D1637" s="20" t="s">
        <v>81</v>
      </c>
    </row>
    <row r="1638" spans="1:4" x14ac:dyDescent="0.25">
      <c r="A1638">
        <v>11</v>
      </c>
      <c r="B1638" s="20" t="s">
        <v>63</v>
      </c>
      <c r="C1638" s="2">
        <v>44899.295138888891</v>
      </c>
      <c r="D1638" s="20" t="s">
        <v>81</v>
      </c>
    </row>
    <row r="1639" spans="1:4" x14ac:dyDescent="0.25">
      <c r="A1639">
        <v>12</v>
      </c>
      <c r="B1639" s="20" t="s">
        <v>64</v>
      </c>
      <c r="C1639" s="2">
        <v>44899.295138888891</v>
      </c>
      <c r="D1639" s="20" t="s">
        <v>81</v>
      </c>
    </row>
    <row r="1640" spans="1:4" x14ac:dyDescent="0.25">
      <c r="A1640">
        <v>13</v>
      </c>
      <c r="B1640" s="20" t="s">
        <v>65</v>
      </c>
      <c r="C1640" s="2">
        <v>44899.295138888891</v>
      </c>
      <c r="D1640" s="20" t="s">
        <v>81</v>
      </c>
    </row>
    <row r="1641" spans="1:4" x14ac:dyDescent="0.25">
      <c r="A1641">
        <v>14</v>
      </c>
      <c r="B1641" s="20" t="s">
        <v>66</v>
      </c>
      <c r="C1641" s="2">
        <v>44899.295138888891</v>
      </c>
      <c r="D1641" s="20" t="s">
        <v>81</v>
      </c>
    </row>
    <row r="1642" spans="1:4" x14ac:dyDescent="0.25">
      <c r="A1642">
        <v>15</v>
      </c>
      <c r="B1642" s="20" t="s">
        <v>157</v>
      </c>
      <c r="C1642" s="2">
        <v>44899.295138888891</v>
      </c>
      <c r="D1642" s="20" t="s">
        <v>81</v>
      </c>
    </row>
    <row r="1643" spans="1:4" x14ac:dyDescent="0.25">
      <c r="A1643">
        <v>16</v>
      </c>
      <c r="B1643" s="20" t="s">
        <v>68</v>
      </c>
      <c r="C1643" s="2">
        <v>44899.295138888891</v>
      </c>
      <c r="D1643" s="20" t="s">
        <v>81</v>
      </c>
    </row>
    <row r="1644" spans="1:4" x14ac:dyDescent="0.25">
      <c r="A1644">
        <v>30</v>
      </c>
      <c r="B1644" s="20" t="s">
        <v>162</v>
      </c>
      <c r="C1644" s="2">
        <v>44899.295138888891</v>
      </c>
      <c r="D1644" s="20" t="s">
        <v>81</v>
      </c>
    </row>
    <row r="1645" spans="1:4" x14ac:dyDescent="0.25">
      <c r="A1645">
        <v>35</v>
      </c>
      <c r="B1645" s="20" t="s">
        <v>166</v>
      </c>
      <c r="C1645" s="2">
        <v>44899.295138888891</v>
      </c>
      <c r="D1645" s="20" t="s">
        <v>81</v>
      </c>
    </row>
    <row r="1646" spans="1:4" x14ac:dyDescent="0.25">
      <c r="A1646">
        <v>5</v>
      </c>
      <c r="B1646" s="20" t="s">
        <v>96</v>
      </c>
      <c r="C1646" s="2">
        <v>44899.305555555555</v>
      </c>
      <c r="D1646" s="20" t="s">
        <v>81</v>
      </c>
    </row>
    <row r="1647" spans="1:4" x14ac:dyDescent="0.25">
      <c r="A1647">
        <v>3</v>
      </c>
      <c r="B1647" s="20" t="s">
        <v>39</v>
      </c>
      <c r="C1647" s="2">
        <v>44899.306250000001</v>
      </c>
      <c r="D1647" s="20" t="s">
        <v>80</v>
      </c>
    </row>
    <row r="1648" spans="1:4" x14ac:dyDescent="0.25">
      <c r="A1648">
        <v>5</v>
      </c>
      <c r="B1648" s="20" t="s">
        <v>96</v>
      </c>
      <c r="C1648" s="2">
        <v>44899.306250000001</v>
      </c>
      <c r="D1648" s="20" t="s">
        <v>80</v>
      </c>
    </row>
    <row r="1649" spans="1:4" x14ac:dyDescent="0.25">
      <c r="A1649">
        <v>17</v>
      </c>
      <c r="B1649" s="20" t="s">
        <v>105</v>
      </c>
      <c r="C1649" s="2">
        <v>44899.306250000001</v>
      </c>
      <c r="D1649" s="20" t="s">
        <v>80</v>
      </c>
    </row>
    <row r="1650" spans="1:4" x14ac:dyDescent="0.25">
      <c r="A1650">
        <v>18</v>
      </c>
      <c r="B1650" s="20" t="s">
        <v>106</v>
      </c>
      <c r="C1650" s="2">
        <v>44899.306250000001</v>
      </c>
      <c r="D1650" s="20" t="s">
        <v>80</v>
      </c>
    </row>
    <row r="1651" spans="1:4" x14ac:dyDescent="0.25">
      <c r="A1651">
        <v>19</v>
      </c>
      <c r="B1651" s="20" t="s">
        <v>107</v>
      </c>
      <c r="C1651" s="2">
        <v>44899.306250000001</v>
      </c>
      <c r="D1651" s="20" t="s">
        <v>80</v>
      </c>
    </row>
    <row r="1652" spans="1:4" x14ac:dyDescent="0.25">
      <c r="A1652">
        <v>20</v>
      </c>
      <c r="B1652" s="20" t="s">
        <v>108</v>
      </c>
      <c r="C1652" s="2">
        <v>44899.306250000001</v>
      </c>
      <c r="D1652" s="20" t="s">
        <v>80</v>
      </c>
    </row>
    <row r="1653" spans="1:4" x14ac:dyDescent="0.25">
      <c r="A1653">
        <v>21</v>
      </c>
      <c r="B1653" s="20" t="s">
        <v>109</v>
      </c>
      <c r="C1653" s="2">
        <v>44899.306250000001</v>
      </c>
      <c r="D1653" s="20" t="s">
        <v>80</v>
      </c>
    </row>
    <row r="1654" spans="1:4" x14ac:dyDescent="0.25">
      <c r="A1654">
        <v>22</v>
      </c>
      <c r="B1654" s="20" t="s">
        <v>110</v>
      </c>
      <c r="C1654" s="2">
        <v>44899.306250000001</v>
      </c>
      <c r="D1654" s="20" t="s">
        <v>80</v>
      </c>
    </row>
    <row r="1655" spans="1:4" x14ac:dyDescent="0.25">
      <c r="A1655">
        <v>23</v>
      </c>
      <c r="B1655" s="20" t="s">
        <v>111</v>
      </c>
      <c r="C1655" s="2">
        <v>44899.306250000001</v>
      </c>
      <c r="D1655" s="20" t="s">
        <v>80</v>
      </c>
    </row>
    <row r="1656" spans="1:4" x14ac:dyDescent="0.25">
      <c r="A1656">
        <v>5</v>
      </c>
      <c r="B1656" s="20" t="s">
        <v>96</v>
      </c>
      <c r="C1656" s="2">
        <v>44899.315972222219</v>
      </c>
      <c r="D1656" s="20" t="s">
        <v>81</v>
      </c>
    </row>
    <row r="1657" spans="1:4" x14ac:dyDescent="0.25">
      <c r="A1657">
        <v>24</v>
      </c>
      <c r="B1657" s="20" t="s">
        <v>28</v>
      </c>
      <c r="C1657" s="2">
        <v>44899.315972222219</v>
      </c>
      <c r="D1657" s="20" t="s">
        <v>81</v>
      </c>
    </row>
    <row r="1658" spans="1:4" x14ac:dyDescent="0.25">
      <c r="A1658">
        <v>25</v>
      </c>
      <c r="B1658" s="20" t="s">
        <v>41</v>
      </c>
      <c r="C1658" s="2">
        <v>44899.315972222219</v>
      </c>
      <c r="D1658" s="20" t="s">
        <v>81</v>
      </c>
    </row>
    <row r="1659" spans="1:4" x14ac:dyDescent="0.25">
      <c r="A1659">
        <v>26</v>
      </c>
      <c r="B1659" s="20" t="s">
        <v>159</v>
      </c>
      <c r="C1659" s="2">
        <v>44899.315972222219</v>
      </c>
      <c r="D1659" s="20" t="s">
        <v>81</v>
      </c>
    </row>
    <row r="1660" spans="1:4" x14ac:dyDescent="0.25">
      <c r="A1660">
        <v>32</v>
      </c>
      <c r="B1660" s="20" t="s">
        <v>164</v>
      </c>
      <c r="C1660" s="2">
        <v>44899.315972222219</v>
      </c>
      <c r="D1660" s="20" t="s">
        <v>81</v>
      </c>
    </row>
    <row r="1661" spans="1:4" x14ac:dyDescent="0.25">
      <c r="A1661">
        <v>33</v>
      </c>
      <c r="B1661" s="20" t="s">
        <v>165</v>
      </c>
      <c r="C1661" s="2">
        <v>44899.315972222219</v>
      </c>
      <c r="D1661" s="20" t="s">
        <v>81</v>
      </c>
    </row>
    <row r="1662" spans="1:4" x14ac:dyDescent="0.25">
      <c r="A1662">
        <v>34</v>
      </c>
      <c r="B1662" s="20" t="s">
        <v>67</v>
      </c>
      <c r="C1662" s="2">
        <v>44899.315972222219</v>
      </c>
      <c r="D1662" s="20" t="s">
        <v>81</v>
      </c>
    </row>
    <row r="1663" spans="1:4" x14ac:dyDescent="0.25">
      <c r="A1663">
        <v>5</v>
      </c>
      <c r="B1663" s="20" t="s">
        <v>96</v>
      </c>
      <c r="C1663" s="2">
        <v>44899.326388888891</v>
      </c>
      <c r="D1663" s="20" t="s">
        <v>81</v>
      </c>
    </row>
    <row r="1664" spans="1:4" x14ac:dyDescent="0.25">
      <c r="A1664">
        <v>5</v>
      </c>
      <c r="B1664" s="20" t="s">
        <v>96</v>
      </c>
      <c r="C1664" s="2">
        <v>44899.336805555555</v>
      </c>
      <c r="D1664" s="20" t="s">
        <v>81</v>
      </c>
    </row>
    <row r="1665" spans="1:4" x14ac:dyDescent="0.25">
      <c r="A1665">
        <v>5</v>
      </c>
      <c r="B1665" s="20" t="s">
        <v>96</v>
      </c>
      <c r="C1665" s="2">
        <v>44899.347222222219</v>
      </c>
      <c r="D1665" s="20" t="s">
        <v>81</v>
      </c>
    </row>
    <row r="1666" spans="1:4" x14ac:dyDescent="0.25">
      <c r="A1666">
        <v>5</v>
      </c>
      <c r="B1666" s="20" t="s">
        <v>96</v>
      </c>
      <c r="C1666" s="2">
        <v>44899.357638888891</v>
      </c>
      <c r="D1666" s="20" t="s">
        <v>81</v>
      </c>
    </row>
    <row r="1667" spans="1:4" x14ac:dyDescent="0.25">
      <c r="A1667">
        <v>5</v>
      </c>
      <c r="B1667" s="20" t="s">
        <v>96</v>
      </c>
      <c r="C1667" s="2">
        <v>44899.368055555555</v>
      </c>
      <c r="D1667" s="20" t="s">
        <v>81</v>
      </c>
    </row>
    <row r="1668" spans="1:4" x14ac:dyDescent="0.25">
      <c r="A1668">
        <v>5</v>
      </c>
      <c r="B1668" s="20" t="s">
        <v>96</v>
      </c>
      <c r="C1668" s="2">
        <v>44899.378472222219</v>
      </c>
      <c r="D1668" s="20" t="s">
        <v>81</v>
      </c>
    </row>
    <row r="1669" spans="1:4" x14ac:dyDescent="0.25">
      <c r="A1669">
        <v>5</v>
      </c>
      <c r="B1669" s="20" t="s">
        <v>96</v>
      </c>
      <c r="C1669" s="2">
        <v>44899.388888888891</v>
      </c>
      <c r="D1669" s="20" t="s">
        <v>81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acd4cc3-1974-45d5-bfd4-2e52d38b09ac">
      <Terms xmlns="http://schemas.microsoft.com/office/infopath/2007/PartnerControls"/>
    </lcf76f155ced4ddcb4097134ff3c332f>
    <TaxCatchAll xmlns="f684fbb7-43f1-4b17-9ab1-c03d5e423760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6B68AFC2-39A7-41F6-8D87-B44FDBAF5A2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550986-B507-4BBD-9E0C-69C367E1041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096DAA9-5EB8-490D-A0E7-C2910748EF03}">
  <ds:schemaRefs>
    <ds:schemaRef ds:uri="http://schemas.microsoft.com/office/infopath/2007/PartnerControls"/>
    <ds:schemaRef ds:uri="http://www.w3.org/XML/1998/namespace"/>
    <ds:schemaRef ds:uri="http://purl.org/dc/dcmitype/"/>
    <ds:schemaRef ds:uri="http://schemas.microsoft.com/office/2006/documentManagement/types"/>
    <ds:schemaRef ds:uri="http://schemas.microsoft.com/office/2006/metadata/properties"/>
    <ds:schemaRef ds:uri="f684fbb7-43f1-4b17-9ab1-c03d5e423760"/>
    <ds:schemaRef ds:uri="http://purl.org/dc/terms/"/>
    <ds:schemaRef ds:uri="http://schemas.openxmlformats.org/package/2006/metadata/core-properties"/>
    <ds:schemaRef ds:uri="9acd4cc3-1974-45d5-bfd4-2e52d38b09ac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8A732028-EC56-4263-9DDD-953A7F3D61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Parameters</vt:lpstr>
      <vt:lpstr>EmailJobs</vt:lpstr>
      <vt:lpstr>EmailTemplates</vt:lpstr>
      <vt:lpstr>log</vt:lpstr>
      <vt:lpstr>log_common</vt:lpstr>
      <vt:lpstr>boolDisplay</vt:lpstr>
      <vt:lpstr>boolRun</vt:lpstr>
      <vt:lpstr>common_log_csv</vt:lpstr>
      <vt:lpstr>const_computername</vt:lpstr>
      <vt:lpstr>const_DClickPath</vt:lpstr>
      <vt:lpstr>const_iCristalPath</vt:lpstr>
      <vt:lpstr>const_imagePath</vt:lpstr>
      <vt:lpstr>const_lastrow</vt:lpstr>
      <vt:lpstr>const_now_str</vt:lpstr>
      <vt:lpstr>const_nowTime</vt:lpstr>
      <vt:lpstr>const_today</vt:lpstr>
      <vt:lpstr>const_yesterday</vt:lpstr>
      <vt:lpstr>const_yesterdayYYYYMMDD</vt:lpstr>
      <vt:lpstr>csv_string</vt:lpstr>
      <vt:lpstr>log_table</vt:lpstr>
      <vt:lpstr>logComputerName</vt:lpstr>
      <vt:lpstr>logDate</vt:lpstr>
      <vt:lpstr>logMailID</vt:lpstr>
      <vt:lpstr>logSubject</vt:lpstr>
      <vt:lpstr>mailID</vt:lpstr>
      <vt:lpstr>strBody</vt:lpstr>
      <vt:lpstr>strCC</vt:lpstr>
      <vt:lpstr>strFile</vt:lpstr>
      <vt:lpstr>strSubject</vt:lpstr>
      <vt:lpstr>strTo</vt:lpstr>
      <vt:lpstr>waitTime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2015-06-05T18:19:34Z</dcterms:created>
  <dcterms:modified xsi:type="dcterms:W3CDTF">2022-12-04T01:35:34Z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0x01010023D9842D326C4343BDFD7E41E17810D1</vt:lpwstr>
  </property>
</Properties>
</file>