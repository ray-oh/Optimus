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13_ncr:1_{ABD63C03-BCFD-456C-B959-4760A97387A6}" xr6:coauthVersionLast="47" xr6:coauthVersionMax="47" xr10:uidLastSave="{00000000-0000-0000-0000-000000000000}"/>
  <bookViews>
    <workbookView xWindow="-120" yWindow="-120" windowWidth="29040" windowHeight="15840" tabRatio="766" activeTab="3" xr2:uid="{0D015D22-72E6-418D-80FA-246518C96D96}"/>
  </bookViews>
  <sheets>
    <sheet name="iCristal3 (2)" sheetId="25" r:id="rId1"/>
    <sheet name="ReadMe" sheetId="8" r:id="rId2"/>
    <sheet name="main" sheetId="4" r:id="rId3"/>
    <sheet name="iCristal3" sheetId="24" r:id="rId4"/>
    <sheet name="logon_OKTA" sheetId="23" r:id="rId5"/>
    <sheet name="Template" sheetId="13" r:id="rId6"/>
  </sheets>
  <functionGroups builtInGroupCount="19"/>
  <definedNames>
    <definedName name="cutofftime">iCristal3!$D$109</definedName>
    <definedName name="imageFolder">iCristal3!$D$108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9" i="24" l="1"/>
  <c r="D15" i="4"/>
  <c r="D16" i="4"/>
  <c r="E17" i="4" s="1"/>
  <c r="J49" i="24" a="1"/>
  <c r="F18" i="4" a="1"/>
  <c r="F17" i="4" a="1"/>
  <c r="J49" i="24" l="1"/>
  <c r="F18" i="4"/>
  <c r="F17" i="4"/>
  <c r="G17" i="4" s="1" a="1"/>
  <c r="G17" i="4" s="1"/>
  <c r="D17" i="4" s="1"/>
  <c r="J56" i="24" a="1"/>
  <c r="J18" i="24" a="1"/>
  <c r="J39" i="24" a="1"/>
  <c r="J64" i="24" a="1"/>
  <c r="J28" i="24" a="1"/>
  <c r="J41" i="24" a="1"/>
  <c r="J46" i="24" a="1"/>
  <c r="J50" i="24" a="1"/>
  <c r="J58" i="24" a="1"/>
  <c r="J15" i="24" a="1"/>
  <c r="J79" i="24" a="1"/>
  <c r="J43" i="24" a="1"/>
  <c r="J35" i="24" a="1"/>
  <c r="J71" i="24" a="1"/>
  <c r="J36" i="24" a="1"/>
  <c r="J9" i="24" a="1"/>
  <c r="J27" i="24" a="1"/>
  <c r="J62" i="24" a="1"/>
  <c r="J47" i="24" a="1"/>
  <c r="J32" i="24" a="1"/>
  <c r="J74" i="24" a="1"/>
  <c r="J34" i="24" a="1"/>
  <c r="J37" i="24" a="1"/>
  <c r="J70" i="24" a="1"/>
  <c r="J57" i="24" a="1"/>
  <c r="J61" i="24" a="1"/>
  <c r="J59" i="24" a="1"/>
  <c r="J30" i="24" a="1"/>
  <c r="J66" i="24" a="1"/>
  <c r="G18" i="4" a="1"/>
  <c r="J29" i="24" a="1"/>
  <c r="J13" i="24" a="1"/>
  <c r="J38" i="24" a="1"/>
  <c r="J6" i="24" a="1"/>
  <c r="J14" i="24" a="1"/>
  <c r="J55" i="24" a="1"/>
  <c r="J52" i="24" a="1"/>
  <c r="J68" i="24" a="1"/>
  <c r="J31" i="24" a="1"/>
  <c r="J24" i="24" a="1"/>
  <c r="J65" i="24" a="1"/>
  <c r="J69" i="24" a="1"/>
  <c r="J33" i="24" a="1"/>
  <c r="J20" i="24" a="1"/>
  <c r="J4" i="24" a="1"/>
  <c r="J76" i="24" a="1"/>
  <c r="J16" i="24" a="1"/>
  <c r="J26" i="24" a="1"/>
  <c r="J21" i="24" a="1"/>
  <c r="J78" i="24" a="1"/>
  <c r="J11" i="24" a="1"/>
  <c r="J67" i="24" a="1"/>
  <c r="J7" i="24" a="1"/>
  <c r="J45" i="24" a="1"/>
  <c r="J22" i="24" a="1"/>
  <c r="J40" i="24" a="1"/>
  <c r="J72" i="24" a="1"/>
  <c r="J75" i="24" a="1"/>
  <c r="J19" i="24" a="1"/>
  <c r="J63" i="24" a="1"/>
  <c r="J5" i="24" a="1"/>
  <c r="J25" i="24" a="1"/>
  <c r="J48" i="24" a="1"/>
  <c r="J23" i="24" a="1"/>
  <c r="J54" i="24" a="1"/>
  <c r="J51" i="24" a="1"/>
  <c r="J12" i="24" a="1"/>
  <c r="J10" i="24" a="1"/>
  <c r="J77" i="24" a="1"/>
  <c r="J17" i="24" a="1"/>
  <c r="J42" i="24" a="1"/>
  <c r="J53" i="24" a="1"/>
  <c r="J44" i="24" a="1"/>
  <c r="J8" i="24" a="1"/>
  <c r="J73" i="24" a="1"/>
  <c r="J60" i="24" a="1"/>
  <c r="J65" i="24" l="1"/>
  <c r="J56" i="24"/>
  <c r="J41" i="24"/>
  <c r="J46" i="24"/>
  <c r="J67" i="24"/>
  <c r="J57" i="24"/>
  <c r="J79" i="24"/>
  <c r="J54" i="24"/>
  <c r="J33" i="24"/>
  <c r="J64" i="24"/>
  <c r="J48" i="24"/>
  <c r="J7" i="24"/>
  <c r="J38" i="24"/>
  <c r="J12" i="24"/>
  <c r="J18" i="24"/>
  <c r="J23" i="24"/>
  <c r="J73" i="24"/>
  <c r="J35" i="24"/>
  <c r="J31" i="24"/>
  <c r="J39" i="24"/>
  <c r="J75" i="24"/>
  <c r="J22" i="24"/>
  <c r="J6" i="24"/>
  <c r="J45" i="24"/>
  <c r="J17" i="24"/>
  <c r="J69" i="24"/>
  <c r="J9" i="24"/>
  <c r="J28" i="24"/>
  <c r="J13" i="24"/>
  <c r="J11" i="24"/>
  <c r="J26" i="24"/>
  <c r="J59" i="24"/>
  <c r="J8" i="24"/>
  <c r="J71" i="24"/>
  <c r="J68" i="24"/>
  <c r="J58" i="24"/>
  <c r="J25" i="24"/>
  <c r="J43" i="24"/>
  <c r="J53" i="24"/>
  <c r="J10" i="24"/>
  <c r="J21" i="24"/>
  <c r="J77" i="24"/>
  <c r="J14" i="24"/>
  <c r="J36" i="24"/>
  <c r="J78" i="24"/>
  <c r="J42" i="24"/>
  <c r="J70" i="24"/>
  <c r="J29" i="24"/>
  <c r="J27" i="24"/>
  <c r="J32" i="24"/>
  <c r="J4" i="24"/>
  <c r="J24" i="24"/>
  <c r="J66" i="24"/>
  <c r="J74" i="24"/>
  <c r="J47" i="24"/>
  <c r="J63" i="24"/>
  <c r="J51" i="24"/>
  <c r="J62" i="24"/>
  <c r="J72" i="24"/>
  <c r="J40" i="24"/>
  <c r="J30" i="24"/>
  <c r="J60" i="24"/>
  <c r="J61" i="24"/>
  <c r="J20" i="24"/>
  <c r="J34" i="24"/>
  <c r="J5" i="24"/>
  <c r="J76" i="24"/>
  <c r="J50" i="24"/>
  <c r="J16" i="24"/>
  <c r="J44" i="24"/>
  <c r="J15" i="24"/>
  <c r="J19" i="24"/>
  <c r="J55" i="24"/>
  <c r="J37" i="24"/>
  <c r="J52" i="24"/>
  <c r="G18" i="4"/>
  <c r="D18" i="4" s="1"/>
  <c r="K36" i="13"/>
  <c r="K34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<sst xmlns="http://schemas.openxmlformats.org/spreadsheetml/2006/main" count="1939" uniqueCount="665">
  <si>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</si>
  <si>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</si>
  <si>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</si>
  <si>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</si>
  <si>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</si>
  <si>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</si>
  <si>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</si>
  <si>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</si>
  <si>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</si>
  <si>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</si>
  <si>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</si>
  <si>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</si>
  <si>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</si>
  <si>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</si>
  <si>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</si>
  <si>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</si>
  <si>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</si>
  <si>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</si>
  <si>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</si>
  <si>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</si>
  <si>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</si>
  <si>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</si>
  <si>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</si>
  <si>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</si>
  <si>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exit:</t>
  </si>
  <si>
    <t>URL_Dclick_Pages</t>
  </si>
  <si>
    <t>urls:URL_Dclick_Pages</t>
  </si>
  <si>
    <t>openPages</t>
  </si>
  <si>
    <t>checkVariable:checkUserName</t>
  </si>
  <si>
    <t>browserDisable</t>
  </si>
  <si>
    <t>print:****ifBlockCode******</t>
  </si>
  <si>
    <t>if:condition:run code</t>
  </si>
  <si>
    <t>wBags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</si>
  <si>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</si>
  <si>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</si>
  <si>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</si>
  <si>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</si>
  <si>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</si>
  <si>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</si>
  <si>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</si>
  <si>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</si>
  <si>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</si>
  <si>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</si>
  <si>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</si>
  <si>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</si>
  <si>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</si>
  <si>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createPDF:imagelist,outputPath,saveFileName</t>
  </si>
  <si>
    <t xml:space="preserve"> </t>
  </si>
  <si>
    <t>DCLICK</t>
  </si>
  <si>
    <t>url:DCLICK</t>
  </si>
  <si>
    <t>logon_DCLICK</t>
  </si>
  <si>
    <t>Click Image</t>
  </si>
  <si>
    <t>Click Download as</t>
  </si>
  <si>
    <t>Select Current</t>
  </si>
  <si>
    <t>Select Net Sales</t>
  </si>
  <si>
    <t>Select Units</t>
  </si>
  <si>
    <t>Right Click Values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</si>
  <si>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</si>
  <si>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</si>
  <si>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</si>
  <si>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</si>
  <si>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</si>
  <si>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Click submit</t>
  </si>
  <si>
    <t>Wait for OKTA dashboard to appear, else repeat logon_OKTA</t>
  </si>
  <si>
    <t>logon_DCLICK2</t>
  </si>
  <si>
    <t>Wait for DCLICK hub page to appear, else repeat logon_DCLICK</t>
  </si>
  <si>
    <t>list of URLs to loop over each iteration</t>
  </si>
  <si>
    <t>openPages2</t>
  </si>
  <si>
    <t>qs-toolbar__toggle-touch-switch</t>
  </si>
  <si>
    <t>//button[text()="Continue"]</t>
  </si>
  <si>
    <t>CheckIfTouchOff</t>
  </si>
  <si>
    <t>disableTouchOn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</si>
  <si>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</si>
  <si>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</si>
  <si>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</si>
  <si>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</si>
  <si>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Toggle Touch On to Touch Off</t>
  </si>
  <si>
    <t>Confirm continue</t>
  </si>
  <si>
    <t>If not Touch Off, repeat CheckIfTouchOff</t>
  </si>
  <si>
    <t>exitProgram</t>
  </si>
  <si>
    <t>List of images to create PDF</t>
  </si>
  <si>
    <t>remark - to comment off code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</si>
  <si>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</si>
  <si>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</si>
  <si>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</si>
  <si>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</si>
  <si>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</si>
  <si>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</si>
  <si>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Disable browser activation for RPA: True/False</t>
  </si>
  <si>
    <t>saveFile</t>
  </si>
  <si>
    <t>keyboard:[enter]</t>
  </si>
  <si>
    <t>keyboard:[esc][esc]</t>
  </si>
  <si>
    <t>keyboard:[esc]</t>
  </si>
  <si>
    <t>rclick://div[@title="Values"]</t>
  </si>
  <si>
    <t>wait : timeout_sec , for identifier to appear , run code if identifier does not appear</t>
  </si>
  <si>
    <t>wait:30,dashboard-my-apps-title,logon_OKTA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</si>
  <si>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</si>
  <si>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</si>
  <si>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</si>
  <si>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</si>
  <si>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 : time_sec , identifier</t>
  </si>
  <si>
    <t>constants</t>
  </si>
  <si>
    <t>./Output/Images/</t>
  </si>
  <si>
    <t>outputFolder</t>
  </si>
  <si>
    <t>./Output/</t>
  </si>
  <si>
    <t>D:/OneDrive-Sync/Christian Dior Couture/APAC Management - Reports - Reports/DClick/</t>
  </si>
  <si>
    <t>oneDriveFolder</t>
  </si>
  <si>
    <t>createPDF:imagelist,&lt;imageFolder&gt;,&lt;outputFolder&gt;&lt;saveFile&gt;_&lt;yesterdayYYYYMMDD&gt;.pdf</t>
  </si>
  <si>
    <t>imageFolder</t>
  </si>
  <si>
    <t>iterate: URL_Dclick_Pages , openPages</t>
  </si>
  <si>
    <t>iterate over : list of URLS ,  code to run over each iteration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</si>
  <si>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</si>
  <si>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</si>
  <si>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</si>
  <si>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</si>
  <si>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</si>
  <si>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</si>
  <si>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</si>
  <si>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</si>
  <si>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</si>
  <si>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</si>
  <si>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</si>
  <si>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</si>
  <si>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</si>
  <si>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</si>
  <si>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</si>
  <si>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</si>
  <si>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</si>
  <si>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</si>
  <si>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</si>
  <si>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</si>
  <si>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</si>
  <si>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</si>
  <si>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</si>
  <si>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</si>
  <si>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</si>
  <si>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</si>
  <si>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variables</t>
  </si>
  <si>
    <t>checkUserName</t>
  </si>
  <si>
    <t>ifMissingAuthCredentials</t>
  </si>
  <si>
    <t>if:variables["checkUserName"]=="":ifMissingAuthCredentials</t>
  </si>
  <si>
    <t>print:****Maximize window******</t>
  </si>
  <si>
    <t>print:****window maximized******</t>
  </si>
  <si>
    <t>keyboard:x</t>
  </si>
  <si>
    <t>keyboard:[alt][space]</t>
  </si>
  <si>
    <t>maximizeWindow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</si>
  <si>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</si>
  <si>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</si>
  <si>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</si>
  <si>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</si>
  <si>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</si>
  <si>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</si>
  <si>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</si>
  <si>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</si>
  <si>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</si>
  <si>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</si>
  <si>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</si>
  <si>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</si>
  <si>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</si>
  <si>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</si>
  <si>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</si>
  <si>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</si>
  <si>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</si>
  <si>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</si>
  <si>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</si>
  <si>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</si>
  <si>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</si>
  <si>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</si>
  <si>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</si>
  <si>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</si>
  <si>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</si>
  <si>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t>excelTest</t>
  </si>
  <si>
    <t>excelMacro</t>
  </si>
  <si>
    <t>vba_test.xlsm!Module1.macro1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</si>
  <si>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</si>
  <si>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</si>
  <si>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</si>
  <si>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</si>
  <si>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</si>
  <si>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</si>
  <si>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</si>
  <si>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https://qliksense.eu.dior.fashion/sense/app/70c92b52-3e94-4802-994c-5cfdec371d4a/sheet/d211dec2-7e00-48a1-966e-a1aa2e1cb876/state/analysis/bookmark/b2eedd58-fcee-4606-a682-11545dc4e4dc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</si>
  <si>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</si>
  <si>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</si>
  <si>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</si>
  <si>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</si>
  <si>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</si>
  <si>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</si>
  <si>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</si>
  <si>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</si>
  <si>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</si>
  <si>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</si>
  <si>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</si>
  <si>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</si>
  <si>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</si>
  <si>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</si>
  <si>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</si>
  <si>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</si>
  <si>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</si>
  <si>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</si>
  <si>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</si>
  <si>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</si>
  <si>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</si>
  <si>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</si>
  <si>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</si>
  <si>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</si>
  <si>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</si>
  <si>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</si>
  <si>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</si>
  <si>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</si>
  <si>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</si>
  <si>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</si>
  <si>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</si>
  <si>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</si>
  <si>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</si>
  <si>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</si>
  <si>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</si>
  <si>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</si>
  <si>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</si>
  <si>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</si>
  <si>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</si>
  <si>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</si>
  <si>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</si>
  <si>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</si>
  <si>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</si>
  <si>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</si>
  <si>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</si>
  <si>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</si>
  <si>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</si>
  <si>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</si>
  <si>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</si>
  <si>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</si>
  <si>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</si>
  <si>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serviceNow</t>
  </si>
  <si>
    <t>wait:2</t>
  </si>
  <si>
    <t>wait:3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</si>
  <si>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</si>
  <si>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</si>
  <si>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</si>
  <si>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</si>
  <si>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</si>
  <si>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</si>
  <si>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</si>
  <si>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</si>
  <si>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ForceRun</t>
  </si>
  <si>
    <t>Force Run Time</t>
  </si>
  <si>
    <t>From</t>
  </si>
  <si>
    <t>To</t>
  </si>
  <si>
    <t>Disable</t>
  </si>
  <si>
    <t>now_hhmmss</t>
  </si>
  <si>
    <t>wait:10, LVMH Group - Sign In, logon_OKTA,3</t>
  </si>
  <si>
    <t>wait:15,dashboard-my-apps-title,logon_OKTA</t>
  </si>
  <si>
    <t>runDiorOrder</t>
  </si>
  <si>
    <t>dashboard-my-apps-title</t>
  </si>
  <si>
    <t>LVMH Group - Sign In</t>
  </si>
  <si>
    <t>rem: do nothing</t>
  </si>
  <si>
    <t>temp</t>
  </si>
  <si>
    <t>wait:30,OKTA_case,OKTA_case_run</t>
  </si>
  <si>
    <t>OKTA_case</t>
  </si>
  <si>
    <t>OKTA_case_run</t>
  </si>
  <si>
    <t>logon_normal_case</t>
  </si>
  <si>
    <t>wait:30,OKTA_case2,OKTA_case_run2</t>
  </si>
  <si>
    <t>OKTA_case2</t>
  </si>
  <si>
    <t>OKTA_case_run2</t>
  </si>
  <si>
    <t>Send push automatically</t>
  </si>
  <si>
    <t>logon_successful</t>
  </si>
  <si>
    <t>runModule:logon_OKTA</t>
  </si>
  <si>
    <t>URL_pages</t>
  </si>
  <si>
    <t>overview.png</t>
  </si>
  <si>
    <t>https://qliksense.eu.dior.fashion/okta/extensions/icristal/index.html#/home/overview</t>
  </si>
  <si>
    <t>&lt;iterationCount&gt;=0</t>
  </si>
  <si>
    <t>grid_country_Day.png</t>
  </si>
  <si>
    <t>https://qliksense.eu.dior.fashion/okta/extensions/icristal/index.html#/home/grid</t>
  </si>
  <si>
    <t>&lt;iterationCount&gt;=1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</si>
  <si>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</si>
  <si>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</si>
  <si>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</si>
  <si>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</si>
  <si>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</si>
  <si>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</si>
  <si>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</si>
  <si>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</si>
  <si>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</si>
  <si>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</si>
  <si>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</si>
  <si>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</si>
  <si>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</si>
  <si>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</si>
  <si>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</si>
  <si>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</si>
  <si>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</si>
  <si>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</si>
  <si>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</si>
  <si>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</si>
  <si>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</si>
  <si>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</si>
  <si>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</si>
  <si>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grid_Day_WnJ.png</t>
  </si>
  <si>
    <t>grid_WTD_WnJ.png</t>
  </si>
  <si>
    <t>grid_MTD_WnJ.png</t>
  </si>
  <si>
    <t>grid_YTD_WnJ.png</t>
  </si>
  <si>
    <t>grid_Day_MENS.png</t>
  </si>
  <si>
    <t>grid_WTD_MENS.png</t>
  </si>
  <si>
    <t>grid_MTD_MENS.png</t>
  </si>
  <si>
    <t>grid_YTD_MENS.png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</si>
  <si>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</si>
  <si>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</si>
  <si>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</si>
  <si>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</si>
  <si>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</si>
  <si>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</si>
  <si>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</si>
  <si>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</si>
  <si>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</si>
  <si>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</si>
  <si>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</si>
  <si>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</si>
  <si>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</si>
  <si>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</si>
  <si>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</si>
  <si>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</si>
  <si>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</si>
  <si>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</si>
  <si>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</si>
  <si>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</si>
  <si>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</si>
  <si>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</si>
  <si>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</si>
  <si>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</si>
  <si>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</si>
  <si>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</si>
  <si>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</si>
  <si>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</si>
  <si>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</si>
  <si>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</si>
  <si>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</si>
  <si>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</si>
  <si>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</si>
  <si>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</si>
  <si>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</si>
  <si>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</si>
  <si>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</si>
  <si>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https://qliksense.eu.dior.fashion/okta/extensions/icristal/index.html#/home/top-products</t>
  </si>
  <si>
    <t>grid_WTD_TopProducts.png</t>
  </si>
  <si>
    <t>grid_MTD_TopProducts.png</t>
  </si>
  <si>
    <t>grid_YTD_TopProducts.png</t>
  </si>
  <si>
    <t>histogram_YTD.png</t>
  </si>
  <si>
    <t>https://qliksense.eu.dior.fashion/okta/extensions/icristal/index.html#/home/histogram</t>
  </si>
  <si>
    <t>histogram_Nationality_YTD.png</t>
  </si>
  <si>
    <t>histogram_BU_YTD.png</t>
  </si>
  <si>
    <t>zoom_settings</t>
  </si>
  <si>
    <t>clickLists</t>
  </si>
  <si>
    <t>overview</t>
  </si>
  <si>
    <t>grid_country_Day</t>
  </si>
  <si>
    <t>Day, wait:2, clkSelectionIcon, wait:3, clkSelectionIcon_Country, wait:2</t>
  </si>
  <si>
    <t>Day, Jewellery &amp; Watches, wait:2, clkBackWJ, wait:2, clkMens</t>
  </si>
  <si>
    <t>grid_country_WTD</t>
  </si>
  <si>
    <t>WTD</t>
  </si>
  <si>
    <t>Day, clkMens, wait:2, clkBackMens, wait:2, clkBaby</t>
  </si>
  <si>
    <t>grid_country_MTD</t>
  </si>
  <si>
    <t>MTD</t>
  </si>
  <si>
    <t>Day, clkBaby, wait:3, Back to ALL, wait:2, clkCloseLabel, wait:2, clkSelectionIcon, wait:2, clkSelectionIcon_Store_Grouping</t>
  </si>
  <si>
    <t>grid_country_YTD</t>
  </si>
  <si>
    <t>YTD</t>
  </si>
  <si>
    <t>grid_Day_WHB</t>
  </si>
  <si>
    <t>Day, wait:2, clkBusinessUnit_ALL, wait:3, clkExpandWomenUniverse, wait:3, W Bags</t>
  </si>
  <si>
    <t>grid_WTD_WHB</t>
  </si>
  <si>
    <t>grid_MTD_WHB</t>
  </si>
  <si>
    <t>grid_YTD_WHB</t>
  </si>
  <si>
    <t>grid_Day_WSLG</t>
  </si>
  <si>
    <t>Day, wait:2, W Bags, wait:2, clkBackWBags, wait:2, W SLG</t>
  </si>
  <si>
    <t>grid_WTD_WSLG</t>
  </si>
  <si>
    <t>grid_MTD_WSLG</t>
  </si>
  <si>
    <t>grid_YTD_WSLG</t>
  </si>
  <si>
    <t>grid_Day_WRTW</t>
  </si>
  <si>
    <t>Day, wait:3, Women SLG, wait:2, clkBackWSLG, wait:2, W RTW</t>
  </si>
  <si>
    <t>grid_WTD_WRTW</t>
  </si>
  <si>
    <t>grid_MTD_WRTW</t>
  </si>
  <si>
    <t>grid_YTD_WRTW</t>
  </si>
  <si>
    <t>grid_Day_WSHOES</t>
  </si>
  <si>
    <t>Day, wait:2, W RTW, wait:2, clkBackWRTW, wait:2, W Shoes</t>
  </si>
  <si>
    <t>grid_WTD_WSHOES</t>
  </si>
  <si>
    <t>grid_MTD_WSHOES</t>
  </si>
  <si>
    <t>grid_YTD_WSHOES</t>
  </si>
  <si>
    <t>grid_Day_WACC</t>
  </si>
  <si>
    <t>Day, wait:2, W Shoes, wait:2, clkBackWShoes, wait:2, W Accessories</t>
  </si>
  <si>
    <t>grid_WTD_WACC</t>
  </si>
  <si>
    <t>grid_MTD_WACC</t>
  </si>
  <si>
    <t>grid_YTD_WACC</t>
  </si>
  <si>
    <t>grid_Day_WnJ</t>
  </si>
  <si>
    <t>Day, wait:2, W Accessories, wait:2, Back to ALL, wait:2, Jewellery &amp; Watches</t>
  </si>
  <si>
    <t>grid_WTD_WnJ</t>
  </si>
  <si>
    <t>grid_MTD_WnJ</t>
  </si>
  <si>
    <t>grid_YTD_WnJ</t>
  </si>
  <si>
    <t>grid_Day_MENS</t>
  </si>
  <si>
    <t>Day, wait:2, Jewellery &amp; Watches, wait:2, clkBackWJ, wait:2, clkMens</t>
  </si>
  <si>
    <t>grid_WTD_MENS</t>
  </si>
  <si>
    <t>grid_MTD_MENS</t>
  </si>
  <si>
    <t>grid_YTD_MENS</t>
  </si>
  <si>
    <t>grid_Day_MBAGS</t>
  </si>
  <si>
    <t>Day, wait:2, clkMens, wait:2, clkMBags</t>
  </si>
  <si>
    <t>grid_WTD_MBAGS</t>
  </si>
  <si>
    <t>grid_MTD_MBAGS</t>
  </si>
  <si>
    <t>grid_YTD_MBAGS</t>
  </si>
  <si>
    <t>grid_Day_MSLG</t>
  </si>
  <si>
    <t>Day, wait:2, clkMBags, wait:2, clkBackMBags, wait:2, clkMSLG</t>
  </si>
  <si>
    <t>grid_WTD_MSLG</t>
  </si>
  <si>
    <t>grid_MTD_MSLG</t>
  </si>
  <si>
    <t>grid_YTD_MSLG</t>
  </si>
  <si>
    <t>grid_Day_MRTW</t>
  </si>
  <si>
    <t>Day, wait:2, clkMenSLG, wait:2, clkBackMenSLG, wait:2, clkMRTW</t>
  </si>
  <si>
    <t>grid_WTD_MRTW</t>
  </si>
  <si>
    <t>grid_MTD_MRTW</t>
  </si>
  <si>
    <t>grid_YTD_MRTW</t>
  </si>
  <si>
    <t>grid_Day_MSHOES</t>
  </si>
  <si>
    <t>Day, wait:2, clkMRTW, wait:2, clkBackMRTW, wait:2, clkMShoes</t>
  </si>
  <si>
    <t>grid_WTD_MSHOES</t>
  </si>
  <si>
    <t>grid_MTD_MSHOES</t>
  </si>
  <si>
    <t>grid_YTD_MSHOES</t>
  </si>
  <si>
    <t>grid_Day_MACC</t>
  </si>
  <si>
    <t>Day, wait:2, clkMShoes, wait:2, clkBackMShoes, wait:2, clkMACC</t>
  </si>
  <si>
    <t>grid_WTD_MACC</t>
  </si>
  <si>
    <t>grid_MTD_MACC</t>
  </si>
  <si>
    <t>grid_YTD_MACC</t>
  </si>
  <si>
    <t>grid_Day_MSPECIAL</t>
  </si>
  <si>
    <t>Day, wait:2, clkMACC, wait:2, clkBackMACC, wait:2, clkMSpecial</t>
  </si>
  <si>
    <t>grid_WTD_MSPECIAL</t>
  </si>
  <si>
    <t>grid_MTD_MSPECIAL</t>
  </si>
  <si>
    <t>grid_YTD_MSPECIAL</t>
  </si>
  <si>
    <t>grid_Day_BABY</t>
  </si>
  <si>
    <t>Day, wait:3, clkMenSpecial, wait:3, Back to ALL, wait:3, clkBaby</t>
  </si>
  <si>
    <t>grid_WTD_BABY</t>
  </si>
  <si>
    <t>grid_MTD_BABY</t>
  </si>
  <si>
    <t>grid_YTD_BABY</t>
  </si>
  <si>
    <t>grid_Day_STORE</t>
  </si>
  <si>
    <t>Day, wait:2, clkBaby, wait:3, Back to ALL, wait:2, clkCloseLabel, wait:2, clkSelectionIcon, wait:2, clkSelectionIcon_Store_Grouping</t>
  </si>
  <si>
    <t>grid_WTD_STORE</t>
  </si>
  <si>
    <t>grid_MTD_STORE</t>
  </si>
  <si>
    <t>grid_YTD_STORE</t>
  </si>
  <si>
    <t>grid_Day_BusinessUnit</t>
  </si>
  <si>
    <t>Day, wait:2, BUSINESS UNIT</t>
  </si>
  <si>
    <t>grid_WTD_BusinessUnit</t>
  </si>
  <si>
    <t>grid_MTD_BusinessUnit</t>
  </si>
  <si>
    <t>grid_YTD_BusinessUnit</t>
  </si>
  <si>
    <t>grid_Day_TopProducts</t>
  </si>
  <si>
    <t>Day</t>
  </si>
  <si>
    <t>grid_WTD_TopProducts</t>
  </si>
  <si>
    <t>grid_MTD_TopProducts</t>
  </si>
  <si>
    <t>grid_YTD_TopProducts</t>
  </si>
  <si>
    <t>histogram_YTD</t>
  </si>
  <si>
    <t>YTD, wait:2, clkZone_ALL, wait:2, clkExpandPacificAsia, wait:2, clkZONE</t>
  </si>
  <si>
    <t>histogram_Nationality_YTD</t>
  </si>
  <si>
    <t>YTD, wait:2, NATIONALITY</t>
  </si>
  <si>
    <t>histogram_BU_YTD</t>
  </si>
  <si>
    <t>YTD, wait:2, BUSINESS UNIT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</si>
  <si>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</si>
  <si>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</si>
  <si>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</si>
  <si>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</si>
  <si>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</si>
  <si>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</si>
  <si>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</si>
  <si>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</si>
  <si>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</si>
  <si>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</si>
  <si>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</si>
  <si>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</si>
  <si>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</si>
  <si>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</si>
  <si>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</si>
  <si>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</si>
  <si>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</si>
  <si>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</si>
  <si>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</si>
  <si>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</si>
  <si>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</si>
  <si>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</si>
  <si>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</si>
  <si>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</si>
  <si>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(Watches and Jewellery) - DAY</t>
  </si>
  <si>
    <t>Grid (Watches and Jewellery) - WTD</t>
  </si>
  <si>
    <t>Grid (Watches and Jewellery) - MTD</t>
  </si>
  <si>
    <t>Grid (Watches and Jewellery) - YTD</t>
  </si>
  <si>
    <t>Grid (MENS) - DAY</t>
  </si>
  <si>
    <t>Grid (MENS) - WTD</t>
  </si>
  <si>
    <t>Grid (MENS) - MTD</t>
  </si>
  <si>
    <t>Grid (MENS) - YTD</t>
  </si>
  <si>
    <t>Grid (M BAGS) - DAY</t>
  </si>
  <si>
    <t>M BAGS</t>
  </si>
  <si>
    <t>DAY</t>
  </si>
  <si>
    <t>Grid (M BAGS) - WTD</t>
  </si>
  <si>
    <t>Grid (M BAGS) - MTD</t>
  </si>
  <si>
    <t>Grid (M BAGS) - YTD</t>
  </si>
  <si>
    <t>Grid (M SLG) - DAY</t>
  </si>
  <si>
    <t>M SLG</t>
  </si>
  <si>
    <t>Grid (M SLG) - WTD</t>
  </si>
  <si>
    <t>Grid (M SLG) - MTD</t>
  </si>
  <si>
    <t>Grid (M SLG) - YTD</t>
  </si>
  <si>
    <t>Grid (M RTW) - DAY</t>
  </si>
  <si>
    <t>Grid (M RTW) - WTD</t>
  </si>
  <si>
    <t>Grid (M RTW) - MTD</t>
  </si>
  <si>
    <t>Grid (M RTW) - YTD</t>
  </si>
  <si>
    <t>Grid (M SHOES) - DAY</t>
  </si>
  <si>
    <t>M SHOES</t>
  </si>
  <si>
    <t>Grid (M SHOES) - WTD</t>
  </si>
  <si>
    <t>Grid (M SHOES) - MTD</t>
  </si>
  <si>
    <t>Grid (M SHOES) - YTD</t>
  </si>
  <si>
    <t>Grid (M Accessories) - DAY</t>
  </si>
  <si>
    <t>M Accessories</t>
  </si>
  <si>
    <t>Grid (M Accessories) - WTD</t>
  </si>
  <si>
    <t>Grid (M Accessories) - MTD</t>
  </si>
  <si>
    <t>Grid (M Accessories) - YTD</t>
  </si>
  <si>
    <t>Grid (M Special) - DAY</t>
  </si>
  <si>
    <t>M Special</t>
  </si>
  <si>
    <t>Grid (M Special) - WTD</t>
  </si>
  <si>
    <t>Grid (M Special) - MTD</t>
  </si>
  <si>
    <t>Grid (M Special)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</si>
  <si>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</si>
  <si>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</si>
  <si>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</si>
  <si>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</si>
  <si>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</si>
  <si>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</si>
  <si>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</si>
  <si>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</si>
  <si>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</si>
  <si>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</si>
  <si>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</si>
  <si>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</si>
  <si>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</si>
  <si>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</si>
  <si>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</si>
  <si>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</si>
  <si>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</si>
  <si>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</si>
  <si>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</si>
  <si>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print:****MAIN******</t>
  </si>
  <si>
    <t>rem:logon_OKTA</t>
  </si>
  <si>
    <t>moved OKTA logon to main sheet</t>
  </si>
  <si>
    <t>logon_iCristal</t>
  </si>
  <si>
    <t>move maximize window to main sheet</t>
  </si>
  <si>
    <t>iterate: URL_pages , openPages</t>
  </si>
  <si>
    <t>addContentPDF:pageTitles,&lt;outputFolder&gt;&lt;saveFile&gt;.pdf,&lt;outputFolder&gt;&lt;saveFile&gt;_&lt;yesterdayYYYYMMDD&gt;.pdf</t>
  </si>
  <si>
    <t>addContentPDF:pageTitles,&lt;outputFolder&gt;&lt;saveFile&gt;.pdf,&lt;outputFolder&gt;&lt;saveFile&gt;.pdf</t>
  </si>
  <si>
    <t>copyFile:&lt;outputFolder&gt;&lt;saveFile&gt;_&lt;yesterdayYYYYMMDD&gt;.pdf,&lt;outputFolder&gt;&lt;saveFile&gt;.pdf</t>
  </si>
  <si>
    <t>createPDF:imagelist,&lt;imageFolder&gt;,&lt;outputFolder&gt;&lt;saveFile&gt;.pdf</t>
  </si>
  <si>
    <t>url:&lt;URL_pages:key&gt;</t>
  </si>
  <si>
    <t>url:&lt;URL_pages:value&gt;</t>
  </si>
  <si>
    <t>wait:30, //paper-icon-button, openPages</t>
  </si>
  <si>
    <t>print: ----openPages 2 ---- | iterationCount &lt;iterationCount&gt; | codeList | &lt;clickLists:key&gt; | &lt;clickLists:value&gt; |</t>
  </si>
  <si>
    <t>wait:60,//button[@title="Navigation"],openPages</t>
  </si>
  <si>
    <t>chromeZoom:&lt;zoom_settings:value&gt;</t>
  </si>
  <si>
    <t>rem:wait:1</t>
  </si>
  <si>
    <t>codeList:&lt;clickLists:value&gt;</t>
  </si>
  <si>
    <t>give sufficient wait for loading before snap</t>
  </si>
  <si>
    <t>snap:page,&lt;imageFolder&gt;&lt;URL_pages:key&gt;</t>
  </si>
  <si>
    <t>snap:page,&lt;saveFile&gt;</t>
  </si>
  <si>
    <t>main3</t>
  </si>
  <si>
    <t>url:overview</t>
  </si>
  <si>
    <t>chromeZoom:+,3</t>
  </si>
  <si>
    <t>printiCristalPage</t>
  </si>
  <si>
    <t>listClick:parameterlist</t>
  </si>
  <si>
    <t>finalprocess</t>
  </si>
  <si>
    <t>createPDF:imagelist,</t>
  </si>
  <si>
    <t>addPageNumbers:saveFile,pageTitles</t>
  </si>
  <si>
    <t>copyFile:./Output/APAC_Daily_Sales_&lt;yesterdayYYYYMMDD&gt;.pdf,D:/OneDrive-Sync/Christian Dior Couture/APAC Management - Reports - Reports/DClick/APAC_Daily_Sales_&lt;yesterdayYYYYMMDD&gt;.pdf</t>
  </si>
  <si>
    <t>D:/OneDrive-Sync/Christian Dior Couture/APAC Management - Reports - Reports/iCristal/</t>
  </si>
  <si>
    <t>iCristalReport</t>
  </si>
  <si>
    <t>D:/OneDrive-Sync/Christian Dior Couture/APAC Management - Reports - Reports/iCristal/Images/VM24/</t>
  </si>
  <si>
    <t>./Output/Images/iCristal/</t>
  </si>
  <si>
    <t>D:/OneDrive-Sync/Christian Dior Couture/APAC Management - Reports - Reports/iCristal/Images/</t>
  </si>
  <si>
    <t>lastDataUpdate</t>
  </si>
  <si>
    <t>strSearch</t>
  </si>
  <si>
    <t>clkSelectionIcon</t>
  </si>
  <si>
    <t>//tbody//span[@class="mat-button-wrapper"]</t>
  </si>
  <si>
    <t>//button[@class="mat-focus-indicator mat-menu-trigger flatten-button mat-button mat-button-base ng-star-inserted"]</t>
  </si>
  <si>
    <t>//*[@class="mat-focus-indicator mat-menu-trigger flatten-button mat-button mat-button-base ng-star-inserted"]</t>
  </si>
  <si>
    <t>clkSelectionIcon_Store_Grouping</t>
  </si>
  <si>
    <t>//*[span="Store grouping"]</t>
  </si>
  <si>
    <t>clkSelectionIcon_Country</t>
  </si>
  <si>
    <t>//*[span="Country"]</t>
  </si>
  <si>
    <t>clkZONE</t>
  </si>
  <si>
    <t>//div[text()="ZONE"]</t>
  </si>
  <si>
    <t>clkZone_ALL</t>
  </si>
  <si>
    <t>//div[div=" ALL "][1]/div[2]</t>
  </si>
  <si>
    <t>clkExpandPacificAsia</t>
  </si>
  <si>
    <t>//div[div=" Pacific Asia "]/div[@class="filter-option-label"]</t>
  </si>
  <si>
    <t>clkBusinessUnit_ALL</t>
  </si>
  <si>
    <t>//div[div=" ALL "][2]/div[2]</t>
  </si>
  <si>
    <t>clkExpandWomenUniverse</t>
  </si>
  <si>
    <t>//div[div=" Women Universe "]/div[@class="clickable-zone"]/div[2]</t>
  </si>
  <si>
    <t>clkBackWBags</t>
  </si>
  <si>
    <t>//div[text()="W Bags"]</t>
  </si>
  <si>
    <t>clkBackWSLG</t>
  </si>
  <si>
    <t>//div[text()="Women SLG"]</t>
  </si>
  <si>
    <t>clkBackWRTW</t>
  </si>
  <si>
    <t>//div[text()="W RTW"]</t>
  </si>
  <si>
    <t>clkBackWShoes</t>
  </si>
  <si>
    <t>//div[text()="W Shoes"]</t>
  </si>
  <si>
    <t>clkBackWJ</t>
  </si>
  <si>
    <t>//div[text()="Jewellery &amp; Watches"]</t>
  </si>
  <si>
    <t>clkMens</t>
  </si>
  <si>
    <t>//div[text()=" Men Universe "]</t>
  </si>
  <si>
    <t>clkBackMens</t>
  </si>
  <si>
    <t>//div[text()="Men Universe"]</t>
  </si>
  <si>
    <t>clkMBags</t>
  </si>
  <si>
    <t>//div[text()=" M Bags "]</t>
  </si>
  <si>
    <t>clkBackMBags</t>
  </si>
  <si>
    <t>//div[text()="M Bags"]</t>
  </si>
  <si>
    <t>clkMSLG</t>
  </si>
  <si>
    <t>//div[text()=" M SLG "]</t>
  </si>
  <si>
    <t>clkMenSLG</t>
  </si>
  <si>
    <t>//div[text()=" Men SLG "]</t>
  </si>
  <si>
    <t>clkBackMenSLG</t>
  </si>
  <si>
    <t>//div[text()="Men SLG"]</t>
  </si>
  <si>
    <t>clkMRTW</t>
  </si>
  <si>
    <t>//div[text()=" M RTW "]</t>
  </si>
  <si>
    <t>clkBackMRTW</t>
  </si>
  <si>
    <t>//div[text()="M RTW"]</t>
  </si>
  <si>
    <t>clkMShoes</t>
  </si>
  <si>
    <t>//div[text()=" M Shoes "]</t>
  </si>
  <si>
    <t>clkBackMShoes</t>
  </si>
  <si>
    <t>//div[text()="M Shoes"]</t>
  </si>
  <si>
    <t>clkMACC</t>
  </si>
  <si>
    <t>//div[text()=" M Accessories "]</t>
  </si>
  <si>
    <t>clkBackMACC</t>
  </si>
  <si>
    <t>//div[text()="M Accessories"]</t>
  </si>
  <si>
    <t>clkMSpecial</t>
  </si>
  <si>
    <t>//div[text()=" M Special "]</t>
  </si>
  <si>
    <t>clkMenSpecial</t>
  </si>
  <si>
    <t>//div[text()=" Men Special "]</t>
  </si>
  <si>
    <t>clkBaby</t>
  </si>
  <si>
    <t>//div[text()=" Baby "]</t>
  </si>
  <si>
    <t>clkCloseLabel</t>
  </si>
  <si>
    <t>//div[@class="close-label"]</t>
  </si>
  <si>
    <t>iCristal</t>
  </si>
  <si>
    <t>https://qliksense.eu.dior.fashion/okta/extensions/icristal/index.html#/home</t>
  </si>
  <si>
    <t>url:iCristal</t>
  </si>
  <si>
    <t>checkLastDataUpdate</t>
  </si>
  <si>
    <t>wait:30,Last data available,logon_iCristal</t>
  </si>
  <si>
    <t>read:strSearch=Last data was imported at</t>
  </si>
  <si>
    <t>checkVariable:strSearch</t>
  </si>
  <si>
    <t>regexSearch:PACIFIC.ASIA.(..........),&lt;strSearch&gt;,lastDataUpdate</t>
  </si>
  <si>
    <t>checkVariable:lastDataUpdate</t>
  </si>
  <si>
    <t>if:variables["lastDataUpdate"]!="&lt;yesterdayDD_MM_YYYY&gt;":ifInCorrectDate</t>
  </si>
  <si>
    <t>Close</t>
  </si>
  <si>
    <t>ifInCorrectDate</t>
  </si>
  <si>
    <t>print:Report is  not up to date!</t>
  </si>
  <si>
    <t>if:&lt;runiCristal&gt;:runiCristal</t>
  </si>
  <si>
    <t>runiCristal</t>
  </si>
  <si>
    <t>print:***** RUN iCRISTAL ****** | runiCristal: &lt;runiCristal&gt; | NowTime: &lt;NowTime&gt;</t>
  </si>
  <si>
    <t>runModule:iCristal3</t>
  </si>
  <si>
    <t>table</t>
  </si>
  <si>
    <t>url:@&lt;URL_Dclick_Pages:URL&gt;</t>
  </si>
  <si>
    <t>url:@&lt;URL_pages:URL&gt;</t>
  </si>
  <si>
    <t>print: ----openPages 2 ---- | iterationCount &lt;iterationCount&gt; | codeList | &lt;URL_pages:Key&gt; | &lt;URL_pages:clickLists&gt; |</t>
  </si>
  <si>
    <t>chromeZoom:&lt;URL_pages:zoom_settings&gt;</t>
  </si>
  <si>
    <t>codeList:&lt;URL_pages:clickLists&gt;</t>
  </si>
  <si>
    <t>Filename</t>
  </si>
  <si>
    <t>snap:page,&lt;imageFolder&gt;&lt;URL_pages:Filename&gt;</t>
  </si>
  <si>
    <t>D:/OneDrive-Sync/Christian Dior Couture/APAC Management - Reports - Reports/iCristal/iCristalReport.pdf</t>
  </si>
  <si>
    <t>FileUpToDate</t>
  </si>
  <si>
    <t>CutOffDateTime</t>
  </si>
  <si>
    <t>snapImage</t>
  </si>
  <si>
    <t>if:&lt;URL_pages:FileUpToDate&gt;:snapImage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</si>
</sst>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F613-8845-4435-AB7E-D9BE40E16811}">
  <dimension ref="A1:G503"/>
  <sheetViews>
    <sheetView topLeftCell="A226" workbookViewId="0">
      <selection activeCell="C226" sqref="C226"/>
    </sheetView>
  </sheetViews>
  <sheetFormatPr defaultRowHeight="15" x14ac:dyDescent="0.25"/>
  <cols>
    <col min="1" max="1" width="9.140625" style="9"/>
    <col min="2" max="6" width="23" style="9" customWidth="1"/>
    <col min="7" max="16384" width="9.140625" style="9"/>
  </cols>
  <sheetData>
    <row r="1" spans="1:5" x14ac:dyDescent="0.25">
      <c r="A1" s="9" t="s">
        <v>12</v>
      </c>
      <c r="B1" s="9" t="s">
        <v>16</v>
      </c>
      <c r="C1" s="9" t="s">
        <v>11</v>
      </c>
      <c r="D1" s="9" t="s">
        <v>10</v>
      </c>
      <c r="E1" s="9" t="s">
        <v>8</v>
      </c>
    </row>
    <row r="2" spans="1:5" x14ac:dyDescent="0.25">
      <c r="A2" s="9" t="s">
        <v>13</v>
      </c>
      <c r="B2" s="9" t="s">
        <v>267</v>
      </c>
      <c r="C2" s="9" t="s">
        <v>268</v>
      </c>
      <c r="D2" s="9" t="s">
        <v>269</v>
      </c>
      <c r="E2" s="9" t="s">
        <v>270</v>
      </c>
    </row>
    <row r="3" spans="1:5" x14ac:dyDescent="0.25">
      <c r="C3" s="9" t="s">
        <v>271</v>
      </c>
      <c r="D3" s="9" t="s">
        <v>272</v>
      </c>
      <c r="E3" s="9" t="s">
        <v>273</v>
      </c>
    </row>
    <row r="4" spans="1:5" x14ac:dyDescent="0.25">
      <c r="C4" s="9" t="s">
        <v>274</v>
      </c>
    </row>
    <row r="5" spans="1:5" x14ac:dyDescent="0.25">
      <c r="C5" s="9" t="s">
        <v>275</v>
      </c>
    </row>
    <row r="6" spans="1:5" x14ac:dyDescent="0.25">
      <c r="C6" s="9" t="s">
        <v>276</v>
      </c>
    </row>
    <row r="7" spans="1:5" x14ac:dyDescent="0.25">
      <c r="C7" s="9" t="s">
        <v>277</v>
      </c>
    </row>
    <row r="8" spans="1:5" x14ac:dyDescent="0.25">
      <c r="C8" s="9" t="s">
        <v>278</v>
      </c>
    </row>
    <row r="9" spans="1:5" x14ac:dyDescent="0.25">
      <c r="C9" s="9" t="s">
        <v>279</v>
      </c>
    </row>
    <row r="10" spans="1:5" x14ac:dyDescent="0.25">
      <c r="C10" s="9" t="s">
        <v>280</v>
      </c>
    </row>
    <row r="11" spans="1:5" x14ac:dyDescent="0.25">
      <c r="C11" s="9" t="s">
        <v>281</v>
      </c>
    </row>
    <row r="12" spans="1:5" x14ac:dyDescent="0.25">
      <c r="C12" s="9" t="s">
        <v>282</v>
      </c>
    </row>
    <row r="13" spans="1:5" x14ac:dyDescent="0.25">
      <c r="C13" s="9" t="s">
        <v>283</v>
      </c>
    </row>
    <row r="14" spans="1:5" x14ac:dyDescent="0.25">
      <c r="C14" s="9" t="s">
        <v>284</v>
      </c>
    </row>
    <row r="15" spans="1:5" x14ac:dyDescent="0.25">
      <c r="C15" s="9" t="s">
        <v>285</v>
      </c>
    </row>
    <row r="16" spans="1:5" x14ac:dyDescent="0.25">
      <c r="C16" s="9" t="s">
        <v>286</v>
      </c>
    </row>
    <row r="17" spans="3:3" x14ac:dyDescent="0.25">
      <c r="C17" s="9" t="s">
        <v>287</v>
      </c>
    </row>
    <row r="18" spans="3:3" x14ac:dyDescent="0.25">
      <c r="C18" s="9" t="s">
        <v>288</v>
      </c>
    </row>
    <row r="19" spans="3:3" x14ac:dyDescent="0.25">
      <c r="C19" s="9" t="s">
        <v>289</v>
      </c>
    </row>
    <row r="20" spans="3:3" x14ac:dyDescent="0.25">
      <c r="C20" s="9" t="s">
        <v>290</v>
      </c>
    </row>
    <row r="21" spans="3:3" x14ac:dyDescent="0.25">
      <c r="C21" s="9" t="s">
        <v>291</v>
      </c>
    </row>
    <row r="22" spans="3:3" x14ac:dyDescent="0.25">
      <c r="C22" s="9" t="s">
        <v>292</v>
      </c>
    </row>
    <row r="23" spans="3:3" x14ac:dyDescent="0.25">
      <c r="C23" s="9" t="s">
        <v>293</v>
      </c>
    </row>
    <row r="24" spans="3:3" x14ac:dyDescent="0.25">
      <c r="C24" s="9" t="s">
        <v>294</v>
      </c>
    </row>
    <row r="25" spans="3:3" x14ac:dyDescent="0.25">
      <c r="C25" s="9" t="s">
        <v>295</v>
      </c>
    </row>
    <row r="26" spans="3:3" x14ac:dyDescent="0.25">
      <c r="C26" s="9" t="s">
        <v>296</v>
      </c>
    </row>
    <row r="27" spans="3:3" x14ac:dyDescent="0.25">
      <c r="C27" s="9" t="s">
        <v>297</v>
      </c>
    </row>
    <row r="28" spans="3:3" x14ac:dyDescent="0.25">
      <c r="C28" s="9" t="s">
        <v>298</v>
      </c>
    </row>
    <row r="29" spans="3:3" x14ac:dyDescent="0.25">
      <c r="C29" s="9" t="s">
        <v>299</v>
      </c>
    </row>
    <row r="30" spans="3:3" x14ac:dyDescent="0.25">
      <c r="C30" s="9" t="s">
        <v>300</v>
      </c>
    </row>
    <row r="31" spans="3:3" x14ac:dyDescent="0.25">
      <c r="C31" s="9" t="s">
        <v>301</v>
      </c>
    </row>
    <row r="32" spans="3:3" x14ac:dyDescent="0.25">
      <c r="C32" s="9" t="s">
        <v>302</v>
      </c>
    </row>
    <row r="33" spans="3:3" x14ac:dyDescent="0.25">
      <c r="C33" s="9" t="s">
        <v>303</v>
      </c>
    </row>
    <row r="34" spans="3:3" x14ac:dyDescent="0.25">
      <c r="C34" s="9" t="s">
        <v>304</v>
      </c>
    </row>
    <row r="35" spans="3:3" x14ac:dyDescent="0.25">
      <c r="C35" s="9" t="s">
        <v>305</v>
      </c>
    </row>
    <row r="36" spans="3:3" x14ac:dyDescent="0.25">
      <c r="C36" s="9" t="s">
        <v>306</v>
      </c>
    </row>
    <row r="37" spans="3:3" x14ac:dyDescent="0.25">
      <c r="C37" s="9" t="s">
        <v>307</v>
      </c>
    </row>
    <row r="38" spans="3:3" x14ac:dyDescent="0.25">
      <c r="C38" s="9" t="s">
        <v>308</v>
      </c>
    </row>
    <row r="39" spans="3:3" x14ac:dyDescent="0.25">
      <c r="C39" s="9" t="s">
        <v>309</v>
      </c>
    </row>
    <row r="40" spans="3:3" x14ac:dyDescent="0.25">
      <c r="C40" s="9" t="s">
        <v>310</v>
      </c>
    </row>
    <row r="41" spans="3:3" x14ac:dyDescent="0.25">
      <c r="C41" s="9" t="s">
        <v>311</v>
      </c>
    </row>
    <row r="42" spans="3:3" x14ac:dyDescent="0.25">
      <c r="C42" s="9" t="s">
        <v>312</v>
      </c>
    </row>
    <row r="43" spans="3:3" x14ac:dyDescent="0.25">
      <c r="C43" s="9" t="s">
        <v>313</v>
      </c>
    </row>
    <row r="44" spans="3:3" x14ac:dyDescent="0.25">
      <c r="C44" s="9" t="s">
        <v>314</v>
      </c>
    </row>
    <row r="45" spans="3:3" x14ac:dyDescent="0.25">
      <c r="C45" s="9" t="s">
        <v>315</v>
      </c>
    </row>
    <row r="46" spans="3:3" x14ac:dyDescent="0.25">
      <c r="C46" s="9" t="s">
        <v>316</v>
      </c>
    </row>
    <row r="47" spans="3:3" x14ac:dyDescent="0.25">
      <c r="C47" s="9" t="s">
        <v>317</v>
      </c>
    </row>
    <row r="48" spans="3:3" x14ac:dyDescent="0.25">
      <c r="C48" s="9" t="s">
        <v>318</v>
      </c>
    </row>
    <row r="49" spans="3:3" x14ac:dyDescent="0.25">
      <c r="C49" s="9" t="s">
        <v>319</v>
      </c>
    </row>
    <row r="50" spans="3:3" x14ac:dyDescent="0.25">
      <c r="C50" s="9" t="s">
        <v>320</v>
      </c>
    </row>
    <row r="51" spans="3:3" x14ac:dyDescent="0.25">
      <c r="C51" s="9" t="s">
        <v>321</v>
      </c>
    </row>
    <row r="52" spans="3:3" x14ac:dyDescent="0.25">
      <c r="C52" s="9" t="s">
        <v>322</v>
      </c>
    </row>
    <row r="53" spans="3:3" x14ac:dyDescent="0.25">
      <c r="C53" s="9" t="s">
        <v>323</v>
      </c>
    </row>
    <row r="54" spans="3:3" x14ac:dyDescent="0.25">
      <c r="C54" s="9" t="s">
        <v>324</v>
      </c>
    </row>
    <row r="55" spans="3:3" x14ac:dyDescent="0.25">
      <c r="C55" s="9" t="s">
        <v>325</v>
      </c>
    </row>
    <row r="56" spans="3:3" x14ac:dyDescent="0.25">
      <c r="C56" s="9" t="s">
        <v>326</v>
      </c>
    </row>
    <row r="57" spans="3:3" x14ac:dyDescent="0.25">
      <c r="C57" s="9" t="s">
        <v>327</v>
      </c>
    </row>
    <row r="58" spans="3:3" x14ac:dyDescent="0.25">
      <c r="C58" s="9" t="s">
        <v>328</v>
      </c>
    </row>
    <row r="59" spans="3:3" x14ac:dyDescent="0.25">
      <c r="C59" s="9" t="s">
        <v>329</v>
      </c>
    </row>
    <row r="60" spans="3:3" x14ac:dyDescent="0.25">
      <c r="C60" s="9" t="s">
        <v>330</v>
      </c>
    </row>
    <row r="61" spans="3:3" x14ac:dyDescent="0.25">
      <c r="C61" s="9" t="s">
        <v>331</v>
      </c>
    </row>
    <row r="62" spans="3:3" x14ac:dyDescent="0.25">
      <c r="C62" s="9" t="s">
        <v>332</v>
      </c>
    </row>
    <row r="63" spans="3:3" x14ac:dyDescent="0.25">
      <c r="C63" s="9" t="s">
        <v>333</v>
      </c>
    </row>
    <row r="64" spans="3:3" x14ac:dyDescent="0.25">
      <c r="C64" s="9" t="s">
        <v>334</v>
      </c>
    </row>
    <row r="65" spans="1:4" x14ac:dyDescent="0.25">
      <c r="C65" s="9" t="s">
        <v>335</v>
      </c>
    </row>
    <row r="66" spans="1:4" x14ac:dyDescent="0.25">
      <c r="C66" s="9" t="s">
        <v>336</v>
      </c>
    </row>
    <row r="67" spans="1:4" x14ac:dyDescent="0.25">
      <c r="C67" s="9" t="s">
        <v>337</v>
      </c>
    </row>
    <row r="68" spans="1:4" x14ac:dyDescent="0.25">
      <c r="C68" s="9" t="s">
        <v>338</v>
      </c>
    </row>
    <row r="69" spans="1:4" x14ac:dyDescent="0.25">
      <c r="C69" s="9" t="s">
        <v>339</v>
      </c>
    </row>
    <row r="70" spans="1:4" x14ac:dyDescent="0.25">
      <c r="C70" s="9" t="s">
        <v>340</v>
      </c>
    </row>
    <row r="71" spans="1:4" x14ac:dyDescent="0.25">
      <c r="C71" s="9" t="s">
        <v>341</v>
      </c>
      <c r="D71" s="9" t="s">
        <v>342</v>
      </c>
    </row>
    <row r="72" spans="1:4" x14ac:dyDescent="0.25">
      <c r="C72" s="9" t="s">
        <v>343</v>
      </c>
    </row>
    <row r="73" spans="1:4" x14ac:dyDescent="0.25">
      <c r="C73" s="9" t="s">
        <v>344</v>
      </c>
    </row>
    <row r="74" spans="1:4" x14ac:dyDescent="0.25">
      <c r="C74" s="9" t="s">
        <v>345</v>
      </c>
    </row>
    <row r="75" spans="1:4" x14ac:dyDescent="0.25">
      <c r="C75" s="9" t="s">
        <v>346</v>
      </c>
      <c r="D75" s="9" t="s">
        <v>347</v>
      </c>
    </row>
    <row r="76" spans="1:4" x14ac:dyDescent="0.25">
      <c r="C76" s="9" t="s">
        <v>348</v>
      </c>
    </row>
    <row r="77" spans="1:4" x14ac:dyDescent="0.25">
      <c r="C77" s="9" t="s">
        <v>349</v>
      </c>
    </row>
    <row r="79" spans="1:4" x14ac:dyDescent="0.25">
      <c r="A79" s="9" t="s">
        <v>13</v>
      </c>
      <c r="B79" s="9" t="s">
        <v>350</v>
      </c>
      <c r="C79" s="9" t="s">
        <v>268</v>
      </c>
      <c r="D79" s="9">
        <v>3</v>
      </c>
    </row>
    <row r="80" spans="1:4" x14ac:dyDescent="0.25">
      <c r="C80" s="9" t="s">
        <v>271</v>
      </c>
      <c r="D80" s="9">
        <v>-3</v>
      </c>
    </row>
    <row r="81" spans="3:3" x14ac:dyDescent="0.25">
      <c r="C81" s="9" t="s">
        <v>274</v>
      </c>
    </row>
    <row r="82" spans="3:3" x14ac:dyDescent="0.25">
      <c r="C82" s="9" t="s">
        <v>275</v>
      </c>
    </row>
    <row r="83" spans="3:3" x14ac:dyDescent="0.25">
      <c r="C83" s="9" t="s">
        <v>276</v>
      </c>
    </row>
    <row r="84" spans="3:3" x14ac:dyDescent="0.25">
      <c r="C84" s="9" t="s">
        <v>277</v>
      </c>
    </row>
    <row r="85" spans="3:3" x14ac:dyDescent="0.25">
      <c r="C85" s="9" t="s">
        <v>278</v>
      </c>
    </row>
    <row r="86" spans="3:3" x14ac:dyDescent="0.25">
      <c r="C86" s="9" t="s">
        <v>279</v>
      </c>
    </row>
    <row r="87" spans="3:3" x14ac:dyDescent="0.25">
      <c r="C87" s="9" t="s">
        <v>280</v>
      </c>
    </row>
    <row r="88" spans="3:3" x14ac:dyDescent="0.25">
      <c r="C88" s="9" t="s">
        <v>281</v>
      </c>
    </row>
    <row r="89" spans="3:3" x14ac:dyDescent="0.25">
      <c r="C89" s="9" t="s">
        <v>282</v>
      </c>
    </row>
    <row r="90" spans="3:3" x14ac:dyDescent="0.25">
      <c r="C90" s="9" t="s">
        <v>283</v>
      </c>
    </row>
    <row r="91" spans="3:3" x14ac:dyDescent="0.25">
      <c r="C91" s="9" t="s">
        <v>284</v>
      </c>
    </row>
    <row r="92" spans="3:3" x14ac:dyDescent="0.25">
      <c r="C92" s="9" t="s">
        <v>285</v>
      </c>
    </row>
    <row r="93" spans="3:3" x14ac:dyDescent="0.25">
      <c r="C93" s="9" t="s">
        <v>286</v>
      </c>
    </row>
    <row r="94" spans="3:3" x14ac:dyDescent="0.25">
      <c r="C94" s="9" t="s">
        <v>287</v>
      </c>
    </row>
    <row r="95" spans="3:3" x14ac:dyDescent="0.25">
      <c r="C95" s="9" t="s">
        <v>288</v>
      </c>
    </row>
    <row r="96" spans="3:3" x14ac:dyDescent="0.25">
      <c r="C96" s="9" t="s">
        <v>289</v>
      </c>
    </row>
    <row r="97" spans="3:3" x14ac:dyDescent="0.25">
      <c r="C97" s="9" t="s">
        <v>290</v>
      </c>
    </row>
    <row r="98" spans="3:3" x14ac:dyDescent="0.25">
      <c r="C98" s="9" t="s">
        <v>291</v>
      </c>
    </row>
    <row r="99" spans="3:3" x14ac:dyDescent="0.25">
      <c r="C99" s="9" t="s">
        <v>292</v>
      </c>
    </row>
    <row r="100" spans="3:3" x14ac:dyDescent="0.25">
      <c r="C100" s="9" t="s">
        <v>293</v>
      </c>
    </row>
    <row r="101" spans="3:3" x14ac:dyDescent="0.25">
      <c r="C101" s="9" t="s">
        <v>294</v>
      </c>
    </row>
    <row r="102" spans="3:3" x14ac:dyDescent="0.25">
      <c r="C102" s="9" t="s">
        <v>295</v>
      </c>
    </row>
    <row r="103" spans="3:3" x14ac:dyDescent="0.25">
      <c r="C103" s="9" t="s">
        <v>296</v>
      </c>
    </row>
    <row r="104" spans="3:3" x14ac:dyDescent="0.25">
      <c r="C104" s="9" t="s">
        <v>297</v>
      </c>
    </row>
    <row r="105" spans="3:3" x14ac:dyDescent="0.25">
      <c r="C105" s="9" t="s">
        <v>298</v>
      </c>
    </row>
    <row r="106" spans="3:3" x14ac:dyDescent="0.25">
      <c r="C106" s="9" t="s">
        <v>299</v>
      </c>
    </row>
    <row r="107" spans="3:3" x14ac:dyDescent="0.25">
      <c r="C107" s="9" t="s">
        <v>300</v>
      </c>
    </row>
    <row r="108" spans="3:3" x14ac:dyDescent="0.25">
      <c r="C108" s="9" t="s">
        <v>301</v>
      </c>
    </row>
    <row r="109" spans="3:3" x14ac:dyDescent="0.25">
      <c r="C109" s="9" t="s">
        <v>302</v>
      </c>
    </row>
    <row r="110" spans="3:3" x14ac:dyDescent="0.25">
      <c r="C110" s="9" t="s">
        <v>303</v>
      </c>
    </row>
    <row r="111" spans="3:3" x14ac:dyDescent="0.25">
      <c r="C111" s="9" t="s">
        <v>304</v>
      </c>
    </row>
    <row r="112" spans="3:3" x14ac:dyDescent="0.25">
      <c r="C112" s="9" t="s">
        <v>305</v>
      </c>
    </row>
    <row r="113" spans="3:3" x14ac:dyDescent="0.25">
      <c r="C113" s="9" t="s">
        <v>306</v>
      </c>
    </row>
    <row r="114" spans="3:3" x14ac:dyDescent="0.25">
      <c r="C114" s="9" t="s">
        <v>307</v>
      </c>
    </row>
    <row r="115" spans="3:3" x14ac:dyDescent="0.25">
      <c r="C115" s="9" t="s">
        <v>308</v>
      </c>
    </row>
    <row r="116" spans="3:3" x14ac:dyDescent="0.25">
      <c r="C116" s="9" t="s">
        <v>309</v>
      </c>
    </row>
    <row r="117" spans="3:3" x14ac:dyDescent="0.25">
      <c r="C117" s="9" t="s">
        <v>310</v>
      </c>
    </row>
    <row r="118" spans="3:3" x14ac:dyDescent="0.25">
      <c r="C118" s="9" t="s">
        <v>311</v>
      </c>
    </row>
    <row r="119" spans="3:3" x14ac:dyDescent="0.25">
      <c r="C119" s="9" t="s">
        <v>312</v>
      </c>
    </row>
    <row r="120" spans="3:3" x14ac:dyDescent="0.25">
      <c r="C120" s="9" t="s">
        <v>313</v>
      </c>
    </row>
    <row r="121" spans="3:3" x14ac:dyDescent="0.25">
      <c r="C121" s="9" t="s">
        <v>314</v>
      </c>
    </row>
    <row r="122" spans="3:3" x14ac:dyDescent="0.25">
      <c r="C122" s="9" t="s">
        <v>315</v>
      </c>
    </row>
    <row r="123" spans="3:3" x14ac:dyDescent="0.25">
      <c r="C123" s="9" t="s">
        <v>316</v>
      </c>
    </row>
    <row r="124" spans="3:3" x14ac:dyDescent="0.25">
      <c r="C124" s="9" t="s">
        <v>317</v>
      </c>
    </row>
    <row r="125" spans="3:3" x14ac:dyDescent="0.25">
      <c r="C125" s="9" t="s">
        <v>318</v>
      </c>
    </row>
    <row r="126" spans="3:3" x14ac:dyDescent="0.25">
      <c r="C126" s="9" t="s">
        <v>319</v>
      </c>
    </row>
    <row r="127" spans="3:3" x14ac:dyDescent="0.25">
      <c r="C127" s="9" t="s">
        <v>320</v>
      </c>
    </row>
    <row r="128" spans="3:3" x14ac:dyDescent="0.25">
      <c r="C128" s="9" t="s">
        <v>321</v>
      </c>
    </row>
    <row r="129" spans="3:3" x14ac:dyDescent="0.25">
      <c r="C129" s="9" t="s">
        <v>322</v>
      </c>
    </row>
    <row r="130" spans="3:3" x14ac:dyDescent="0.25">
      <c r="C130" s="9" t="s">
        <v>323</v>
      </c>
    </row>
    <row r="131" spans="3:3" x14ac:dyDescent="0.25">
      <c r="C131" s="9" t="s">
        <v>324</v>
      </c>
    </row>
    <row r="132" spans="3:3" x14ac:dyDescent="0.25">
      <c r="C132" s="9" t="s">
        <v>325</v>
      </c>
    </row>
    <row r="133" spans="3:3" x14ac:dyDescent="0.25">
      <c r="C133" s="9" t="s">
        <v>326</v>
      </c>
    </row>
    <row r="134" spans="3:3" x14ac:dyDescent="0.25">
      <c r="C134" s="9" t="s">
        <v>327</v>
      </c>
    </row>
    <row r="135" spans="3:3" x14ac:dyDescent="0.25">
      <c r="C135" s="9" t="s">
        <v>328</v>
      </c>
    </row>
    <row r="136" spans="3:3" x14ac:dyDescent="0.25">
      <c r="C136" s="9" t="s">
        <v>329</v>
      </c>
    </row>
    <row r="137" spans="3:3" x14ac:dyDescent="0.25">
      <c r="C137" s="9" t="s">
        <v>330</v>
      </c>
    </row>
    <row r="138" spans="3:3" x14ac:dyDescent="0.25">
      <c r="C138" s="9" t="s">
        <v>331</v>
      </c>
    </row>
    <row r="139" spans="3:3" x14ac:dyDescent="0.25">
      <c r="C139" s="9" t="s">
        <v>332</v>
      </c>
    </row>
    <row r="140" spans="3:3" x14ac:dyDescent="0.25">
      <c r="C140" s="9" t="s">
        <v>333</v>
      </c>
    </row>
    <row r="141" spans="3:3" x14ac:dyDescent="0.25">
      <c r="C141" s="9" t="s">
        <v>334</v>
      </c>
    </row>
    <row r="142" spans="3:3" x14ac:dyDescent="0.25">
      <c r="C142" s="9" t="s">
        <v>335</v>
      </c>
    </row>
    <row r="143" spans="3:3" x14ac:dyDescent="0.25">
      <c r="C143" s="9" t="s">
        <v>336</v>
      </c>
    </row>
    <row r="144" spans="3:3" x14ac:dyDescent="0.25">
      <c r="C144" s="9" t="s">
        <v>337</v>
      </c>
    </row>
    <row r="145" spans="1:7" x14ac:dyDescent="0.25">
      <c r="C145" s="9" t="s">
        <v>338</v>
      </c>
    </row>
    <row r="146" spans="1:7" x14ac:dyDescent="0.25">
      <c r="C146" s="9" t="s">
        <v>339</v>
      </c>
    </row>
    <row r="147" spans="1:7" x14ac:dyDescent="0.25">
      <c r="C147" s="9" t="s">
        <v>340</v>
      </c>
    </row>
    <row r="148" spans="1:7" x14ac:dyDescent="0.25">
      <c r="C148" s="9" t="s">
        <v>341</v>
      </c>
    </row>
    <row r="149" spans="1:7" x14ac:dyDescent="0.25">
      <c r="C149" s="9" t="s">
        <v>343</v>
      </c>
    </row>
    <row r="150" spans="1:7" x14ac:dyDescent="0.25">
      <c r="C150" s="9" t="s">
        <v>344</v>
      </c>
    </row>
    <row r="151" spans="1:7" x14ac:dyDescent="0.25">
      <c r="C151" s="9" t="s">
        <v>345</v>
      </c>
    </row>
    <row r="152" spans="1:7" x14ac:dyDescent="0.25">
      <c r="C152" s="9" t="s">
        <v>346</v>
      </c>
    </row>
    <row r="153" spans="1:7" x14ac:dyDescent="0.25">
      <c r="C153" s="9" t="s">
        <v>348</v>
      </c>
    </row>
    <row r="154" spans="1:7" x14ac:dyDescent="0.25">
      <c r="C154" s="9" t="s">
        <v>349</v>
      </c>
    </row>
    <row r="156" spans="1:7" x14ac:dyDescent="0.25">
      <c r="A156" s="9" t="s">
        <v>13</v>
      </c>
      <c r="B156" s="9" t="s">
        <v>351</v>
      </c>
      <c r="C156" s="9" t="s">
        <v>352</v>
      </c>
      <c r="D156" s="9" t="s">
        <v>234</v>
      </c>
    </row>
    <row r="157" spans="1:7" x14ac:dyDescent="0.25">
      <c r="C157" s="9" t="s">
        <v>353</v>
      </c>
      <c r="D157" s="9" t="s">
        <v>354</v>
      </c>
      <c r="G157" s="9" t="s">
        <v>355</v>
      </c>
    </row>
    <row r="158" spans="1:7" x14ac:dyDescent="0.25">
      <c r="C158" s="9" t="s">
        <v>356</v>
      </c>
      <c r="D158" s="9" t="s">
        <v>357</v>
      </c>
      <c r="G158" s="9" t="s">
        <v>358</v>
      </c>
    </row>
    <row r="159" spans="1:7" x14ac:dyDescent="0.25">
      <c r="C159" s="9" t="s">
        <v>359</v>
      </c>
      <c r="D159" s="9" t="s">
        <v>360</v>
      </c>
      <c r="G159" s="9" t="s">
        <v>361</v>
      </c>
    </row>
    <row r="160" spans="1:7" x14ac:dyDescent="0.25">
      <c r="C160" s="9" t="s">
        <v>362</v>
      </c>
      <c r="D160" s="9" t="s">
        <v>363</v>
      </c>
    </row>
    <row r="161" spans="3:4" x14ac:dyDescent="0.25">
      <c r="C161" s="9" t="s">
        <v>364</v>
      </c>
      <c r="D161" s="9" t="s">
        <v>365</v>
      </c>
    </row>
    <row r="162" spans="3:4" x14ac:dyDescent="0.25">
      <c r="C162" s="9" t="s">
        <v>366</v>
      </c>
      <c r="D162" s="9" t="s">
        <v>357</v>
      </c>
    </row>
    <row r="163" spans="3:4" x14ac:dyDescent="0.25">
      <c r="C163" s="9" t="s">
        <v>367</v>
      </c>
      <c r="D163" s="9" t="s">
        <v>360</v>
      </c>
    </row>
    <row r="164" spans="3:4" x14ac:dyDescent="0.25">
      <c r="C164" s="9" t="s">
        <v>368</v>
      </c>
      <c r="D164" s="9" t="s">
        <v>363</v>
      </c>
    </row>
    <row r="165" spans="3:4" x14ac:dyDescent="0.25">
      <c r="C165" s="9" t="s">
        <v>369</v>
      </c>
      <c r="D165" s="9" t="s">
        <v>370</v>
      </c>
    </row>
    <row r="166" spans="3:4" x14ac:dyDescent="0.25">
      <c r="C166" s="9" t="s">
        <v>371</v>
      </c>
      <c r="D166" s="9" t="s">
        <v>357</v>
      </c>
    </row>
    <row r="167" spans="3:4" x14ac:dyDescent="0.25">
      <c r="C167" s="9" t="s">
        <v>372</v>
      </c>
      <c r="D167" s="9" t="s">
        <v>360</v>
      </c>
    </row>
    <row r="168" spans="3:4" x14ac:dyDescent="0.25">
      <c r="C168" s="9" t="s">
        <v>373</v>
      </c>
      <c r="D168" s="9" t="s">
        <v>363</v>
      </c>
    </row>
    <row r="169" spans="3:4" x14ac:dyDescent="0.25">
      <c r="C169" s="9" t="s">
        <v>374</v>
      </c>
      <c r="D169" s="9" t="s">
        <v>375</v>
      </c>
    </row>
    <row r="170" spans="3:4" x14ac:dyDescent="0.25">
      <c r="C170" s="9" t="s">
        <v>376</v>
      </c>
      <c r="D170" s="9" t="s">
        <v>357</v>
      </c>
    </row>
    <row r="171" spans="3:4" x14ac:dyDescent="0.25">
      <c r="C171" s="9" t="s">
        <v>377</v>
      </c>
      <c r="D171" s="9" t="s">
        <v>360</v>
      </c>
    </row>
    <row r="172" spans="3:4" x14ac:dyDescent="0.25">
      <c r="C172" s="9" t="s">
        <v>378</v>
      </c>
      <c r="D172" s="9" t="s">
        <v>363</v>
      </c>
    </row>
    <row r="173" spans="3:4" x14ac:dyDescent="0.25">
      <c r="C173" s="9" t="s">
        <v>379</v>
      </c>
      <c r="D173" s="9" t="s">
        <v>380</v>
      </c>
    </row>
    <row r="174" spans="3:4" x14ac:dyDescent="0.25">
      <c r="C174" s="9" t="s">
        <v>381</v>
      </c>
      <c r="D174" s="9" t="s">
        <v>357</v>
      </c>
    </row>
    <row r="175" spans="3:4" x14ac:dyDescent="0.25">
      <c r="C175" s="9" t="s">
        <v>382</v>
      </c>
      <c r="D175" s="9" t="s">
        <v>360</v>
      </c>
    </row>
    <row r="176" spans="3:4" x14ac:dyDescent="0.25">
      <c r="C176" s="9" t="s">
        <v>383</v>
      </c>
      <c r="D176" s="9" t="s">
        <v>363</v>
      </c>
    </row>
    <row r="177" spans="3:4" x14ac:dyDescent="0.25">
      <c r="C177" s="9" t="s">
        <v>384</v>
      </c>
      <c r="D177" s="9" t="s">
        <v>385</v>
      </c>
    </row>
    <row r="178" spans="3:4" x14ac:dyDescent="0.25">
      <c r="C178" s="9" t="s">
        <v>386</v>
      </c>
      <c r="D178" s="9" t="s">
        <v>357</v>
      </c>
    </row>
    <row r="179" spans="3:4" x14ac:dyDescent="0.25">
      <c r="C179" s="9" t="s">
        <v>387</v>
      </c>
      <c r="D179" s="9" t="s">
        <v>360</v>
      </c>
    </row>
    <row r="180" spans="3:4" x14ac:dyDescent="0.25">
      <c r="C180" s="9" t="s">
        <v>388</v>
      </c>
      <c r="D180" s="9" t="s">
        <v>363</v>
      </c>
    </row>
    <row r="181" spans="3:4" x14ac:dyDescent="0.25">
      <c r="C181" s="9" t="s">
        <v>389</v>
      </c>
      <c r="D181" s="9" t="s">
        <v>390</v>
      </c>
    </row>
    <row r="182" spans="3:4" x14ac:dyDescent="0.25">
      <c r="C182" s="9" t="s">
        <v>391</v>
      </c>
      <c r="D182" s="9" t="s">
        <v>357</v>
      </c>
    </row>
    <row r="183" spans="3:4" x14ac:dyDescent="0.25">
      <c r="C183" s="9" t="s">
        <v>392</v>
      </c>
      <c r="D183" s="9" t="s">
        <v>360</v>
      </c>
    </row>
    <row r="184" spans="3:4" x14ac:dyDescent="0.25">
      <c r="C184" s="9" t="s">
        <v>393</v>
      </c>
      <c r="D184" s="9" t="s">
        <v>363</v>
      </c>
    </row>
    <row r="185" spans="3:4" x14ac:dyDescent="0.25">
      <c r="C185" s="9" t="s">
        <v>394</v>
      </c>
      <c r="D185" s="9" t="s">
        <v>395</v>
      </c>
    </row>
    <row r="186" spans="3:4" x14ac:dyDescent="0.25">
      <c r="C186" s="9" t="s">
        <v>396</v>
      </c>
      <c r="D186" s="9" t="s">
        <v>357</v>
      </c>
    </row>
    <row r="187" spans="3:4" x14ac:dyDescent="0.25">
      <c r="C187" s="9" t="s">
        <v>397</v>
      </c>
      <c r="D187" s="9" t="s">
        <v>360</v>
      </c>
    </row>
    <row r="188" spans="3:4" x14ac:dyDescent="0.25">
      <c r="C188" s="9" t="s">
        <v>398</v>
      </c>
      <c r="D188" s="9" t="s">
        <v>363</v>
      </c>
    </row>
    <row r="189" spans="3:4" x14ac:dyDescent="0.25">
      <c r="C189" s="9" t="s">
        <v>399</v>
      </c>
      <c r="D189" s="9" t="s">
        <v>400</v>
      </c>
    </row>
    <row r="190" spans="3:4" x14ac:dyDescent="0.25">
      <c r="C190" s="9" t="s">
        <v>401</v>
      </c>
      <c r="D190" s="9" t="s">
        <v>357</v>
      </c>
    </row>
    <row r="191" spans="3:4" x14ac:dyDescent="0.25">
      <c r="C191" s="9" t="s">
        <v>402</v>
      </c>
      <c r="D191" s="9" t="s">
        <v>360</v>
      </c>
    </row>
    <row r="192" spans="3:4" x14ac:dyDescent="0.25">
      <c r="C192" s="9" t="s">
        <v>403</v>
      </c>
      <c r="D192" s="9" t="s">
        <v>363</v>
      </c>
    </row>
    <row r="193" spans="3:4" x14ac:dyDescent="0.25">
      <c r="C193" s="9" t="s">
        <v>404</v>
      </c>
      <c r="D193" s="9" t="s">
        <v>405</v>
      </c>
    </row>
    <row r="194" spans="3:4" x14ac:dyDescent="0.25">
      <c r="C194" s="9" t="s">
        <v>406</v>
      </c>
      <c r="D194" s="9" t="s">
        <v>357</v>
      </c>
    </row>
    <row r="195" spans="3:4" x14ac:dyDescent="0.25">
      <c r="C195" s="9" t="s">
        <v>407</v>
      </c>
      <c r="D195" s="9" t="s">
        <v>360</v>
      </c>
    </row>
    <row r="196" spans="3:4" x14ac:dyDescent="0.25">
      <c r="C196" s="9" t="s">
        <v>408</v>
      </c>
      <c r="D196" s="9" t="s">
        <v>363</v>
      </c>
    </row>
    <row r="197" spans="3:4" x14ac:dyDescent="0.25">
      <c r="C197" s="9" t="s">
        <v>409</v>
      </c>
      <c r="D197" s="9" t="s">
        <v>410</v>
      </c>
    </row>
    <row r="198" spans="3:4" x14ac:dyDescent="0.25">
      <c r="C198" s="9" t="s">
        <v>411</v>
      </c>
      <c r="D198" s="9" t="s">
        <v>357</v>
      </c>
    </row>
    <row r="199" spans="3:4" x14ac:dyDescent="0.25">
      <c r="C199" s="9" t="s">
        <v>412</v>
      </c>
      <c r="D199" s="9" t="s">
        <v>360</v>
      </c>
    </row>
    <row r="200" spans="3:4" x14ac:dyDescent="0.25">
      <c r="C200" s="9" t="s">
        <v>413</v>
      </c>
      <c r="D200" s="9" t="s">
        <v>363</v>
      </c>
    </row>
    <row r="201" spans="3:4" x14ac:dyDescent="0.25">
      <c r="C201" s="9" t="s">
        <v>414</v>
      </c>
      <c r="D201" s="9" t="s">
        <v>415</v>
      </c>
    </row>
    <row r="202" spans="3:4" x14ac:dyDescent="0.25">
      <c r="C202" s="9" t="s">
        <v>416</v>
      </c>
      <c r="D202" s="9" t="s">
        <v>357</v>
      </c>
    </row>
    <row r="203" spans="3:4" x14ac:dyDescent="0.25">
      <c r="C203" s="9" t="s">
        <v>417</v>
      </c>
      <c r="D203" s="9" t="s">
        <v>360</v>
      </c>
    </row>
    <row r="204" spans="3:4" x14ac:dyDescent="0.25">
      <c r="C204" s="9" t="s">
        <v>418</v>
      </c>
      <c r="D204" s="9" t="s">
        <v>363</v>
      </c>
    </row>
    <row r="205" spans="3:4" x14ac:dyDescent="0.25">
      <c r="C205" s="9" t="s">
        <v>419</v>
      </c>
      <c r="D205" s="9" t="s">
        <v>420</v>
      </c>
    </row>
    <row r="206" spans="3:4" x14ac:dyDescent="0.25">
      <c r="C206" s="9" t="s">
        <v>421</v>
      </c>
      <c r="D206" s="9" t="s">
        <v>357</v>
      </c>
    </row>
    <row r="207" spans="3:4" x14ac:dyDescent="0.25">
      <c r="C207" s="9" t="s">
        <v>422</v>
      </c>
      <c r="D207" s="9" t="s">
        <v>360</v>
      </c>
    </row>
    <row r="208" spans="3:4" x14ac:dyDescent="0.25">
      <c r="C208" s="9" t="s">
        <v>423</v>
      </c>
      <c r="D208" s="9" t="s">
        <v>363</v>
      </c>
    </row>
    <row r="209" spans="3:4" x14ac:dyDescent="0.25">
      <c r="C209" s="9" t="s">
        <v>424</v>
      </c>
      <c r="D209" s="9" t="s">
        <v>425</v>
      </c>
    </row>
    <row r="210" spans="3:4" x14ac:dyDescent="0.25">
      <c r="C210" s="9" t="s">
        <v>426</v>
      </c>
      <c r="D210" s="9" t="s">
        <v>357</v>
      </c>
    </row>
    <row r="211" spans="3:4" x14ac:dyDescent="0.25">
      <c r="C211" s="9" t="s">
        <v>427</v>
      </c>
      <c r="D211" s="9" t="s">
        <v>360</v>
      </c>
    </row>
    <row r="212" spans="3:4" x14ac:dyDescent="0.25">
      <c r="C212" s="9" t="s">
        <v>428</v>
      </c>
      <c r="D212" s="9" t="s">
        <v>363</v>
      </c>
    </row>
    <row r="213" spans="3:4" x14ac:dyDescent="0.25">
      <c r="C213" s="9" t="s">
        <v>429</v>
      </c>
      <c r="D213" s="9" t="s">
        <v>430</v>
      </c>
    </row>
    <row r="214" spans="3:4" x14ac:dyDescent="0.25">
      <c r="C214" s="9" t="s">
        <v>431</v>
      </c>
      <c r="D214" s="9" t="s">
        <v>357</v>
      </c>
    </row>
    <row r="215" spans="3:4" x14ac:dyDescent="0.25">
      <c r="C215" s="9" t="s">
        <v>432</v>
      </c>
      <c r="D215" s="9" t="s">
        <v>360</v>
      </c>
    </row>
    <row r="216" spans="3:4" x14ac:dyDescent="0.25">
      <c r="C216" s="9" t="s">
        <v>433</v>
      </c>
      <c r="D216" s="9" t="s">
        <v>363</v>
      </c>
    </row>
    <row r="217" spans="3:4" x14ac:dyDescent="0.25">
      <c r="C217" s="9" t="s">
        <v>434</v>
      </c>
      <c r="D217" s="9" t="s">
        <v>435</v>
      </c>
    </row>
    <row r="218" spans="3:4" x14ac:dyDescent="0.25">
      <c r="C218" s="9" t="s">
        <v>436</v>
      </c>
      <c r="D218" s="9" t="s">
        <v>357</v>
      </c>
    </row>
    <row r="219" spans="3:4" x14ac:dyDescent="0.25">
      <c r="C219" s="9" t="s">
        <v>437</v>
      </c>
      <c r="D219" s="9" t="s">
        <v>360</v>
      </c>
    </row>
    <row r="220" spans="3:4" x14ac:dyDescent="0.25">
      <c r="C220" s="9" t="s">
        <v>438</v>
      </c>
      <c r="D220" s="9" t="s">
        <v>363</v>
      </c>
    </row>
    <row r="221" spans="3:4" x14ac:dyDescent="0.25">
      <c r="C221" s="9" t="s">
        <v>439</v>
      </c>
      <c r="D221" s="9" t="s">
        <v>440</v>
      </c>
    </row>
    <row r="222" spans="3:4" x14ac:dyDescent="0.25">
      <c r="C222" s="9" t="s">
        <v>441</v>
      </c>
      <c r="D222" s="9" t="s">
        <v>357</v>
      </c>
    </row>
    <row r="223" spans="3:4" x14ac:dyDescent="0.25">
      <c r="C223" s="9" t="s">
        <v>442</v>
      </c>
      <c r="D223" s="9" t="s">
        <v>360</v>
      </c>
    </row>
    <row r="224" spans="3:4" x14ac:dyDescent="0.25">
      <c r="C224" s="9" t="s">
        <v>443</v>
      </c>
      <c r="D224" s="9" t="s">
        <v>363</v>
      </c>
    </row>
    <row r="225" spans="1:4" x14ac:dyDescent="0.25">
      <c r="C225" s="9" t="s">
        <v>444</v>
      </c>
      <c r="D225" s="9" t="s">
        <v>445</v>
      </c>
    </row>
    <row r="226" spans="1:4" x14ac:dyDescent="0.25">
      <c r="C226" s="9" t="s">
        <v>446</v>
      </c>
      <c r="D226" s="9" t="s">
        <v>357</v>
      </c>
    </row>
    <row r="227" spans="1:4" x14ac:dyDescent="0.25">
      <c r="C227" s="9" t="s">
        <v>447</v>
      </c>
      <c r="D227" s="9" t="s">
        <v>360</v>
      </c>
    </row>
    <row r="228" spans="1:4" x14ac:dyDescent="0.25">
      <c r="C228" s="9" t="s">
        <v>448</v>
      </c>
      <c r="D228" s="9" t="s">
        <v>363</v>
      </c>
    </row>
    <row r="229" spans="1:4" x14ac:dyDescent="0.25">
      <c r="C229" s="9" t="s">
        <v>449</v>
      </c>
      <c r="D229" s="9" t="s">
        <v>450</v>
      </c>
    </row>
    <row r="230" spans="1:4" x14ac:dyDescent="0.25">
      <c r="C230" s="9" t="s">
        <v>451</v>
      </c>
      <c r="D230" s="9" t="s">
        <v>452</v>
      </c>
    </row>
    <row r="231" spans="1:4" x14ac:dyDescent="0.25">
      <c r="C231" s="9" t="s">
        <v>453</v>
      </c>
      <c r="D231" s="9" t="s">
        <v>454</v>
      </c>
    </row>
    <row r="233" spans="1:4" x14ac:dyDescent="0.25">
      <c r="A233" s="9" t="s">
        <v>14</v>
      </c>
      <c r="B233" s="9" t="s">
        <v>42</v>
      </c>
      <c r="C233" s="9" t="s">
        <v>268</v>
      </c>
      <c r="D233" s="9" t="s">
        <v>44</v>
      </c>
    </row>
    <row r="234" spans="1:4" x14ac:dyDescent="0.25">
      <c r="C234" s="9" t="s">
        <v>271</v>
      </c>
      <c r="D234" s="9" t="s">
        <v>455</v>
      </c>
    </row>
    <row r="235" spans="1:4" x14ac:dyDescent="0.25">
      <c r="C235" s="9" t="s">
        <v>274</v>
      </c>
      <c r="D235" s="9" t="s">
        <v>456</v>
      </c>
    </row>
    <row r="236" spans="1:4" x14ac:dyDescent="0.25">
      <c r="C236" s="9" t="s">
        <v>275</v>
      </c>
      <c r="D236" s="9" t="s">
        <v>457</v>
      </c>
    </row>
    <row r="237" spans="1:4" x14ac:dyDescent="0.25">
      <c r="C237" s="9" t="s">
        <v>276</v>
      </c>
      <c r="D237" s="9" t="s">
        <v>458</v>
      </c>
    </row>
    <row r="238" spans="1:4" x14ac:dyDescent="0.25">
      <c r="C238" s="9" t="s">
        <v>277</v>
      </c>
      <c r="D238" s="9" t="s">
        <v>459</v>
      </c>
    </row>
    <row r="239" spans="1:4" x14ac:dyDescent="0.25">
      <c r="C239" s="9" t="s">
        <v>278</v>
      </c>
      <c r="D239" s="9" t="s">
        <v>460</v>
      </c>
    </row>
    <row r="240" spans="1:4" x14ac:dyDescent="0.25">
      <c r="C240" s="9" t="s">
        <v>279</v>
      </c>
      <c r="D240" s="9" t="s">
        <v>461</v>
      </c>
    </row>
    <row r="241" spans="3:4" x14ac:dyDescent="0.25">
      <c r="C241" s="9" t="s">
        <v>280</v>
      </c>
      <c r="D241" s="9" t="s">
        <v>462</v>
      </c>
    </row>
    <row r="242" spans="3:4" x14ac:dyDescent="0.25">
      <c r="C242" s="9" t="s">
        <v>281</v>
      </c>
      <c r="D242" s="9" t="s">
        <v>463</v>
      </c>
    </row>
    <row r="243" spans="3:4" x14ac:dyDescent="0.25">
      <c r="C243" s="9" t="s">
        <v>282</v>
      </c>
      <c r="D243" s="9" t="s">
        <v>464</v>
      </c>
    </row>
    <row r="244" spans="3:4" x14ac:dyDescent="0.25">
      <c r="C244" s="9" t="s">
        <v>283</v>
      </c>
      <c r="D244" s="9" t="s">
        <v>465</v>
      </c>
    </row>
    <row r="245" spans="3:4" x14ac:dyDescent="0.25">
      <c r="C245" s="9" t="s">
        <v>284</v>
      </c>
      <c r="D245" s="9" t="s">
        <v>466</v>
      </c>
    </row>
    <row r="246" spans="3:4" x14ac:dyDescent="0.25">
      <c r="C246" s="9" t="s">
        <v>285</v>
      </c>
      <c r="D246" s="9" t="s">
        <v>467</v>
      </c>
    </row>
    <row r="247" spans="3:4" x14ac:dyDescent="0.25">
      <c r="C247" s="9" t="s">
        <v>286</v>
      </c>
      <c r="D247" s="9" t="s">
        <v>468</v>
      </c>
    </row>
    <row r="248" spans="3:4" x14ac:dyDescent="0.25">
      <c r="C248" s="9" t="s">
        <v>287</v>
      </c>
      <c r="D248" s="9" t="s">
        <v>469</v>
      </c>
    </row>
    <row r="249" spans="3:4" x14ac:dyDescent="0.25">
      <c r="C249" s="9" t="s">
        <v>288</v>
      </c>
      <c r="D249" s="9" t="s">
        <v>470</v>
      </c>
    </row>
    <row r="250" spans="3:4" x14ac:dyDescent="0.25">
      <c r="C250" s="9" t="s">
        <v>289</v>
      </c>
      <c r="D250" s="9" t="s">
        <v>471</v>
      </c>
    </row>
    <row r="251" spans="3:4" x14ac:dyDescent="0.25">
      <c r="C251" s="9" t="s">
        <v>290</v>
      </c>
      <c r="D251" s="9" t="s">
        <v>472</v>
      </c>
    </row>
    <row r="252" spans="3:4" x14ac:dyDescent="0.25">
      <c r="C252" s="9" t="s">
        <v>291</v>
      </c>
      <c r="D252" s="9" t="s">
        <v>473</v>
      </c>
    </row>
    <row r="253" spans="3:4" x14ac:dyDescent="0.25">
      <c r="C253" s="9" t="s">
        <v>292</v>
      </c>
      <c r="D253" s="9" t="s">
        <v>474</v>
      </c>
    </row>
    <row r="254" spans="3:4" x14ac:dyDescent="0.25">
      <c r="C254" s="9" t="s">
        <v>293</v>
      </c>
      <c r="D254" s="9" t="s">
        <v>475</v>
      </c>
    </row>
    <row r="255" spans="3:4" x14ac:dyDescent="0.25">
      <c r="C255" s="9" t="s">
        <v>294</v>
      </c>
      <c r="D255" s="9" t="s">
        <v>476</v>
      </c>
    </row>
    <row r="256" spans="3:4" x14ac:dyDescent="0.25">
      <c r="C256" s="9" t="s">
        <v>295</v>
      </c>
      <c r="D256" s="9" t="s">
        <v>477</v>
      </c>
    </row>
    <row r="257" spans="3:6" x14ac:dyDescent="0.25">
      <c r="C257" s="9" t="s">
        <v>296</v>
      </c>
      <c r="D257" s="9" t="s">
        <v>478</v>
      </c>
    </row>
    <row r="258" spans="3:6" x14ac:dyDescent="0.25">
      <c r="C258" s="9" t="s">
        <v>297</v>
      </c>
      <c r="D258" s="9" t="s">
        <v>479</v>
      </c>
    </row>
    <row r="259" spans="3:6" x14ac:dyDescent="0.25">
      <c r="C259" s="9" t="s">
        <v>298</v>
      </c>
      <c r="D259" s="9" t="s">
        <v>480</v>
      </c>
    </row>
    <row r="260" spans="3:6" x14ac:dyDescent="0.25">
      <c r="C260" s="9" t="s">
        <v>299</v>
      </c>
      <c r="D260" s="9" t="s">
        <v>481</v>
      </c>
    </row>
    <row r="261" spans="3:6" x14ac:dyDescent="0.25">
      <c r="C261" s="9" t="s">
        <v>300</v>
      </c>
      <c r="D261" s="9" t="s">
        <v>482</v>
      </c>
    </row>
    <row r="262" spans="3:6" x14ac:dyDescent="0.25">
      <c r="C262" s="9" t="s">
        <v>301</v>
      </c>
      <c r="D262" s="9" t="s">
        <v>483</v>
      </c>
    </row>
    <row r="263" spans="3:6" x14ac:dyDescent="0.25">
      <c r="C263" s="9" t="s">
        <v>302</v>
      </c>
      <c r="D263" s="9" t="s">
        <v>484</v>
      </c>
    </row>
    <row r="264" spans="3:6" x14ac:dyDescent="0.25">
      <c r="C264" s="9" t="s">
        <v>303</v>
      </c>
      <c r="D264" s="9" t="s">
        <v>485</v>
      </c>
    </row>
    <row r="265" spans="3:6" x14ac:dyDescent="0.25">
      <c r="C265" s="9" t="s">
        <v>304</v>
      </c>
      <c r="D265" s="9" t="s">
        <v>486</v>
      </c>
    </row>
    <row r="266" spans="3:6" x14ac:dyDescent="0.25">
      <c r="C266" s="9" t="s">
        <v>305</v>
      </c>
      <c r="D266" s="9" t="s">
        <v>487</v>
      </c>
      <c r="E266" s="9" t="s">
        <v>488</v>
      </c>
      <c r="F266" s="9" t="s">
        <v>489</v>
      </c>
    </row>
    <row r="267" spans="3:6" x14ac:dyDescent="0.25">
      <c r="C267" s="9" t="s">
        <v>306</v>
      </c>
      <c r="D267" s="9" t="s">
        <v>490</v>
      </c>
      <c r="E267" s="9" t="s">
        <v>488</v>
      </c>
      <c r="F267" s="9" t="s">
        <v>357</v>
      </c>
    </row>
    <row r="268" spans="3:6" x14ac:dyDescent="0.25">
      <c r="C268" s="9" t="s">
        <v>307</v>
      </c>
      <c r="D268" s="9" t="s">
        <v>491</v>
      </c>
      <c r="E268" s="9" t="s">
        <v>488</v>
      </c>
      <c r="F268" s="9" t="s">
        <v>360</v>
      </c>
    </row>
    <row r="269" spans="3:6" x14ac:dyDescent="0.25">
      <c r="C269" s="9" t="s">
        <v>308</v>
      </c>
      <c r="D269" s="9" t="s">
        <v>492</v>
      </c>
      <c r="E269" s="9" t="s">
        <v>488</v>
      </c>
      <c r="F269" s="9" t="s">
        <v>363</v>
      </c>
    </row>
    <row r="270" spans="3:6" x14ac:dyDescent="0.25">
      <c r="C270" s="9" t="s">
        <v>309</v>
      </c>
      <c r="D270" s="9" t="s">
        <v>493</v>
      </c>
      <c r="E270" s="9" t="s">
        <v>494</v>
      </c>
      <c r="F270" s="9" t="s">
        <v>489</v>
      </c>
    </row>
    <row r="271" spans="3:6" x14ac:dyDescent="0.25">
      <c r="C271" s="9" t="s">
        <v>310</v>
      </c>
      <c r="D271" s="9" t="s">
        <v>495</v>
      </c>
      <c r="E271" s="9" t="s">
        <v>494</v>
      </c>
      <c r="F271" s="9" t="s">
        <v>357</v>
      </c>
    </row>
    <row r="272" spans="3:6" x14ac:dyDescent="0.25">
      <c r="C272" s="9" t="s">
        <v>311</v>
      </c>
      <c r="D272" s="9" t="s">
        <v>496</v>
      </c>
      <c r="E272" s="9" t="s">
        <v>494</v>
      </c>
      <c r="F272" s="9" t="s">
        <v>360</v>
      </c>
    </row>
    <row r="273" spans="3:6" x14ac:dyDescent="0.25">
      <c r="C273" s="9" t="s">
        <v>312</v>
      </c>
      <c r="D273" s="9" t="s">
        <v>497</v>
      </c>
      <c r="E273" s="9" t="s">
        <v>494</v>
      </c>
      <c r="F273" s="9" t="s">
        <v>363</v>
      </c>
    </row>
    <row r="274" spans="3:6" x14ac:dyDescent="0.25">
      <c r="C274" s="9" t="s">
        <v>313</v>
      </c>
      <c r="D274" s="9" t="s">
        <v>498</v>
      </c>
    </row>
    <row r="275" spans="3:6" x14ac:dyDescent="0.25">
      <c r="C275" s="9" t="s">
        <v>314</v>
      </c>
      <c r="D275" s="9" t="s">
        <v>499</v>
      </c>
    </row>
    <row r="276" spans="3:6" x14ac:dyDescent="0.25">
      <c r="C276" s="9" t="s">
        <v>315</v>
      </c>
      <c r="D276" s="9" t="s">
        <v>500</v>
      </c>
    </row>
    <row r="277" spans="3:6" x14ac:dyDescent="0.25">
      <c r="C277" s="9" t="s">
        <v>316</v>
      </c>
      <c r="D277" s="9" t="s">
        <v>501</v>
      </c>
    </row>
    <row r="278" spans="3:6" x14ac:dyDescent="0.25">
      <c r="C278" s="9" t="s">
        <v>317</v>
      </c>
      <c r="D278" s="9" t="s">
        <v>502</v>
      </c>
      <c r="E278" s="9" t="s">
        <v>503</v>
      </c>
      <c r="F278" s="9" t="s">
        <v>489</v>
      </c>
    </row>
    <row r="279" spans="3:6" x14ac:dyDescent="0.25">
      <c r="C279" s="9" t="s">
        <v>318</v>
      </c>
      <c r="D279" s="9" t="s">
        <v>504</v>
      </c>
      <c r="E279" s="9" t="s">
        <v>503</v>
      </c>
      <c r="F279" s="9" t="s">
        <v>357</v>
      </c>
    </row>
    <row r="280" spans="3:6" x14ac:dyDescent="0.25">
      <c r="C280" s="9" t="s">
        <v>319</v>
      </c>
      <c r="D280" s="9" t="s">
        <v>505</v>
      </c>
      <c r="E280" s="9" t="s">
        <v>503</v>
      </c>
      <c r="F280" s="9" t="s">
        <v>360</v>
      </c>
    </row>
    <row r="281" spans="3:6" x14ac:dyDescent="0.25">
      <c r="C281" s="9" t="s">
        <v>320</v>
      </c>
      <c r="D281" s="9" t="s">
        <v>506</v>
      </c>
      <c r="E281" s="9" t="s">
        <v>503</v>
      </c>
      <c r="F281" s="9" t="s">
        <v>363</v>
      </c>
    </row>
    <row r="282" spans="3:6" x14ac:dyDescent="0.25">
      <c r="C282" s="9" t="s">
        <v>321</v>
      </c>
      <c r="D282" s="9" t="s">
        <v>507</v>
      </c>
      <c r="E282" s="9" t="s">
        <v>508</v>
      </c>
      <c r="F282" s="9" t="s">
        <v>489</v>
      </c>
    </row>
    <row r="283" spans="3:6" x14ac:dyDescent="0.25">
      <c r="C283" s="9" t="s">
        <v>322</v>
      </c>
      <c r="D283" s="9" t="s">
        <v>509</v>
      </c>
      <c r="E283" s="9" t="s">
        <v>508</v>
      </c>
      <c r="F283" s="9" t="s">
        <v>357</v>
      </c>
    </row>
    <row r="284" spans="3:6" x14ac:dyDescent="0.25">
      <c r="C284" s="9" t="s">
        <v>323</v>
      </c>
      <c r="D284" s="9" t="s">
        <v>510</v>
      </c>
      <c r="E284" s="9" t="s">
        <v>508</v>
      </c>
      <c r="F284" s="9" t="s">
        <v>360</v>
      </c>
    </row>
    <row r="285" spans="3:6" x14ac:dyDescent="0.25">
      <c r="C285" s="9" t="s">
        <v>324</v>
      </c>
      <c r="D285" s="9" t="s">
        <v>511</v>
      </c>
      <c r="E285" s="9" t="s">
        <v>508</v>
      </c>
      <c r="F285" s="9" t="s">
        <v>363</v>
      </c>
    </row>
    <row r="286" spans="3:6" x14ac:dyDescent="0.25">
      <c r="C286" s="9" t="s">
        <v>325</v>
      </c>
      <c r="D286" s="9" t="s">
        <v>512</v>
      </c>
      <c r="E286" s="9" t="s">
        <v>513</v>
      </c>
      <c r="F286" s="9" t="s">
        <v>489</v>
      </c>
    </row>
    <row r="287" spans="3:6" x14ac:dyDescent="0.25">
      <c r="C287" s="9" t="s">
        <v>326</v>
      </c>
      <c r="D287" s="9" t="s">
        <v>514</v>
      </c>
      <c r="E287" s="9" t="s">
        <v>513</v>
      </c>
      <c r="F287" s="9" t="s">
        <v>357</v>
      </c>
    </row>
    <row r="288" spans="3:6" x14ac:dyDescent="0.25">
      <c r="C288" s="9" t="s">
        <v>327</v>
      </c>
      <c r="D288" s="9" t="s">
        <v>515</v>
      </c>
      <c r="E288" s="9" t="s">
        <v>513</v>
      </c>
      <c r="F288" s="9" t="s">
        <v>360</v>
      </c>
    </row>
    <row r="289" spans="3:6" x14ac:dyDescent="0.25">
      <c r="C289" s="9" t="s">
        <v>328</v>
      </c>
      <c r="D289" s="9" t="s">
        <v>516</v>
      </c>
      <c r="E289" s="9" t="s">
        <v>513</v>
      </c>
      <c r="F289" s="9" t="s">
        <v>363</v>
      </c>
    </row>
    <row r="290" spans="3:6" x14ac:dyDescent="0.25">
      <c r="C290" s="9" t="s">
        <v>329</v>
      </c>
      <c r="D290" s="9" t="s">
        <v>517</v>
      </c>
    </row>
    <row r="291" spans="3:6" x14ac:dyDescent="0.25">
      <c r="C291" s="9" t="s">
        <v>330</v>
      </c>
      <c r="D291" s="9" t="s">
        <v>518</v>
      </c>
    </row>
    <row r="292" spans="3:6" x14ac:dyDescent="0.25">
      <c r="C292" s="9" t="s">
        <v>331</v>
      </c>
      <c r="D292" s="9" t="s">
        <v>519</v>
      </c>
    </row>
    <row r="293" spans="3:6" x14ac:dyDescent="0.25">
      <c r="C293" s="9" t="s">
        <v>332</v>
      </c>
      <c r="D293" s="9" t="s">
        <v>520</v>
      </c>
    </row>
    <row r="294" spans="3:6" x14ac:dyDescent="0.25">
      <c r="C294" s="9" t="s">
        <v>333</v>
      </c>
      <c r="D294" s="9" t="s">
        <v>521</v>
      </c>
    </row>
    <row r="295" spans="3:6" x14ac:dyDescent="0.25">
      <c r="C295" s="9" t="s">
        <v>334</v>
      </c>
      <c r="D295" s="9" t="s">
        <v>522</v>
      </c>
    </row>
    <row r="296" spans="3:6" x14ac:dyDescent="0.25">
      <c r="C296" s="9" t="s">
        <v>335</v>
      </c>
      <c r="D296" s="9" t="s">
        <v>523</v>
      </c>
    </row>
    <row r="297" spans="3:6" x14ac:dyDescent="0.25">
      <c r="C297" s="9" t="s">
        <v>336</v>
      </c>
      <c r="D297" s="9" t="s">
        <v>524</v>
      </c>
    </row>
    <row r="298" spans="3:6" x14ac:dyDescent="0.25">
      <c r="C298" s="9" t="s">
        <v>337</v>
      </c>
      <c r="D298" s="9" t="s">
        <v>525</v>
      </c>
    </row>
    <row r="299" spans="3:6" x14ac:dyDescent="0.25">
      <c r="C299" s="9" t="s">
        <v>338</v>
      </c>
      <c r="D299" s="9" t="s">
        <v>526</v>
      </c>
    </row>
    <row r="300" spans="3:6" x14ac:dyDescent="0.25">
      <c r="C300" s="9" t="s">
        <v>339</v>
      </c>
      <c r="D300" s="9" t="s">
        <v>527</v>
      </c>
    </row>
    <row r="301" spans="3:6" x14ac:dyDescent="0.25">
      <c r="C301" s="9" t="s">
        <v>340</v>
      </c>
      <c r="D301" s="9" t="s">
        <v>528</v>
      </c>
    </row>
    <row r="302" spans="3:6" x14ac:dyDescent="0.25">
      <c r="C302" s="9" t="s">
        <v>341</v>
      </c>
      <c r="D302" s="9" t="s">
        <v>529</v>
      </c>
    </row>
    <row r="303" spans="3:6" x14ac:dyDescent="0.25">
      <c r="C303" s="9" t="s">
        <v>343</v>
      </c>
      <c r="D303" s="9" t="s">
        <v>530</v>
      </c>
    </row>
    <row r="304" spans="3:6" x14ac:dyDescent="0.25">
      <c r="C304" s="9" t="s">
        <v>344</v>
      </c>
      <c r="D304" s="9" t="s">
        <v>531</v>
      </c>
    </row>
    <row r="305" spans="1:4" x14ac:dyDescent="0.25">
      <c r="C305" s="9" t="s">
        <v>345</v>
      </c>
      <c r="D305" s="9" t="s">
        <v>532</v>
      </c>
    </row>
    <row r="306" spans="1:4" x14ac:dyDescent="0.25">
      <c r="C306" s="9" t="s">
        <v>346</v>
      </c>
      <c r="D306" s="9" t="s">
        <v>533</v>
      </c>
    </row>
    <row r="307" spans="1:4" x14ac:dyDescent="0.25">
      <c r="C307" s="9" t="s">
        <v>348</v>
      </c>
      <c r="D307" s="9" t="s">
        <v>534</v>
      </c>
    </row>
    <row r="308" spans="1:4" x14ac:dyDescent="0.25">
      <c r="C308" s="9" t="s">
        <v>349</v>
      </c>
      <c r="D308" s="9" t="s">
        <v>535</v>
      </c>
    </row>
    <row r="310" spans="1:4" x14ac:dyDescent="0.25">
      <c r="A310" s="9" t="s">
        <v>14</v>
      </c>
      <c r="B310" s="9" t="s">
        <v>43</v>
      </c>
      <c r="C310" s="9" t="s">
        <v>44</v>
      </c>
    </row>
    <row r="311" spans="1:4" x14ac:dyDescent="0.25">
      <c r="C311" s="9" t="s">
        <v>455</v>
      </c>
    </row>
    <row r="312" spans="1:4" x14ac:dyDescent="0.25">
      <c r="C312" s="9" t="s">
        <v>456</v>
      </c>
    </row>
    <row r="313" spans="1:4" x14ac:dyDescent="0.25">
      <c r="C313" s="9" t="s">
        <v>457</v>
      </c>
    </row>
    <row r="314" spans="1:4" x14ac:dyDescent="0.25">
      <c r="C314" s="9" t="s">
        <v>458</v>
      </c>
    </row>
    <row r="315" spans="1:4" x14ac:dyDescent="0.25">
      <c r="C315" s="9" t="s">
        <v>459</v>
      </c>
    </row>
    <row r="316" spans="1:4" x14ac:dyDescent="0.25">
      <c r="C316" s="9" t="s">
        <v>460</v>
      </c>
    </row>
    <row r="317" spans="1:4" x14ac:dyDescent="0.25">
      <c r="C317" s="9" t="s">
        <v>461</v>
      </c>
    </row>
    <row r="318" spans="1:4" x14ac:dyDescent="0.25">
      <c r="C318" s="9" t="s">
        <v>462</v>
      </c>
    </row>
    <row r="319" spans="1:4" x14ac:dyDescent="0.25">
      <c r="C319" s="9" t="s">
        <v>463</v>
      </c>
    </row>
    <row r="320" spans="1:4" x14ac:dyDescent="0.25">
      <c r="C320" s="9" t="s">
        <v>464</v>
      </c>
    </row>
    <row r="321" spans="3:3" x14ac:dyDescent="0.25">
      <c r="C321" s="9" t="s">
        <v>465</v>
      </c>
    </row>
    <row r="322" spans="3:3" x14ac:dyDescent="0.25">
      <c r="C322" s="9" t="s">
        <v>466</v>
      </c>
    </row>
    <row r="323" spans="3:3" x14ac:dyDescent="0.25">
      <c r="C323" s="9" t="s">
        <v>467</v>
      </c>
    </row>
    <row r="324" spans="3:3" x14ac:dyDescent="0.25">
      <c r="C324" s="9" t="s">
        <v>468</v>
      </c>
    </row>
    <row r="325" spans="3:3" x14ac:dyDescent="0.25">
      <c r="C325" s="9" t="s">
        <v>469</v>
      </c>
    </row>
    <row r="326" spans="3:3" x14ac:dyDescent="0.25">
      <c r="C326" s="9" t="s">
        <v>470</v>
      </c>
    </row>
    <row r="327" spans="3:3" x14ac:dyDescent="0.25">
      <c r="C327" s="9" t="s">
        <v>471</v>
      </c>
    </row>
    <row r="328" spans="3:3" x14ac:dyDescent="0.25">
      <c r="C328" s="9" t="s">
        <v>472</v>
      </c>
    </row>
    <row r="329" spans="3:3" x14ac:dyDescent="0.25">
      <c r="C329" s="9" t="s">
        <v>473</v>
      </c>
    </row>
    <row r="330" spans="3:3" x14ac:dyDescent="0.25">
      <c r="C330" s="9" t="s">
        <v>474</v>
      </c>
    </row>
    <row r="331" spans="3:3" x14ac:dyDescent="0.25">
      <c r="C331" s="9" t="s">
        <v>475</v>
      </c>
    </row>
    <row r="332" spans="3:3" x14ac:dyDescent="0.25">
      <c r="C332" s="9" t="s">
        <v>476</v>
      </c>
    </row>
    <row r="333" spans="3:3" x14ac:dyDescent="0.25">
      <c r="C333" s="9" t="s">
        <v>477</v>
      </c>
    </row>
    <row r="334" spans="3:3" x14ac:dyDescent="0.25">
      <c r="C334" s="9" t="s">
        <v>478</v>
      </c>
    </row>
    <row r="335" spans="3:3" x14ac:dyDescent="0.25">
      <c r="C335" s="9" t="s">
        <v>479</v>
      </c>
    </row>
    <row r="336" spans="3:3" x14ac:dyDescent="0.25">
      <c r="C336" s="9" t="s">
        <v>480</v>
      </c>
    </row>
    <row r="337" spans="3:3" x14ac:dyDescent="0.25">
      <c r="C337" s="9" t="s">
        <v>481</v>
      </c>
    </row>
    <row r="338" spans="3:3" x14ac:dyDescent="0.25">
      <c r="C338" s="9" t="s">
        <v>482</v>
      </c>
    </row>
    <row r="339" spans="3:3" x14ac:dyDescent="0.25">
      <c r="C339" s="9" t="s">
        <v>483</v>
      </c>
    </row>
    <row r="340" spans="3:3" x14ac:dyDescent="0.25">
      <c r="C340" s="9" t="s">
        <v>484</v>
      </c>
    </row>
    <row r="341" spans="3:3" x14ac:dyDescent="0.25">
      <c r="C341" s="9" t="s">
        <v>485</v>
      </c>
    </row>
    <row r="342" spans="3:3" x14ac:dyDescent="0.25">
      <c r="C342" s="9" t="s">
        <v>486</v>
      </c>
    </row>
    <row r="343" spans="3:3" x14ac:dyDescent="0.25">
      <c r="C343" s="9" t="s">
        <v>487</v>
      </c>
    </row>
    <row r="344" spans="3:3" x14ac:dyDescent="0.25">
      <c r="C344" s="9" t="s">
        <v>490</v>
      </c>
    </row>
    <row r="345" spans="3:3" x14ac:dyDescent="0.25">
      <c r="C345" s="9" t="s">
        <v>491</v>
      </c>
    </row>
    <row r="346" spans="3:3" x14ac:dyDescent="0.25">
      <c r="C346" s="9" t="s">
        <v>492</v>
      </c>
    </row>
    <row r="347" spans="3:3" x14ac:dyDescent="0.25">
      <c r="C347" s="9" t="s">
        <v>493</v>
      </c>
    </row>
    <row r="348" spans="3:3" x14ac:dyDescent="0.25">
      <c r="C348" s="9" t="s">
        <v>495</v>
      </c>
    </row>
    <row r="349" spans="3:3" x14ac:dyDescent="0.25">
      <c r="C349" s="9" t="s">
        <v>496</v>
      </c>
    </row>
    <row r="350" spans="3:3" x14ac:dyDescent="0.25">
      <c r="C350" s="9" t="s">
        <v>497</v>
      </c>
    </row>
    <row r="351" spans="3:3" x14ac:dyDescent="0.25">
      <c r="C351" s="9" t="s">
        <v>498</v>
      </c>
    </row>
    <row r="352" spans="3:3" x14ac:dyDescent="0.25">
      <c r="C352" s="9" t="s">
        <v>499</v>
      </c>
    </row>
    <row r="353" spans="3:3" x14ac:dyDescent="0.25">
      <c r="C353" s="9" t="s">
        <v>500</v>
      </c>
    </row>
    <row r="354" spans="3:3" x14ac:dyDescent="0.25">
      <c r="C354" s="9" t="s">
        <v>501</v>
      </c>
    </row>
    <row r="355" spans="3:3" x14ac:dyDescent="0.25">
      <c r="C355" s="9" t="s">
        <v>502</v>
      </c>
    </row>
    <row r="356" spans="3:3" x14ac:dyDescent="0.25">
      <c r="C356" s="9" t="s">
        <v>504</v>
      </c>
    </row>
    <row r="357" spans="3:3" x14ac:dyDescent="0.25">
      <c r="C357" s="9" t="s">
        <v>505</v>
      </c>
    </row>
    <row r="358" spans="3:3" x14ac:dyDescent="0.25">
      <c r="C358" s="9" t="s">
        <v>506</v>
      </c>
    </row>
    <row r="359" spans="3:3" x14ac:dyDescent="0.25">
      <c r="C359" s="9" t="s">
        <v>507</v>
      </c>
    </row>
    <row r="360" spans="3:3" x14ac:dyDescent="0.25">
      <c r="C360" s="9" t="s">
        <v>509</v>
      </c>
    </row>
    <row r="361" spans="3:3" x14ac:dyDescent="0.25">
      <c r="C361" s="9" t="s">
        <v>510</v>
      </c>
    </row>
    <row r="362" spans="3:3" x14ac:dyDescent="0.25">
      <c r="C362" s="9" t="s">
        <v>511</v>
      </c>
    </row>
    <row r="363" spans="3:3" x14ac:dyDescent="0.25">
      <c r="C363" s="9" t="s">
        <v>512</v>
      </c>
    </row>
    <row r="364" spans="3:3" x14ac:dyDescent="0.25">
      <c r="C364" s="9" t="s">
        <v>514</v>
      </c>
    </row>
    <row r="365" spans="3:3" x14ac:dyDescent="0.25">
      <c r="C365" s="9" t="s">
        <v>515</v>
      </c>
    </row>
    <row r="366" spans="3:3" x14ac:dyDescent="0.25">
      <c r="C366" s="9" t="s">
        <v>516</v>
      </c>
    </row>
    <row r="367" spans="3:3" x14ac:dyDescent="0.25">
      <c r="C367" s="9" t="s">
        <v>517</v>
      </c>
    </row>
    <row r="368" spans="3:3" x14ac:dyDescent="0.25">
      <c r="C368" s="9" t="s">
        <v>518</v>
      </c>
    </row>
    <row r="369" spans="3:3" x14ac:dyDescent="0.25">
      <c r="C369" s="9" t="s">
        <v>519</v>
      </c>
    </row>
    <row r="370" spans="3:3" x14ac:dyDescent="0.25">
      <c r="C370" s="9" t="s">
        <v>520</v>
      </c>
    </row>
    <row r="371" spans="3:3" x14ac:dyDescent="0.25">
      <c r="C371" s="9" t="s">
        <v>521</v>
      </c>
    </row>
    <row r="372" spans="3:3" x14ac:dyDescent="0.25">
      <c r="C372" s="9" t="s">
        <v>522</v>
      </c>
    </row>
    <row r="373" spans="3:3" x14ac:dyDescent="0.25">
      <c r="C373" s="9" t="s">
        <v>523</v>
      </c>
    </row>
    <row r="374" spans="3:3" x14ac:dyDescent="0.25">
      <c r="C374" s="9" t="s">
        <v>524</v>
      </c>
    </row>
    <row r="375" spans="3:3" x14ac:dyDescent="0.25">
      <c r="C375" s="9" t="s">
        <v>525</v>
      </c>
    </row>
    <row r="376" spans="3:3" x14ac:dyDescent="0.25">
      <c r="C376" s="9" t="s">
        <v>526</v>
      </c>
    </row>
    <row r="377" spans="3:3" x14ac:dyDescent="0.25">
      <c r="C377" s="9" t="s">
        <v>527</v>
      </c>
    </row>
    <row r="378" spans="3:3" x14ac:dyDescent="0.25">
      <c r="C378" s="9" t="s">
        <v>528</v>
      </c>
    </row>
    <row r="379" spans="3:3" x14ac:dyDescent="0.25">
      <c r="C379" s="9" t="s">
        <v>529</v>
      </c>
    </row>
    <row r="380" spans="3:3" x14ac:dyDescent="0.25">
      <c r="C380" s="9" t="s">
        <v>530</v>
      </c>
    </row>
    <row r="381" spans="3:3" x14ac:dyDescent="0.25">
      <c r="C381" s="9" t="s">
        <v>531</v>
      </c>
    </row>
    <row r="382" spans="3:3" x14ac:dyDescent="0.25">
      <c r="C382" s="9" t="s">
        <v>532</v>
      </c>
    </row>
    <row r="383" spans="3:3" x14ac:dyDescent="0.25">
      <c r="C383" s="9" t="s">
        <v>533</v>
      </c>
    </row>
    <row r="384" spans="3:3" x14ac:dyDescent="0.25">
      <c r="C384" s="9" t="s">
        <v>534</v>
      </c>
    </row>
    <row r="385" spans="1:7" x14ac:dyDescent="0.25">
      <c r="C385" s="9" t="s">
        <v>535</v>
      </c>
    </row>
    <row r="387" spans="1:7" x14ac:dyDescent="0.25">
      <c r="A387" s="9" t="s">
        <v>14</v>
      </c>
      <c r="B387" s="9" t="s">
        <v>23</v>
      </c>
      <c r="C387" s="9" t="s">
        <v>536</v>
      </c>
    </row>
    <row r="388" spans="1:7" x14ac:dyDescent="0.25">
      <c r="C388" s="9" t="s">
        <v>537</v>
      </c>
      <c r="E388" s="9" t="s">
        <v>538</v>
      </c>
    </row>
    <row r="389" spans="1:7" x14ac:dyDescent="0.25">
      <c r="C389" s="9" t="s">
        <v>539</v>
      </c>
    </row>
    <row r="390" spans="1:7" x14ac:dyDescent="0.25">
      <c r="C390" s="9" t="s">
        <v>145</v>
      </c>
      <c r="E390" s="9" t="s">
        <v>540</v>
      </c>
    </row>
    <row r="391" spans="1:7" x14ac:dyDescent="0.25">
      <c r="C391" s="9" t="s">
        <v>541</v>
      </c>
    </row>
    <row r="392" spans="1:7" x14ac:dyDescent="0.25">
      <c r="C392" s="9" t="s">
        <v>86</v>
      </c>
    </row>
    <row r="393" spans="1:7" x14ac:dyDescent="0.25">
      <c r="C393" s="9" t="s">
        <v>542</v>
      </c>
      <c r="E393" s="9" t="s">
        <v>543</v>
      </c>
      <c r="G393" s="9" t="s">
        <v>542</v>
      </c>
    </row>
    <row r="394" spans="1:7" x14ac:dyDescent="0.25">
      <c r="C394" s="9" t="s">
        <v>544</v>
      </c>
    </row>
    <row r="395" spans="1:7" x14ac:dyDescent="0.25">
      <c r="C395" s="9" t="s">
        <v>152</v>
      </c>
    </row>
    <row r="396" spans="1:7" x14ac:dyDescent="0.25">
      <c r="A396" s="9" t="s">
        <v>14</v>
      </c>
      <c r="B396" s="9" t="s">
        <v>86</v>
      </c>
      <c r="C396" s="9" t="s">
        <v>545</v>
      </c>
      <c r="E396" s="9" t="s">
        <v>46</v>
      </c>
    </row>
    <row r="398" spans="1:7" x14ac:dyDescent="0.25">
      <c r="A398" s="9" t="s">
        <v>14</v>
      </c>
      <c r="B398" s="9" t="s">
        <v>27</v>
      </c>
      <c r="C398" s="9" t="s">
        <v>134</v>
      </c>
    </row>
    <row r="399" spans="1:7" x14ac:dyDescent="0.25">
      <c r="C399" s="9" t="s">
        <v>546</v>
      </c>
      <c r="E399" s="9" t="s">
        <v>66</v>
      </c>
      <c r="G399" s="9" t="s">
        <v>547</v>
      </c>
    </row>
    <row r="400" spans="1:7" x14ac:dyDescent="0.25">
      <c r="C400" s="9" t="s">
        <v>67</v>
      </c>
    </row>
    <row r="401" spans="1:7" x14ac:dyDescent="0.25">
      <c r="A401" s="9" t="s">
        <v>14</v>
      </c>
      <c r="B401" s="9" t="s">
        <v>67</v>
      </c>
      <c r="C401" s="9" t="s">
        <v>548</v>
      </c>
    </row>
    <row r="402" spans="1:7" x14ac:dyDescent="0.25">
      <c r="C402" s="9" t="s">
        <v>549</v>
      </c>
      <c r="G402" s="9" t="s">
        <v>550</v>
      </c>
    </row>
    <row r="403" spans="1:7" x14ac:dyDescent="0.25">
      <c r="C403" s="9" t="s">
        <v>551</v>
      </c>
    </row>
    <row r="404" spans="1:7" x14ac:dyDescent="0.25">
      <c r="C404" s="9" t="s">
        <v>552</v>
      </c>
    </row>
    <row r="405" spans="1:7" x14ac:dyDescent="0.25">
      <c r="C405" s="9" t="s">
        <v>553</v>
      </c>
    </row>
    <row r="406" spans="1:7" x14ac:dyDescent="0.25">
      <c r="C406" s="9" t="s">
        <v>235</v>
      </c>
      <c r="E406" s="9" t="s">
        <v>554</v>
      </c>
    </row>
    <row r="407" spans="1:7" x14ac:dyDescent="0.25">
      <c r="C407" s="9" t="s">
        <v>555</v>
      </c>
      <c r="E407" s="9" t="s">
        <v>556</v>
      </c>
    </row>
    <row r="408" spans="1:7" x14ac:dyDescent="0.25">
      <c r="C408" s="9" t="s">
        <v>552</v>
      </c>
    </row>
    <row r="409" spans="1:7" x14ac:dyDescent="0.25">
      <c r="A409" s="9" t="s">
        <v>14</v>
      </c>
      <c r="B409" s="9" t="s">
        <v>557</v>
      </c>
      <c r="C409" s="9" t="s">
        <v>558</v>
      </c>
    </row>
    <row r="410" spans="1:7" x14ac:dyDescent="0.25">
      <c r="C410" s="9" t="s">
        <v>22</v>
      </c>
    </row>
    <row r="411" spans="1:7" x14ac:dyDescent="0.25">
      <c r="C411" s="9" t="s">
        <v>559</v>
      </c>
    </row>
    <row r="412" spans="1:7" x14ac:dyDescent="0.25">
      <c r="C412" s="9" t="s">
        <v>560</v>
      </c>
    </row>
    <row r="414" spans="1:7" x14ac:dyDescent="0.25">
      <c r="B414" s="9" t="s">
        <v>560</v>
      </c>
      <c r="C414" s="9" t="s">
        <v>558</v>
      </c>
    </row>
    <row r="415" spans="1:7" x14ac:dyDescent="0.25">
      <c r="C415" s="9" t="s">
        <v>22</v>
      </c>
    </row>
    <row r="416" spans="1:7" x14ac:dyDescent="0.25">
      <c r="C416" s="9" t="s">
        <v>559</v>
      </c>
    </row>
    <row r="417" spans="1:7" x14ac:dyDescent="0.25">
      <c r="C417" s="9" t="s">
        <v>561</v>
      </c>
    </row>
    <row r="418" spans="1:7" x14ac:dyDescent="0.25">
      <c r="C418" s="9" t="s">
        <v>556</v>
      </c>
    </row>
    <row r="419" spans="1:7" x14ac:dyDescent="0.25">
      <c r="B419" s="9" t="s">
        <v>562</v>
      </c>
      <c r="C419" s="9" t="s">
        <v>563</v>
      </c>
    </row>
    <row r="420" spans="1:7" x14ac:dyDescent="0.25">
      <c r="C420" s="9" t="s">
        <v>564</v>
      </c>
    </row>
    <row r="421" spans="1:7" x14ac:dyDescent="0.25">
      <c r="C421" s="9" t="s">
        <v>565</v>
      </c>
    </row>
    <row r="423" spans="1:7" x14ac:dyDescent="0.25">
      <c r="A423" s="9" t="s">
        <v>13</v>
      </c>
      <c r="B423" s="9" t="s">
        <v>101</v>
      </c>
      <c r="C423" s="9" t="s">
        <v>103</v>
      </c>
      <c r="D423" s="9" t="s">
        <v>566</v>
      </c>
      <c r="G423" s="9" t="s">
        <v>104</v>
      </c>
    </row>
    <row r="424" spans="1:7" x14ac:dyDescent="0.25">
      <c r="C424" s="9" t="s">
        <v>89</v>
      </c>
      <c r="D424" s="9" t="s">
        <v>567</v>
      </c>
    </row>
    <row r="425" spans="1:7" x14ac:dyDescent="0.25">
      <c r="C425" s="9" t="s">
        <v>106</v>
      </c>
      <c r="D425" s="9" t="s">
        <v>566</v>
      </c>
    </row>
    <row r="426" spans="1:7" x14ac:dyDescent="0.25">
      <c r="C426" s="9" t="s">
        <v>108</v>
      </c>
      <c r="D426" s="9" t="s">
        <v>568</v>
      </c>
      <c r="G426" s="9" t="s">
        <v>569</v>
      </c>
    </row>
    <row r="427" spans="1:7" x14ac:dyDescent="0.25">
      <c r="G427" s="9" t="s">
        <v>570</v>
      </c>
    </row>
    <row r="428" spans="1:7" x14ac:dyDescent="0.25">
      <c r="A428" s="9" t="s">
        <v>13</v>
      </c>
      <c r="B428" s="9" t="s">
        <v>137</v>
      </c>
      <c r="C428" s="9" t="s">
        <v>138</v>
      </c>
    </row>
    <row r="429" spans="1:7" x14ac:dyDescent="0.25">
      <c r="C429" s="9" t="s">
        <v>571</v>
      </c>
    </row>
    <row r="430" spans="1:7" x14ac:dyDescent="0.25">
      <c r="C430" s="9" t="s">
        <v>572</v>
      </c>
    </row>
    <row r="432" spans="1:7" x14ac:dyDescent="0.25">
      <c r="A432" s="9" t="s">
        <v>14</v>
      </c>
      <c r="B432" s="9" t="s">
        <v>573</v>
      </c>
      <c r="C432" s="9" t="s">
        <v>574</v>
      </c>
      <c r="E432" s="9" t="s">
        <v>575</v>
      </c>
      <c r="G432" s="9" t="s">
        <v>576</v>
      </c>
    </row>
    <row r="433" spans="1:3" x14ac:dyDescent="0.25">
      <c r="A433" s="9" t="s">
        <v>14</v>
      </c>
      <c r="B433" s="9" t="s">
        <v>577</v>
      </c>
      <c r="C433" s="9" t="s">
        <v>578</v>
      </c>
    </row>
    <row r="434" spans="1:3" x14ac:dyDescent="0.25">
      <c r="A434" s="9" t="s">
        <v>14</v>
      </c>
      <c r="B434" s="9" t="s">
        <v>579</v>
      </c>
      <c r="C434" s="9" t="s">
        <v>580</v>
      </c>
    </row>
    <row r="435" spans="1:3" x14ac:dyDescent="0.25">
      <c r="A435" s="9" t="s">
        <v>14</v>
      </c>
      <c r="B435" s="9" t="s">
        <v>581</v>
      </c>
      <c r="C435" s="9" t="s">
        <v>582</v>
      </c>
    </row>
    <row r="436" spans="1:3" x14ac:dyDescent="0.25">
      <c r="A436" s="9" t="s">
        <v>14</v>
      </c>
      <c r="B436" s="9" t="s">
        <v>583</v>
      </c>
      <c r="C436" s="9" t="s">
        <v>584</v>
      </c>
    </row>
    <row r="437" spans="1:3" x14ac:dyDescent="0.25">
      <c r="A437" s="9" t="s">
        <v>14</v>
      </c>
      <c r="B437" s="9" t="s">
        <v>585</v>
      </c>
      <c r="C437" s="9" t="s">
        <v>586</v>
      </c>
    </row>
    <row r="438" spans="1:3" x14ac:dyDescent="0.25">
      <c r="A438" s="9" t="s">
        <v>14</v>
      </c>
      <c r="B438" s="9" t="s">
        <v>587</v>
      </c>
      <c r="C438" s="9" t="s">
        <v>588</v>
      </c>
    </row>
    <row r="439" spans="1:3" x14ac:dyDescent="0.25">
      <c r="A439" s="9" t="s">
        <v>14</v>
      </c>
      <c r="B439" s="9" t="s">
        <v>589</v>
      </c>
      <c r="C439" s="9" t="s">
        <v>590</v>
      </c>
    </row>
    <row r="440" spans="1:3" x14ac:dyDescent="0.25">
      <c r="A440" s="9" t="s">
        <v>14</v>
      </c>
      <c r="B440" s="9" t="s">
        <v>591</v>
      </c>
      <c r="C440" s="9" t="s">
        <v>592</v>
      </c>
    </row>
    <row r="441" spans="1:3" x14ac:dyDescent="0.25">
      <c r="A441" s="9" t="s">
        <v>14</v>
      </c>
      <c r="B441" s="9" t="s">
        <v>593</v>
      </c>
      <c r="C441" s="9" t="s">
        <v>594</v>
      </c>
    </row>
    <row r="442" spans="1:3" x14ac:dyDescent="0.25">
      <c r="A442" s="9" t="s">
        <v>14</v>
      </c>
      <c r="B442" s="9" t="s">
        <v>595</v>
      </c>
      <c r="C442" s="9" t="s">
        <v>596</v>
      </c>
    </row>
    <row r="443" spans="1:3" x14ac:dyDescent="0.25">
      <c r="A443" s="9" t="s">
        <v>14</v>
      </c>
      <c r="B443" s="9" t="s">
        <v>597</v>
      </c>
      <c r="C443" s="9" t="s">
        <v>598</v>
      </c>
    </row>
    <row r="444" spans="1:3" x14ac:dyDescent="0.25">
      <c r="A444" s="9" t="s">
        <v>14</v>
      </c>
      <c r="B444" s="9" t="s">
        <v>599</v>
      </c>
      <c r="C444" s="9" t="s">
        <v>600</v>
      </c>
    </row>
    <row r="445" spans="1:3" x14ac:dyDescent="0.25">
      <c r="A445" s="9" t="s">
        <v>14</v>
      </c>
      <c r="B445" s="9" t="s">
        <v>601</v>
      </c>
      <c r="C445" s="9" t="s">
        <v>602</v>
      </c>
    </row>
    <row r="446" spans="1:3" x14ac:dyDescent="0.25">
      <c r="A446" s="9" t="s">
        <v>14</v>
      </c>
      <c r="B446" s="9" t="s">
        <v>603</v>
      </c>
      <c r="C446" s="9" t="s">
        <v>604</v>
      </c>
    </row>
    <row r="447" spans="1:3" x14ac:dyDescent="0.25">
      <c r="A447" s="9" t="s">
        <v>14</v>
      </c>
      <c r="B447" s="9" t="s">
        <v>605</v>
      </c>
      <c r="C447" s="9" t="s">
        <v>606</v>
      </c>
    </row>
    <row r="448" spans="1:3" x14ac:dyDescent="0.25">
      <c r="A448" s="9" t="s">
        <v>14</v>
      </c>
      <c r="B448" s="9" t="s">
        <v>607</v>
      </c>
      <c r="C448" s="9" t="s">
        <v>608</v>
      </c>
    </row>
    <row r="449" spans="1:4" x14ac:dyDescent="0.25">
      <c r="A449" s="9" t="s">
        <v>14</v>
      </c>
      <c r="B449" s="9" t="s">
        <v>609</v>
      </c>
      <c r="C449" s="9" t="s">
        <v>610</v>
      </c>
    </row>
    <row r="450" spans="1:4" x14ac:dyDescent="0.25">
      <c r="A450" s="9" t="s">
        <v>14</v>
      </c>
      <c r="B450" s="9" t="s">
        <v>611</v>
      </c>
      <c r="C450" s="9" t="s">
        <v>612</v>
      </c>
    </row>
    <row r="451" spans="1:4" x14ac:dyDescent="0.25">
      <c r="A451" s="9" t="s">
        <v>14</v>
      </c>
      <c r="B451" s="9" t="s">
        <v>613</v>
      </c>
      <c r="C451" s="9" t="s">
        <v>614</v>
      </c>
    </row>
    <row r="452" spans="1:4" x14ac:dyDescent="0.25">
      <c r="A452" s="9" t="s">
        <v>14</v>
      </c>
      <c r="B452" s="9" t="s">
        <v>615</v>
      </c>
      <c r="C452" s="9" t="s">
        <v>616</v>
      </c>
    </row>
    <row r="453" spans="1:4" x14ac:dyDescent="0.25">
      <c r="A453" s="9" t="s">
        <v>14</v>
      </c>
      <c r="B453" s="9" t="s">
        <v>617</v>
      </c>
      <c r="C453" s="9" t="s">
        <v>618</v>
      </c>
    </row>
    <row r="454" spans="1:4" x14ac:dyDescent="0.25">
      <c r="A454" s="9" t="s">
        <v>14</v>
      </c>
      <c r="B454" s="9" t="s">
        <v>619</v>
      </c>
      <c r="C454" s="9" t="s">
        <v>620</v>
      </c>
    </row>
    <row r="455" spans="1:4" x14ac:dyDescent="0.25">
      <c r="A455" s="9" t="s">
        <v>14</v>
      </c>
      <c r="B455" s="9" t="s">
        <v>621</v>
      </c>
      <c r="C455" s="9" t="s">
        <v>622</v>
      </c>
    </row>
    <row r="456" spans="1:4" x14ac:dyDescent="0.25">
      <c r="A456" s="9" t="s">
        <v>14</v>
      </c>
      <c r="B456" s="9" t="s">
        <v>623</v>
      </c>
      <c r="C456" s="9" t="s">
        <v>624</v>
      </c>
    </row>
    <row r="457" spans="1:4" x14ac:dyDescent="0.25">
      <c r="A457" s="9" t="s">
        <v>14</v>
      </c>
      <c r="B457" s="9" t="s">
        <v>625</v>
      </c>
      <c r="C457" s="9" t="s">
        <v>626</v>
      </c>
    </row>
    <row r="458" spans="1:4" x14ac:dyDescent="0.25">
      <c r="A458" s="9" t="s">
        <v>14</v>
      </c>
      <c r="B458" s="9" t="s">
        <v>627</v>
      </c>
      <c r="C458" s="9" t="s">
        <v>628</v>
      </c>
    </row>
    <row r="459" spans="1:4" x14ac:dyDescent="0.25">
      <c r="A459" s="9" t="s">
        <v>14</v>
      </c>
      <c r="B459" s="9" t="s">
        <v>629</v>
      </c>
      <c r="C459" s="9" t="s">
        <v>630</v>
      </c>
    </row>
    <row r="460" spans="1:4" x14ac:dyDescent="0.25">
      <c r="A460" s="9" t="s">
        <v>14</v>
      </c>
      <c r="B460" s="9" t="s">
        <v>631</v>
      </c>
      <c r="C460" s="9" t="s">
        <v>632</v>
      </c>
    </row>
    <row r="461" spans="1:4" x14ac:dyDescent="0.25">
      <c r="A461" s="9" t="s">
        <v>14</v>
      </c>
      <c r="B461" s="9" t="s">
        <v>633</v>
      </c>
      <c r="C461" s="9" t="s">
        <v>634</v>
      </c>
    </row>
    <row r="463" spans="1:4" x14ac:dyDescent="0.25">
      <c r="A463" s="9" t="s">
        <v>13</v>
      </c>
      <c r="B463" s="9" t="s">
        <v>9</v>
      </c>
      <c r="C463" s="9" t="s">
        <v>17</v>
      </c>
      <c r="D463" s="9" t="s">
        <v>18</v>
      </c>
    </row>
    <row r="464" spans="1:4" x14ac:dyDescent="0.25">
      <c r="C464" s="9" t="s">
        <v>635</v>
      </c>
      <c r="D464" s="9" t="s">
        <v>636</v>
      </c>
    </row>
    <row r="465" spans="1:5" x14ac:dyDescent="0.25">
      <c r="A465" s="9" t="s">
        <v>14</v>
      </c>
      <c r="B465" s="9" t="s">
        <v>0</v>
      </c>
      <c r="C465" s="9" t="s">
        <v>19</v>
      </c>
      <c r="E465" s="9" t="s">
        <v>132</v>
      </c>
    </row>
    <row r="466" spans="1:5" x14ac:dyDescent="0.25">
      <c r="C466" s="9" t="s">
        <v>1</v>
      </c>
    </row>
    <row r="467" spans="1:5" x14ac:dyDescent="0.25">
      <c r="C467" s="9" t="s">
        <v>90</v>
      </c>
      <c r="E467" s="9" t="s">
        <v>57</v>
      </c>
    </row>
    <row r="468" spans="1:5" x14ac:dyDescent="0.25">
      <c r="C468" s="9" t="s">
        <v>60</v>
      </c>
      <c r="E468" s="9" t="s">
        <v>61</v>
      </c>
    </row>
    <row r="469" spans="1:5" x14ac:dyDescent="0.25">
      <c r="A469" s="9" t="s">
        <v>14</v>
      </c>
      <c r="B469" s="9" t="s">
        <v>60</v>
      </c>
      <c r="C469" s="9" t="s">
        <v>154</v>
      </c>
      <c r="E469" s="9" t="s">
        <v>94</v>
      </c>
    </row>
    <row r="470" spans="1:5" x14ac:dyDescent="0.25">
      <c r="C470" s="9" t="s">
        <v>20</v>
      </c>
      <c r="E470" s="9" t="s">
        <v>58</v>
      </c>
    </row>
    <row r="471" spans="1:5" x14ac:dyDescent="0.25">
      <c r="C471" s="9" t="s">
        <v>28</v>
      </c>
      <c r="E471" s="9" t="s">
        <v>59</v>
      </c>
    </row>
    <row r="472" spans="1:5" x14ac:dyDescent="0.25">
      <c r="C472" s="9" t="s">
        <v>140</v>
      </c>
      <c r="E472" s="9" t="s">
        <v>31</v>
      </c>
    </row>
    <row r="473" spans="1:5" x14ac:dyDescent="0.25">
      <c r="C473" s="9" t="s">
        <v>7</v>
      </c>
      <c r="E473" s="9" t="s">
        <v>62</v>
      </c>
    </row>
    <row r="474" spans="1:5" x14ac:dyDescent="0.25">
      <c r="C474" s="9" t="s">
        <v>163</v>
      </c>
      <c r="E474" s="9" t="s">
        <v>164</v>
      </c>
    </row>
    <row r="475" spans="1:5" x14ac:dyDescent="0.25">
      <c r="C475" s="9" t="s">
        <v>166</v>
      </c>
      <c r="E475" s="9" t="s">
        <v>167</v>
      </c>
    </row>
    <row r="476" spans="1:5" x14ac:dyDescent="0.25">
      <c r="C476" s="9" t="s">
        <v>95</v>
      </c>
      <c r="E476" s="9" t="s">
        <v>63</v>
      </c>
    </row>
    <row r="478" spans="1:5" x14ac:dyDescent="0.25">
      <c r="A478" s="9" t="s">
        <v>14</v>
      </c>
      <c r="B478" s="9" t="s">
        <v>139</v>
      </c>
      <c r="C478" s="9" t="s">
        <v>30</v>
      </c>
    </row>
    <row r="479" spans="1:5" x14ac:dyDescent="0.25">
      <c r="C479" s="9" t="s">
        <v>170</v>
      </c>
      <c r="E479" s="9" t="s">
        <v>169</v>
      </c>
    </row>
    <row r="480" spans="1:5" x14ac:dyDescent="0.25">
      <c r="C480" s="9" t="s">
        <v>24</v>
      </c>
    </row>
    <row r="482" spans="1:5" x14ac:dyDescent="0.25">
      <c r="A482" s="9" t="s">
        <v>14</v>
      </c>
      <c r="B482" s="9" t="s">
        <v>165</v>
      </c>
      <c r="C482" s="9" t="s">
        <v>168</v>
      </c>
      <c r="E482" s="9" t="s">
        <v>169</v>
      </c>
    </row>
    <row r="483" spans="1:5" x14ac:dyDescent="0.25">
      <c r="C483" s="9" t="s">
        <v>24</v>
      </c>
    </row>
    <row r="485" spans="1:5" x14ac:dyDescent="0.25">
      <c r="A485" s="9" t="s">
        <v>14</v>
      </c>
      <c r="B485" s="9" t="s">
        <v>539</v>
      </c>
      <c r="C485" s="9" t="s">
        <v>637</v>
      </c>
    </row>
    <row r="486" spans="1:5" x14ac:dyDescent="0.25">
      <c r="C486" s="9" t="s">
        <v>638</v>
      </c>
    </row>
    <row r="487" spans="1:5" x14ac:dyDescent="0.25">
      <c r="A487" s="9" t="s">
        <v>14</v>
      </c>
      <c r="B487" s="9" t="s">
        <v>638</v>
      </c>
      <c r="C487" s="9" t="s">
        <v>639</v>
      </c>
    </row>
    <row r="488" spans="1:5" x14ac:dyDescent="0.25">
      <c r="C488" s="9" t="s">
        <v>640</v>
      </c>
    </row>
    <row r="489" spans="1:5" x14ac:dyDescent="0.25">
      <c r="C489" s="9" t="s">
        <v>641</v>
      </c>
    </row>
    <row r="490" spans="1:5" x14ac:dyDescent="0.25">
      <c r="C490" s="9" t="s">
        <v>642</v>
      </c>
    </row>
    <row r="491" spans="1:5" x14ac:dyDescent="0.25">
      <c r="C491" s="9" t="s">
        <v>643</v>
      </c>
    </row>
    <row r="492" spans="1:5" x14ac:dyDescent="0.25">
      <c r="C492" s="9" t="s">
        <v>644</v>
      </c>
    </row>
    <row r="493" spans="1:5" x14ac:dyDescent="0.25">
      <c r="C493" s="9" t="s">
        <v>645</v>
      </c>
      <c r="E493" s="9" t="s">
        <v>57</v>
      </c>
    </row>
    <row r="495" spans="1:5" x14ac:dyDescent="0.25">
      <c r="A495" s="9" t="s">
        <v>14</v>
      </c>
      <c r="B495" s="9" t="s">
        <v>646</v>
      </c>
      <c r="C495" s="9" t="s">
        <v>30</v>
      </c>
    </row>
    <row r="496" spans="1:5" x14ac:dyDescent="0.25">
      <c r="C496" s="9" t="s">
        <v>647</v>
      </c>
    </row>
    <row r="497" spans="1:3" x14ac:dyDescent="0.25">
      <c r="C497" s="9" t="s">
        <v>226</v>
      </c>
    </row>
    <row r="498" spans="1:3" x14ac:dyDescent="0.25">
      <c r="C498" s="9" t="s">
        <v>24</v>
      </c>
    </row>
    <row r="499" spans="1:3" x14ac:dyDescent="0.25">
      <c r="A499" s="9" t="s">
        <v>14</v>
      </c>
      <c r="B499" s="9" t="s">
        <v>145</v>
      </c>
      <c r="C499" s="9" t="s">
        <v>141</v>
      </c>
    </row>
    <row r="500" spans="1:3" x14ac:dyDescent="0.25">
      <c r="C500" s="9" t="s">
        <v>144</v>
      </c>
    </row>
    <row r="501" spans="1:3" x14ac:dyDescent="0.25">
      <c r="C501" s="9" t="s">
        <v>75</v>
      </c>
    </row>
    <row r="502" spans="1:3" x14ac:dyDescent="0.25">
      <c r="C502" s="9" t="s">
        <v>143</v>
      </c>
    </row>
    <row r="503" spans="1:3" x14ac:dyDescent="0.25">
      <c r="C503" s="9" t="s">
        <v>142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 x14ac:dyDescent="0.25"/>
  <cols>
    <col min="1" max="1" width="35.140625" customWidth="1"/>
  </cols>
  <sheetData>
    <row r="1" spans="1:3" x14ac:dyDescent="0.25">
      <c r="A1" t="s">
        <v>123</v>
      </c>
    </row>
    <row r="2" spans="1:3" x14ac:dyDescent="0.25">
      <c r="A2" t="s">
        <v>121</v>
      </c>
    </row>
    <row r="3" spans="1:3" x14ac:dyDescent="0.25">
      <c r="A3" t="s">
        <v>122</v>
      </c>
    </row>
    <row r="4" spans="1:3" x14ac:dyDescent="0.25">
      <c r="A4" t="s">
        <v>124</v>
      </c>
    </row>
    <row r="5" spans="1:3" x14ac:dyDescent="0.25">
      <c r="A5" t="s">
        <v>125</v>
      </c>
    </row>
    <row r="6" spans="1:3" x14ac:dyDescent="0.25">
      <c r="A6" t="s">
        <v>249</v>
      </c>
    </row>
    <row r="7" spans="1:3" x14ac:dyDescent="0.25">
      <c r="A7" t="s">
        <v>126</v>
      </c>
      <c r="C7" t="s">
        <v>127</v>
      </c>
    </row>
    <row r="8" spans="1:3" x14ac:dyDescent="0.25">
      <c r="A8" t="s">
        <v>128</v>
      </c>
      <c r="C8" t="s">
        <v>130</v>
      </c>
    </row>
    <row r="9" spans="1:3" x14ac:dyDescent="0.25">
      <c r="A9" t="s">
        <v>129</v>
      </c>
      <c r="C9" t="s">
        <v>131</v>
      </c>
    </row>
    <row r="12" spans="1:3" x14ac:dyDescent="0.25">
      <c r="A12" s="3" t="s">
        <v>184</v>
      </c>
    </row>
    <row r="13" spans="1:3" x14ac:dyDescent="0.25">
      <c r="A13" s="3" t="s">
        <v>186</v>
      </c>
    </row>
    <row r="14" spans="1:3" x14ac:dyDescent="0.25">
      <c r="A14" t="s">
        <v>189</v>
      </c>
      <c r="B14" t="s">
        <v>199</v>
      </c>
    </row>
    <row r="15" spans="1:3" x14ac:dyDescent="0.25">
      <c r="A15" t="s">
        <v>185</v>
      </c>
      <c r="B15" t="s">
        <v>200</v>
      </c>
    </row>
    <row r="16" spans="1:3" x14ac:dyDescent="0.25">
      <c r="A16" t="s">
        <v>182</v>
      </c>
      <c r="B16" t="s">
        <v>201</v>
      </c>
    </row>
    <row r="17" spans="1:2" x14ac:dyDescent="0.25">
      <c r="A17" t="s">
        <v>183</v>
      </c>
      <c r="B17" t="s">
        <v>202</v>
      </c>
    </row>
    <row r="20" spans="1:2" x14ac:dyDescent="0.25">
      <c r="A20" t="s">
        <v>187</v>
      </c>
      <c r="B20" t="s">
        <v>196</v>
      </c>
    </row>
    <row r="21" spans="1:2" x14ac:dyDescent="0.25">
      <c r="B21" s="2" t="s">
        <v>218</v>
      </c>
    </row>
    <row r="22" spans="1:2" x14ac:dyDescent="0.25">
      <c r="A22" t="s">
        <v>188</v>
      </c>
      <c r="B22" t="s">
        <v>197</v>
      </c>
    </row>
    <row r="25" spans="1:2" x14ac:dyDescent="0.25">
      <c r="A25" s="3" t="s">
        <v>205</v>
      </c>
    </row>
    <row r="26" spans="1:2" x14ac:dyDescent="0.25">
      <c r="A26" t="s">
        <v>206</v>
      </c>
      <c r="B26" t="s">
        <v>215</v>
      </c>
    </row>
    <row r="27" spans="1:2" x14ac:dyDescent="0.25">
      <c r="A27" t="s">
        <v>207</v>
      </c>
      <c r="B27" t="s">
        <v>213</v>
      </c>
    </row>
    <row r="28" spans="1:2" x14ac:dyDescent="0.25">
      <c r="A28" t="s">
        <v>208</v>
      </c>
      <c r="B28" t="s">
        <v>214</v>
      </c>
    </row>
    <row r="29" spans="1:2" x14ac:dyDescent="0.25">
      <c r="A29" t="s">
        <v>210</v>
      </c>
      <c r="B29" t="s">
        <v>216</v>
      </c>
    </row>
    <row r="30" spans="1:2" x14ac:dyDescent="0.25">
      <c r="A30" t="s">
        <v>209</v>
      </c>
      <c r="B30" t="s">
        <v>217</v>
      </c>
    </row>
    <row r="31" spans="1:2" x14ac:dyDescent="0.25">
      <c r="A31" t="s">
        <v>211</v>
      </c>
      <c r="B31" t="s">
        <v>212</v>
      </c>
    </row>
    <row r="32" spans="1:2" x14ac:dyDescent="0.25">
      <c r="A32" t="s">
        <v>219</v>
      </c>
      <c r="B32" t="s">
        <v>220</v>
      </c>
    </row>
    <row r="33" spans="1:2" x14ac:dyDescent="0.25">
      <c r="A33" s="6" t="s">
        <v>194</v>
      </c>
      <c r="B33" t="s">
        <v>195</v>
      </c>
    </row>
    <row r="34" spans="1:2" x14ac:dyDescent="0.25">
      <c r="A34" s="6" t="s">
        <v>190</v>
      </c>
      <c r="B34" t="s">
        <v>198</v>
      </c>
    </row>
    <row r="35" spans="1:2" x14ac:dyDescent="0.25">
      <c r="A35" s="6" t="s">
        <v>191</v>
      </c>
      <c r="B35" t="s">
        <v>203</v>
      </c>
    </row>
    <row r="36" spans="1:2" x14ac:dyDescent="0.25">
      <c r="A36" s="6" t="s">
        <v>192</v>
      </c>
      <c r="B36" t="s">
        <v>204</v>
      </c>
    </row>
    <row r="37" spans="1:2" x14ac:dyDescent="0.25">
      <c r="A37" s="6" t="s">
        <v>193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70"/>
  <sheetViews>
    <sheetView workbookViewId="0">
      <selection activeCell="C3" sqref="C3"/>
    </sheetView>
  </sheetViews>
  <sheetFormatPr defaultRowHeight="15" x14ac:dyDescent="0.2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 x14ac:dyDescent="0.25">
      <c r="A1" s="3" t="s">
        <v>12</v>
      </c>
      <c r="B1" s="3" t="s">
        <v>16</v>
      </c>
      <c r="C1" s="3" t="s">
        <v>11</v>
      </c>
      <c r="D1" s="3" t="s">
        <v>10</v>
      </c>
      <c r="E1" s="3" t="s">
        <v>8</v>
      </c>
    </row>
    <row r="2" spans="1:11" x14ac:dyDescent="0.25">
      <c r="A2" t="s">
        <v>14</v>
      </c>
      <c r="B2" t="s">
        <v>23</v>
      </c>
      <c r="C2" s="9" t="s">
        <v>230</v>
      </c>
    </row>
    <row r="3" spans="1:11" x14ac:dyDescent="0.25">
      <c r="C3" s="9" t="s">
        <v>648</v>
      </c>
      <c r="E3" t="s">
        <v>31</v>
      </c>
    </row>
    <row r="4" spans="1:11" x14ac:dyDescent="0.25">
      <c r="C4" s="9" t="s">
        <v>232</v>
      </c>
    </row>
    <row r="5" spans="1:11" s="9" customFormat="1" x14ac:dyDescent="0.25"/>
    <row r="6" spans="1:11" x14ac:dyDescent="0.25">
      <c r="A6" s="9" t="s">
        <v>14</v>
      </c>
      <c r="B6" s="9" t="s">
        <v>649</v>
      </c>
      <c r="C6" s="9" t="s">
        <v>650</v>
      </c>
      <c r="D6" s="9"/>
    </row>
    <row r="7" spans="1:11" s="9" customFormat="1" x14ac:dyDescent="0.25">
      <c r="C7" s="9" t="s">
        <v>231</v>
      </c>
      <c r="E7" s="9" t="s">
        <v>227</v>
      </c>
    </row>
    <row r="8" spans="1:11" s="9" customFormat="1" x14ac:dyDescent="0.25">
      <c r="C8" s="9" t="s">
        <v>266</v>
      </c>
    </row>
    <row r="9" spans="1:11" s="9" customFormat="1" x14ac:dyDescent="0.25">
      <c r="C9" s="9" t="s">
        <v>145</v>
      </c>
    </row>
    <row r="10" spans="1:11" x14ac:dyDescent="0.25">
      <c r="A10" s="9"/>
      <c r="B10" s="9"/>
      <c r="C10" s="9" t="s">
        <v>651</v>
      </c>
      <c r="D10" s="9"/>
    </row>
    <row r="11" spans="1:11" s="9" customFormat="1" x14ac:dyDescent="0.25">
      <c r="C11" s="9" t="s">
        <v>226</v>
      </c>
      <c r="E11" s="9" t="s">
        <v>228</v>
      </c>
    </row>
    <row r="13" spans="1:11" x14ac:dyDescent="0.25">
      <c r="A13" t="s">
        <v>13</v>
      </c>
      <c r="B13" s="3" t="s">
        <v>101</v>
      </c>
      <c r="C13" t="s">
        <v>29</v>
      </c>
      <c r="D13" t="b">
        <v>0</v>
      </c>
      <c r="E13" t="s">
        <v>88</v>
      </c>
    </row>
    <row r="14" spans="1:11" x14ac:dyDescent="0.25">
      <c r="C14" t="s">
        <v>229</v>
      </c>
      <c r="D14">
        <v>1.1000000000000001</v>
      </c>
    </row>
    <row r="15" spans="1:11" x14ac:dyDescent="0.25">
      <c r="C15" t="s">
        <v>240</v>
      </c>
      <c r="D15" s="7">
        <f ca="1">NOW()</f>
        <v>44885.059175231479</v>
      </c>
      <c r="E15" s="5"/>
      <c r="J15" t="s">
        <v>245</v>
      </c>
    </row>
    <row r="16" spans="1:11" x14ac:dyDescent="0.25">
      <c r="C16" t="s">
        <v>239</v>
      </c>
      <c r="D16" s="7">
        <f ca="1">TODAY()</f>
        <v>44885</v>
      </c>
      <c r="E16" t="s">
        <v>236</v>
      </c>
      <c r="F16" t="s">
        <v>237</v>
      </c>
      <c r="G16" t="s">
        <v>238</v>
      </c>
      <c r="H16" t="s">
        <v>248</v>
      </c>
      <c r="I16" t="s">
        <v>244</v>
      </c>
      <c r="J16" t="s">
        <v>246</v>
      </c>
      <c r="K16" t="s">
        <v>247</v>
      </c>
    </row>
    <row r="17" spans="1:11" x14ac:dyDescent="0.25">
      <c r="C17" t="s">
        <v>252</v>
      </c>
      <c r="D17" t="b">
        <f ca="1">AND(OR(NOT(G17&gt;$D$16),I17),NOT(H17))</f>
        <v>1</v>
      </c>
      <c r="E17" t="str">
        <f ca="1">D16&amp;"\iCristalReport.pdf"</f>
        <v>44885\iCristalReport.pdf</v>
      </c>
      <c r="F17" t="b" cm="1">
        <f t="array" aca="1" ref="F17" ca="1">FileExists(E17,NOW())</f>
        <v>0</v>
      </c>
      <c r="G17" s="8" cm="1">
        <f t="array" aca="1" ref="G17" ca="1">IF(F17,fileModifiedDate(E17, NOW()),0)</f>
        <v>0</v>
      </c>
      <c r="H17" t="b">
        <v>0</v>
      </c>
      <c r="I17" t="b">
        <v>1</v>
      </c>
    </row>
    <row r="18" spans="1:11" s="9" customFormat="1" x14ac:dyDescent="0.25">
      <c r="C18" s="9" t="s">
        <v>649</v>
      </c>
      <c r="D18" s="9" t="b">
        <f ca="1">AND(OR(NOT(G18&gt;$D$16),I18),NOT(H18))</f>
        <v>1</v>
      </c>
      <c r="E18" s="9" t="s">
        <v>660</v>
      </c>
      <c r="F18" s="9" t="b" cm="1">
        <f t="array" aca="1" ref="F18" ca="1">FileExists(E18,NOW())</f>
        <v>1</v>
      </c>
      <c r="G18" s="8" cm="1">
        <f t="array" aca="1" ref="G18" ca="1">IF(F18,fileModifiedDate(E18, NOW()),0)</f>
        <v>44884.818564814814</v>
      </c>
      <c r="H18" s="9" t="b">
        <v>0</v>
      </c>
      <c r="I18" s="9" t="b">
        <v>0</v>
      </c>
    </row>
    <row r="20" spans="1:11" x14ac:dyDescent="0.25">
      <c r="A20" t="s">
        <v>14</v>
      </c>
      <c r="B20" t="s">
        <v>145</v>
      </c>
      <c r="C20" t="s">
        <v>141</v>
      </c>
    </row>
    <row r="21" spans="1:11" x14ac:dyDescent="0.25">
      <c r="C21" t="s">
        <v>144</v>
      </c>
    </row>
    <row r="22" spans="1:11" x14ac:dyDescent="0.25">
      <c r="C22" t="s">
        <v>75</v>
      </c>
    </row>
    <row r="23" spans="1:11" x14ac:dyDescent="0.25">
      <c r="C23" t="s">
        <v>143</v>
      </c>
    </row>
    <row r="24" spans="1:11" x14ac:dyDescent="0.25">
      <c r="C24" t="s">
        <v>142</v>
      </c>
    </row>
    <row r="25" spans="1:11" x14ac:dyDescent="0.25">
      <c r="K25" s="4"/>
    </row>
    <row r="26" spans="1:11" x14ac:dyDescent="0.25">
      <c r="A26" t="s">
        <v>13</v>
      </c>
      <c r="B26" t="s">
        <v>9</v>
      </c>
      <c r="C26" t="s">
        <v>17</v>
      </c>
      <c r="D26" t="s">
        <v>18</v>
      </c>
      <c r="E26" s="3" t="s">
        <v>147</v>
      </c>
    </row>
    <row r="27" spans="1:11" x14ac:dyDescent="0.25">
      <c r="A27" t="s">
        <v>14</v>
      </c>
      <c r="B27" s="3" t="s">
        <v>0</v>
      </c>
      <c r="C27" t="s">
        <v>19</v>
      </c>
      <c r="D27" s="2"/>
      <c r="E27" t="s">
        <v>132</v>
      </c>
    </row>
    <row r="28" spans="1:11" x14ac:dyDescent="0.25">
      <c r="B28" s="3"/>
      <c r="C28" t="s">
        <v>235</v>
      </c>
      <c r="D28" s="2"/>
    </row>
    <row r="29" spans="1:11" x14ac:dyDescent="0.25">
      <c r="B29" s="3"/>
      <c r="C29" t="s">
        <v>90</v>
      </c>
      <c r="D29" s="2"/>
      <c r="E29" s="9" t="s">
        <v>92</v>
      </c>
    </row>
    <row r="30" spans="1:11" x14ac:dyDescent="0.25">
      <c r="C30" t="s">
        <v>234</v>
      </c>
    </row>
    <row r="31" spans="1:11" x14ac:dyDescent="0.25">
      <c r="C31" s="9" t="s">
        <v>90</v>
      </c>
      <c r="E31" t="s">
        <v>57</v>
      </c>
    </row>
    <row r="32" spans="1:11" s="9" customFormat="1" x14ac:dyDescent="0.25">
      <c r="C32" s="9" t="s">
        <v>257</v>
      </c>
    </row>
    <row r="33" spans="1:5" x14ac:dyDescent="0.25">
      <c r="A33" t="s">
        <v>14</v>
      </c>
      <c r="B33" t="s">
        <v>256</v>
      </c>
      <c r="C33" t="s">
        <v>243</v>
      </c>
      <c r="E33" t="s">
        <v>61</v>
      </c>
    </row>
    <row r="34" spans="1:5" s="9" customFormat="1" x14ac:dyDescent="0.25"/>
    <row r="35" spans="1:5" s="9" customFormat="1" x14ac:dyDescent="0.25">
      <c r="A35" s="9" t="s">
        <v>14</v>
      </c>
      <c r="B35" s="9" t="s">
        <v>258</v>
      </c>
      <c r="C35" s="9" t="s">
        <v>254</v>
      </c>
    </row>
    <row r="36" spans="1:5" s="9" customFormat="1" x14ac:dyDescent="0.25">
      <c r="C36" s="9" t="s">
        <v>253</v>
      </c>
    </row>
    <row r="37" spans="1:5" s="9" customFormat="1" x14ac:dyDescent="0.25">
      <c r="A37" s="9" t="s">
        <v>14</v>
      </c>
      <c r="B37" s="9" t="s">
        <v>259</v>
      </c>
      <c r="C37" s="9" t="s">
        <v>260</v>
      </c>
    </row>
    <row r="38" spans="1:5" s="9" customFormat="1" x14ac:dyDescent="0.25">
      <c r="C38" s="9" t="s">
        <v>265</v>
      </c>
    </row>
    <row r="39" spans="1:5" s="9" customFormat="1" x14ac:dyDescent="0.25">
      <c r="A39" s="9" t="s">
        <v>14</v>
      </c>
      <c r="B39" s="9" t="s">
        <v>260</v>
      </c>
      <c r="C39" s="9" t="s">
        <v>20</v>
      </c>
    </row>
    <row r="40" spans="1:5" s="9" customFormat="1" x14ac:dyDescent="0.25">
      <c r="C40" s="9" t="s">
        <v>28</v>
      </c>
    </row>
    <row r="41" spans="1:5" s="9" customFormat="1" x14ac:dyDescent="0.25">
      <c r="C41" s="9" t="s">
        <v>140</v>
      </c>
    </row>
    <row r="42" spans="1:5" s="9" customFormat="1" x14ac:dyDescent="0.25">
      <c r="C42" s="9" t="s">
        <v>7</v>
      </c>
    </row>
    <row r="43" spans="1:5" s="9" customFormat="1" x14ac:dyDescent="0.25">
      <c r="C43" s="9" t="s">
        <v>261</v>
      </c>
      <c r="E43" s="9" t="s">
        <v>163</v>
      </c>
    </row>
    <row r="44" spans="1:5" s="9" customFormat="1" x14ac:dyDescent="0.25">
      <c r="E44" s="9" t="s">
        <v>166</v>
      </c>
    </row>
    <row r="45" spans="1:5" s="9" customFormat="1" x14ac:dyDescent="0.25">
      <c r="E45" s="9" t="s">
        <v>251</v>
      </c>
    </row>
    <row r="46" spans="1:5" s="9" customFormat="1" x14ac:dyDescent="0.25">
      <c r="A46" s="9" t="s">
        <v>14</v>
      </c>
      <c r="B46" s="9" t="s">
        <v>265</v>
      </c>
      <c r="C46" s="9" t="s">
        <v>255</v>
      </c>
    </row>
    <row r="47" spans="1:5" s="9" customFormat="1" x14ac:dyDescent="0.25">
      <c r="A47" s="9" t="s">
        <v>14</v>
      </c>
      <c r="B47" s="9" t="s">
        <v>262</v>
      </c>
      <c r="C47" s="9" t="s">
        <v>253</v>
      </c>
    </row>
    <row r="48" spans="1:5" s="9" customFormat="1" x14ac:dyDescent="0.25">
      <c r="C48" s="9" t="s">
        <v>264</v>
      </c>
    </row>
    <row r="49" spans="1:5" s="9" customFormat="1" x14ac:dyDescent="0.25">
      <c r="A49" s="9" t="s">
        <v>14</v>
      </c>
      <c r="B49" s="9" t="s">
        <v>263</v>
      </c>
      <c r="C49" s="9" t="s">
        <v>265</v>
      </c>
    </row>
    <row r="50" spans="1:5" s="9" customFormat="1" x14ac:dyDescent="0.25">
      <c r="C50" s="9" t="s">
        <v>165</v>
      </c>
    </row>
    <row r="51" spans="1:5" s="9" customFormat="1" x14ac:dyDescent="0.25"/>
    <row r="52" spans="1:5" x14ac:dyDescent="0.25">
      <c r="A52" t="s">
        <v>14</v>
      </c>
      <c r="B52" s="1" t="s">
        <v>60</v>
      </c>
      <c r="C52" t="s">
        <v>92</v>
      </c>
      <c r="E52" s="1"/>
    </row>
    <row r="53" spans="1:5" x14ac:dyDescent="0.25">
      <c r="B53" s="1"/>
      <c r="C53" t="s">
        <v>250</v>
      </c>
      <c r="E53" s="1" t="s">
        <v>94</v>
      </c>
    </row>
    <row r="54" spans="1:5" x14ac:dyDescent="0.25">
      <c r="B54" s="1"/>
      <c r="C54" t="s">
        <v>20</v>
      </c>
      <c r="E54" s="1" t="s">
        <v>58</v>
      </c>
    </row>
    <row r="55" spans="1:5" x14ac:dyDescent="0.25">
      <c r="C55" t="s">
        <v>28</v>
      </c>
      <c r="E55" t="s">
        <v>59</v>
      </c>
    </row>
    <row r="56" spans="1:5" x14ac:dyDescent="0.25">
      <c r="C56" t="s">
        <v>140</v>
      </c>
      <c r="E56" t="s">
        <v>31</v>
      </c>
    </row>
    <row r="57" spans="1:5" x14ac:dyDescent="0.25">
      <c r="C57" t="s">
        <v>7</v>
      </c>
      <c r="E57" t="s">
        <v>62</v>
      </c>
    </row>
    <row r="58" spans="1:5" x14ac:dyDescent="0.25">
      <c r="C58" t="s">
        <v>163</v>
      </c>
      <c r="E58" t="s">
        <v>164</v>
      </c>
    </row>
    <row r="59" spans="1:5" x14ac:dyDescent="0.25">
      <c r="C59" t="s">
        <v>166</v>
      </c>
      <c r="E59" t="s">
        <v>167</v>
      </c>
    </row>
    <row r="60" spans="1:5" x14ac:dyDescent="0.25">
      <c r="C60" t="s">
        <v>251</v>
      </c>
      <c r="E60" t="s">
        <v>63</v>
      </c>
    </row>
    <row r="62" spans="1:5" x14ac:dyDescent="0.25">
      <c r="A62" t="s">
        <v>14</v>
      </c>
      <c r="B62" t="s">
        <v>139</v>
      </c>
      <c r="C62" t="s">
        <v>30</v>
      </c>
    </row>
    <row r="63" spans="1:5" x14ac:dyDescent="0.25">
      <c r="C63" t="s">
        <v>170</v>
      </c>
      <c r="E63" t="s">
        <v>169</v>
      </c>
    </row>
    <row r="64" spans="1:5" x14ac:dyDescent="0.25">
      <c r="C64" t="s">
        <v>241</v>
      </c>
      <c r="E64" t="s">
        <v>242</v>
      </c>
    </row>
    <row r="65" spans="1:5" x14ac:dyDescent="0.25">
      <c r="C65" t="s">
        <v>24</v>
      </c>
    </row>
    <row r="67" spans="1:5" x14ac:dyDescent="0.25">
      <c r="A67" t="s">
        <v>14</v>
      </c>
      <c r="B67" t="s">
        <v>165</v>
      </c>
      <c r="C67" t="s">
        <v>168</v>
      </c>
      <c r="E67" t="s">
        <v>169</v>
      </c>
    </row>
    <row r="68" spans="1:5" x14ac:dyDescent="0.25">
      <c r="C68" t="s">
        <v>241</v>
      </c>
      <c r="E68" t="s">
        <v>242</v>
      </c>
    </row>
    <row r="69" spans="1:5" x14ac:dyDescent="0.25">
      <c r="C69" t="s">
        <v>24</v>
      </c>
    </row>
    <row r="70" spans="1:5" x14ac:dyDescent="0.25">
      <c r="B70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37821-5521-4561-ABF4-B0EF4649450F}">
  <dimension ref="A1:L262"/>
  <sheetViews>
    <sheetView tabSelected="1" topLeftCell="A90" workbookViewId="0">
      <selection activeCell="C90" sqref="C90"/>
    </sheetView>
  </sheetViews>
  <sheetFormatPr defaultRowHeight="15" x14ac:dyDescent="0.25"/>
  <cols>
    <col min="2" max="6" width="23" customWidth="1"/>
    <col min="7" max="7" width="21.42578125" customWidth="1"/>
    <col min="8" max="8" width="26.85546875" customWidth="1"/>
    <col min="9" max="9" width="26.5703125" customWidth="1"/>
    <col min="10" max="10" width="26.140625" customWidth="1"/>
    <col min="11" max="11" width="26.7109375" customWidth="1"/>
  </cols>
  <sheetData>
    <row r="1" spans="1:12" x14ac:dyDescent="0.25">
      <c r="A1" t="s">
        <v>12</v>
      </c>
      <c r="B1" t="s">
        <v>16</v>
      </c>
      <c r="C1" t="s">
        <v>11</v>
      </c>
      <c r="D1" t="s">
        <v>10</v>
      </c>
      <c r="E1" t="s">
        <v>8</v>
      </c>
      <c r="F1" s="9"/>
      <c r="H1" s="9"/>
      <c r="J1" s="9"/>
      <c r="K1" s="9"/>
    </row>
    <row r="2" spans="1:12" s="9" customFormat="1" x14ac:dyDescent="0.25"/>
    <row r="3" spans="1:12" s="9" customFormat="1" x14ac:dyDescent="0.25">
      <c r="A3" s="9" t="s">
        <v>652</v>
      </c>
      <c r="B3" s="9" t="s">
        <v>267</v>
      </c>
      <c r="C3" s="9" t="s">
        <v>11</v>
      </c>
      <c r="D3" s="9" t="s">
        <v>9</v>
      </c>
      <c r="E3" s="9" t="s">
        <v>350</v>
      </c>
      <c r="F3" s="9" t="s">
        <v>658</v>
      </c>
      <c r="G3" s="9" t="s">
        <v>42</v>
      </c>
      <c r="H3" s="9" t="s">
        <v>43</v>
      </c>
      <c r="I3" s="9" t="s">
        <v>351</v>
      </c>
      <c r="J3" s="9" t="s">
        <v>661</v>
      </c>
      <c r="K3" s="9" t="s">
        <v>8</v>
      </c>
    </row>
    <row r="4" spans="1:12" x14ac:dyDescent="0.25">
      <c r="C4" s="9" t="s">
        <v>352</v>
      </c>
      <c r="D4" t="s">
        <v>269</v>
      </c>
      <c r="E4" s="9">
        <v>3</v>
      </c>
      <c r="F4" s="9" t="s">
        <v>268</v>
      </c>
      <c r="G4" s="9" t="s">
        <v>268</v>
      </c>
      <c r="H4" s="9" t="s">
        <v>44</v>
      </c>
      <c r="I4" s="9" t="s">
        <v>234</v>
      </c>
      <c r="J4" s="7" t="b" cm="1">
        <f t="array" aca="1" ref="J4" ca="1">IF(FileExists(imageFolder&amp;F4),fileModifiedDate(imageFolder&amp;F4, NOW()),0)&gt;cutofftime</f>
        <v>0</v>
      </c>
      <c r="K4" s="9" t="s">
        <v>270</v>
      </c>
    </row>
    <row r="5" spans="1:12" x14ac:dyDescent="0.25">
      <c r="C5" s="9" t="s">
        <v>353</v>
      </c>
      <c r="D5" t="s">
        <v>272</v>
      </c>
      <c r="E5" s="9">
        <v>-3</v>
      </c>
      <c r="F5" s="9" t="s">
        <v>271</v>
      </c>
      <c r="G5" s="9" t="s">
        <v>271</v>
      </c>
      <c r="H5" s="9" t="s">
        <v>455</v>
      </c>
      <c r="I5" s="9" t="s">
        <v>354</v>
      </c>
      <c r="J5" s="7" t="b" cm="1">
        <f t="array" aca="1" ref="J5" ca="1">IF(FileExists(imageFolder&amp;F5),fileModifiedDate(imageFolder&amp;F5, NOW()),0)&gt;cutofftime</f>
        <v>0</v>
      </c>
      <c r="K5" s="9" t="s">
        <v>273</v>
      </c>
      <c r="L5" s="9"/>
    </row>
    <row r="6" spans="1:12" x14ac:dyDescent="0.25">
      <c r="C6" s="9" t="s">
        <v>356</v>
      </c>
      <c r="E6" s="9"/>
      <c r="F6" s="9" t="s">
        <v>274</v>
      </c>
      <c r="G6" s="9" t="s">
        <v>274</v>
      </c>
      <c r="H6" s="9" t="s">
        <v>456</v>
      </c>
      <c r="I6" s="9" t="s">
        <v>357</v>
      </c>
      <c r="J6" s="7" t="b" cm="1">
        <f t="array" aca="1" ref="J6" ca="1">IF(FileExists(imageFolder&amp;F6),fileModifiedDate(imageFolder&amp;F6, NOW()),0)&gt;cutofftime</f>
        <v>0</v>
      </c>
      <c r="K6" s="9"/>
      <c r="L6" s="9"/>
    </row>
    <row r="7" spans="1:12" x14ac:dyDescent="0.25">
      <c r="C7" s="9" t="s">
        <v>359</v>
      </c>
      <c r="E7" s="9"/>
      <c r="F7" s="9" t="s">
        <v>275</v>
      </c>
      <c r="G7" s="9" t="s">
        <v>275</v>
      </c>
      <c r="H7" s="9" t="s">
        <v>457</v>
      </c>
      <c r="I7" s="9" t="s">
        <v>360</v>
      </c>
      <c r="J7" s="7" t="b" cm="1">
        <f t="array" aca="1" ref="J7" ca="1">IF(FileExists(imageFolder&amp;F7),fileModifiedDate(imageFolder&amp;F7, NOW()),0)&gt;cutofftime</f>
        <v>0</v>
      </c>
      <c r="K7" s="9"/>
      <c r="L7" s="9"/>
    </row>
    <row r="8" spans="1:12" x14ac:dyDescent="0.25">
      <c r="C8" s="9" t="s">
        <v>362</v>
      </c>
      <c r="E8" s="9"/>
      <c r="F8" s="9" t="s">
        <v>276</v>
      </c>
      <c r="G8" s="9" t="s">
        <v>276</v>
      </c>
      <c r="H8" s="9" t="s">
        <v>458</v>
      </c>
      <c r="I8" s="9" t="s">
        <v>363</v>
      </c>
      <c r="J8" s="7" t="b" cm="1">
        <f t="array" aca="1" ref="J8" ca="1">IF(FileExists(imageFolder&amp;F8),fileModifiedDate(imageFolder&amp;F8, NOW()),0)&gt;cutofftime</f>
        <v>0</v>
      </c>
      <c r="K8" s="9"/>
      <c r="L8" s="9"/>
    </row>
    <row r="9" spans="1:12" x14ac:dyDescent="0.25">
      <c r="C9" s="9" t="s">
        <v>364</v>
      </c>
      <c r="E9" s="9"/>
      <c r="F9" s="9" t="s">
        <v>277</v>
      </c>
      <c r="G9" s="9" t="s">
        <v>277</v>
      </c>
      <c r="H9" s="9" t="s">
        <v>459</v>
      </c>
      <c r="I9" s="9" t="s">
        <v>365</v>
      </c>
      <c r="J9" s="7" t="b" cm="1">
        <f t="array" aca="1" ref="J9" ca="1">IF(FileExists(imageFolder&amp;F9),fileModifiedDate(imageFolder&amp;F9, NOW()),0)&gt;cutofftime</f>
        <v>0</v>
      </c>
      <c r="K9" s="9"/>
      <c r="L9" s="9"/>
    </row>
    <row r="10" spans="1:12" x14ac:dyDescent="0.25">
      <c r="C10" s="9" t="s">
        <v>366</v>
      </c>
      <c r="E10" s="9"/>
      <c r="F10" s="9" t="s">
        <v>278</v>
      </c>
      <c r="G10" s="9" t="s">
        <v>278</v>
      </c>
      <c r="H10" s="9" t="s">
        <v>460</v>
      </c>
      <c r="I10" s="9" t="s">
        <v>357</v>
      </c>
      <c r="J10" s="7" t="b" cm="1">
        <f t="array" aca="1" ref="J10" ca="1">IF(FileExists(imageFolder&amp;F10),fileModifiedDate(imageFolder&amp;F10, NOW()),0)&gt;cutofftime</f>
        <v>0</v>
      </c>
      <c r="K10" s="9"/>
      <c r="L10" s="9"/>
    </row>
    <row r="11" spans="1:12" x14ac:dyDescent="0.25">
      <c r="C11" s="9" t="s">
        <v>367</v>
      </c>
      <c r="E11" s="9"/>
      <c r="F11" s="9" t="s">
        <v>279</v>
      </c>
      <c r="G11" s="9" t="s">
        <v>279</v>
      </c>
      <c r="H11" s="9" t="s">
        <v>461</v>
      </c>
      <c r="I11" s="9" t="s">
        <v>360</v>
      </c>
      <c r="J11" s="7" t="b" cm="1">
        <f t="array" aca="1" ref="J11" ca="1">IF(FileExists(imageFolder&amp;F11),fileModifiedDate(imageFolder&amp;F11, NOW()),0)&gt;cutofftime</f>
        <v>0</v>
      </c>
      <c r="K11" s="9"/>
      <c r="L11" s="9"/>
    </row>
    <row r="12" spans="1:12" x14ac:dyDescent="0.25">
      <c r="C12" s="9" t="s">
        <v>368</v>
      </c>
      <c r="E12" s="9"/>
      <c r="F12" s="9" t="s">
        <v>280</v>
      </c>
      <c r="G12" s="9" t="s">
        <v>280</v>
      </c>
      <c r="H12" s="9" t="s">
        <v>462</v>
      </c>
      <c r="I12" s="9" t="s">
        <v>363</v>
      </c>
      <c r="J12" s="7" t="b" cm="1">
        <f t="array" aca="1" ref="J12" ca="1">IF(FileExists(imageFolder&amp;F12),fileModifiedDate(imageFolder&amp;F12, NOW()),0)&gt;cutofftime</f>
        <v>0</v>
      </c>
      <c r="K12" s="9"/>
      <c r="L12" s="9"/>
    </row>
    <row r="13" spans="1:12" x14ac:dyDescent="0.25">
      <c r="C13" s="9" t="s">
        <v>369</v>
      </c>
      <c r="E13" s="9"/>
      <c r="F13" s="9" t="s">
        <v>281</v>
      </c>
      <c r="G13" s="9" t="s">
        <v>281</v>
      </c>
      <c r="H13" s="9" t="s">
        <v>463</v>
      </c>
      <c r="I13" s="9" t="s">
        <v>370</v>
      </c>
      <c r="J13" s="7" t="b" cm="1">
        <f t="array" aca="1" ref="J13" ca="1">IF(FileExists(imageFolder&amp;F13),fileModifiedDate(imageFolder&amp;F13, NOW()),0)&gt;cutofftime</f>
        <v>0</v>
      </c>
      <c r="K13" s="9"/>
      <c r="L13" s="9"/>
    </row>
    <row r="14" spans="1:12" x14ac:dyDescent="0.25">
      <c r="C14" s="9" t="s">
        <v>371</v>
      </c>
      <c r="E14" s="9"/>
      <c r="F14" s="9" t="s">
        <v>282</v>
      </c>
      <c r="G14" s="9" t="s">
        <v>282</v>
      </c>
      <c r="H14" s="9" t="s">
        <v>464</v>
      </c>
      <c r="I14" s="9" t="s">
        <v>357</v>
      </c>
      <c r="J14" s="7" t="b" cm="1">
        <f t="array" aca="1" ref="J14" ca="1">IF(FileExists(imageFolder&amp;F14),fileModifiedDate(imageFolder&amp;F14, NOW()),0)&gt;cutofftime</f>
        <v>0</v>
      </c>
      <c r="K14" s="9"/>
      <c r="L14" s="9"/>
    </row>
    <row r="15" spans="1:12" x14ac:dyDescent="0.25">
      <c r="C15" s="9" t="s">
        <v>372</v>
      </c>
      <c r="E15" s="9"/>
      <c r="F15" s="9" t="s">
        <v>283</v>
      </c>
      <c r="G15" s="9" t="s">
        <v>283</v>
      </c>
      <c r="H15" s="9" t="s">
        <v>465</v>
      </c>
      <c r="I15" s="9" t="s">
        <v>360</v>
      </c>
      <c r="J15" s="7" t="b" cm="1">
        <f t="array" aca="1" ref="J15" ca="1">IF(FileExists(imageFolder&amp;F15),fileModifiedDate(imageFolder&amp;F15, NOW()),0)&gt;cutofftime</f>
        <v>0</v>
      </c>
      <c r="K15" s="9"/>
      <c r="L15" s="9"/>
    </row>
    <row r="16" spans="1:12" x14ac:dyDescent="0.25">
      <c r="C16" s="9" t="s">
        <v>373</v>
      </c>
      <c r="E16" s="9"/>
      <c r="F16" s="9" t="s">
        <v>284</v>
      </c>
      <c r="G16" s="9" t="s">
        <v>284</v>
      </c>
      <c r="H16" s="9" t="s">
        <v>466</v>
      </c>
      <c r="I16" s="9" t="s">
        <v>363</v>
      </c>
      <c r="J16" s="7" t="b" cm="1">
        <f t="array" aca="1" ref="J16" ca="1">IF(FileExists(imageFolder&amp;F16),fileModifiedDate(imageFolder&amp;F16, NOW()),0)&gt;cutofftime</f>
        <v>0</v>
      </c>
      <c r="K16" s="9"/>
      <c r="L16" s="9"/>
    </row>
    <row r="17" spans="3:12" x14ac:dyDescent="0.25">
      <c r="C17" s="9" t="s">
        <v>374</v>
      </c>
      <c r="E17" s="9"/>
      <c r="F17" s="9" t="s">
        <v>285</v>
      </c>
      <c r="G17" s="9" t="s">
        <v>285</v>
      </c>
      <c r="H17" s="9" t="s">
        <v>467</v>
      </c>
      <c r="I17" s="9" t="s">
        <v>375</v>
      </c>
      <c r="J17" s="7" t="b" cm="1">
        <f t="array" aca="1" ref="J17" ca="1">IF(FileExists(imageFolder&amp;F17),fileModifiedDate(imageFolder&amp;F17, NOW()),0)&gt;cutofftime</f>
        <v>0</v>
      </c>
      <c r="K17" s="9"/>
      <c r="L17" s="9"/>
    </row>
    <row r="18" spans="3:12" x14ac:dyDescent="0.25">
      <c r="C18" s="9" t="s">
        <v>376</v>
      </c>
      <c r="E18" s="9"/>
      <c r="F18" s="9" t="s">
        <v>286</v>
      </c>
      <c r="G18" s="9" t="s">
        <v>286</v>
      </c>
      <c r="H18" s="9" t="s">
        <v>468</v>
      </c>
      <c r="I18" s="9" t="s">
        <v>357</v>
      </c>
      <c r="J18" s="7" t="b" cm="1">
        <f t="array" aca="1" ref="J18" ca="1">IF(FileExists(imageFolder&amp;F18),fileModifiedDate(imageFolder&amp;F18, NOW()),0)&gt;cutofftime</f>
        <v>0</v>
      </c>
      <c r="K18" s="9"/>
      <c r="L18" s="9"/>
    </row>
    <row r="19" spans="3:12" x14ac:dyDescent="0.25">
      <c r="C19" s="9" t="s">
        <v>377</v>
      </c>
      <c r="E19" s="9"/>
      <c r="F19" s="9" t="s">
        <v>287</v>
      </c>
      <c r="G19" s="9" t="s">
        <v>287</v>
      </c>
      <c r="H19" s="9" t="s">
        <v>469</v>
      </c>
      <c r="I19" s="9" t="s">
        <v>360</v>
      </c>
      <c r="J19" s="7" t="b" cm="1">
        <f t="array" aca="1" ref="J19" ca="1">IF(FileExists(imageFolder&amp;F19),fileModifiedDate(imageFolder&amp;F19, NOW()),0)&gt;cutofftime</f>
        <v>0</v>
      </c>
      <c r="K19" s="9"/>
      <c r="L19" s="9"/>
    </row>
    <row r="20" spans="3:12" x14ac:dyDescent="0.25">
      <c r="C20" s="9" t="s">
        <v>378</v>
      </c>
      <c r="E20" s="9"/>
      <c r="F20" s="9" t="s">
        <v>288</v>
      </c>
      <c r="G20" s="9" t="s">
        <v>288</v>
      </c>
      <c r="H20" s="9" t="s">
        <v>470</v>
      </c>
      <c r="I20" s="9" t="s">
        <v>363</v>
      </c>
      <c r="J20" s="7" t="b" cm="1">
        <f t="array" aca="1" ref="J20" ca="1">IF(FileExists(imageFolder&amp;F20),fileModifiedDate(imageFolder&amp;F20, NOW()),0)&gt;cutofftime</f>
        <v>0</v>
      </c>
      <c r="K20" s="9"/>
      <c r="L20" s="9"/>
    </row>
    <row r="21" spans="3:12" x14ac:dyDescent="0.25">
      <c r="C21" s="9" t="s">
        <v>379</v>
      </c>
      <c r="E21" s="9"/>
      <c r="F21" s="9" t="s">
        <v>289</v>
      </c>
      <c r="G21" s="9" t="s">
        <v>289</v>
      </c>
      <c r="H21" s="9" t="s">
        <v>471</v>
      </c>
      <c r="I21" s="9" t="s">
        <v>380</v>
      </c>
      <c r="J21" s="7" t="b" cm="1">
        <f t="array" aca="1" ref="J21" ca="1">IF(FileExists(imageFolder&amp;F21),fileModifiedDate(imageFolder&amp;F21, NOW()),0)&gt;cutofftime</f>
        <v>0</v>
      </c>
      <c r="K21" s="9"/>
      <c r="L21" s="9"/>
    </row>
    <row r="22" spans="3:12" x14ac:dyDescent="0.25">
      <c r="C22" s="9" t="s">
        <v>381</v>
      </c>
      <c r="E22" s="9"/>
      <c r="F22" s="9" t="s">
        <v>290</v>
      </c>
      <c r="G22" s="9" t="s">
        <v>290</v>
      </c>
      <c r="H22" s="9" t="s">
        <v>472</v>
      </c>
      <c r="I22" s="9" t="s">
        <v>357</v>
      </c>
      <c r="J22" s="7" t="b" cm="1">
        <f t="array" aca="1" ref="J22" ca="1">IF(FileExists(imageFolder&amp;F22),fileModifiedDate(imageFolder&amp;F22, NOW()),0)&gt;cutofftime</f>
        <v>0</v>
      </c>
      <c r="K22" s="9"/>
      <c r="L22" s="9"/>
    </row>
    <row r="23" spans="3:12" x14ac:dyDescent="0.25">
      <c r="C23" s="9" t="s">
        <v>382</v>
      </c>
      <c r="E23" s="9"/>
      <c r="F23" s="9" t="s">
        <v>291</v>
      </c>
      <c r="G23" s="9" t="s">
        <v>291</v>
      </c>
      <c r="H23" s="9" t="s">
        <v>473</v>
      </c>
      <c r="I23" s="9" t="s">
        <v>360</v>
      </c>
      <c r="J23" s="7" t="b" cm="1">
        <f t="array" aca="1" ref="J23" ca="1">IF(FileExists(imageFolder&amp;F23),fileModifiedDate(imageFolder&amp;F23, NOW()),0)&gt;cutofftime</f>
        <v>0</v>
      </c>
      <c r="K23" s="9"/>
      <c r="L23" s="9"/>
    </row>
    <row r="24" spans="3:12" x14ac:dyDescent="0.25">
      <c r="C24" s="9" t="s">
        <v>383</v>
      </c>
      <c r="E24" s="9"/>
      <c r="F24" s="9" t="s">
        <v>292</v>
      </c>
      <c r="G24" s="9" t="s">
        <v>292</v>
      </c>
      <c r="H24" s="9" t="s">
        <v>474</v>
      </c>
      <c r="I24" s="9" t="s">
        <v>363</v>
      </c>
      <c r="J24" s="7" t="b" cm="1">
        <f t="array" aca="1" ref="J24" ca="1">IF(FileExists(imageFolder&amp;F24),fileModifiedDate(imageFolder&amp;F24, NOW()),0)&gt;cutofftime</f>
        <v>0</v>
      </c>
      <c r="K24" s="9"/>
      <c r="L24" s="9"/>
    </row>
    <row r="25" spans="3:12" x14ac:dyDescent="0.25">
      <c r="C25" s="9" t="s">
        <v>384</v>
      </c>
      <c r="E25" s="9"/>
      <c r="F25" s="9" t="s">
        <v>293</v>
      </c>
      <c r="G25" s="9" t="s">
        <v>293</v>
      </c>
      <c r="H25" s="9" t="s">
        <v>475</v>
      </c>
      <c r="I25" s="9" t="s">
        <v>385</v>
      </c>
      <c r="J25" s="7" t="b" cm="1">
        <f t="array" aca="1" ref="J25" ca="1">IF(FileExists(imageFolder&amp;F25),fileModifiedDate(imageFolder&amp;F25, NOW()),0)&gt;cutofftime</f>
        <v>0</v>
      </c>
      <c r="K25" s="9"/>
      <c r="L25" s="9"/>
    </row>
    <row r="26" spans="3:12" x14ac:dyDescent="0.25">
      <c r="C26" s="9" t="s">
        <v>386</v>
      </c>
      <c r="E26" s="9"/>
      <c r="F26" s="9" t="s">
        <v>294</v>
      </c>
      <c r="G26" s="9" t="s">
        <v>294</v>
      </c>
      <c r="H26" s="9" t="s">
        <v>476</v>
      </c>
      <c r="I26" s="9" t="s">
        <v>357</v>
      </c>
      <c r="J26" s="7" t="b" cm="1">
        <f t="array" aca="1" ref="J26" ca="1">IF(FileExists(imageFolder&amp;F26),fileModifiedDate(imageFolder&amp;F26, NOW()),0)&gt;cutofftime</f>
        <v>0</v>
      </c>
      <c r="K26" s="9"/>
      <c r="L26" s="9"/>
    </row>
    <row r="27" spans="3:12" x14ac:dyDescent="0.25">
      <c r="C27" s="9" t="s">
        <v>387</v>
      </c>
      <c r="E27" s="9"/>
      <c r="F27" s="9" t="s">
        <v>295</v>
      </c>
      <c r="G27" s="9" t="s">
        <v>295</v>
      </c>
      <c r="H27" s="9" t="s">
        <v>477</v>
      </c>
      <c r="I27" s="9" t="s">
        <v>360</v>
      </c>
      <c r="J27" s="7" t="b" cm="1">
        <f t="array" aca="1" ref="J27" ca="1">IF(FileExists(imageFolder&amp;F27),fileModifiedDate(imageFolder&amp;F27, NOW()),0)&gt;cutofftime</f>
        <v>0</v>
      </c>
      <c r="K27" s="9"/>
      <c r="L27" s="9"/>
    </row>
    <row r="28" spans="3:12" x14ac:dyDescent="0.25">
      <c r="C28" s="9" t="s">
        <v>388</v>
      </c>
      <c r="E28" s="9"/>
      <c r="F28" s="9" t="s">
        <v>296</v>
      </c>
      <c r="G28" s="9" t="s">
        <v>296</v>
      </c>
      <c r="H28" s="9" t="s">
        <v>478</v>
      </c>
      <c r="I28" s="9" t="s">
        <v>363</v>
      </c>
      <c r="J28" s="7" t="b" cm="1">
        <f t="array" aca="1" ref="J28" ca="1">IF(FileExists(imageFolder&amp;F28),fileModifiedDate(imageFolder&amp;F28, NOW()),0)&gt;cutofftime</f>
        <v>0</v>
      </c>
      <c r="K28" s="9"/>
      <c r="L28" s="9"/>
    </row>
    <row r="29" spans="3:12" x14ac:dyDescent="0.25">
      <c r="C29" s="9" t="s">
        <v>389</v>
      </c>
      <c r="E29" s="9"/>
      <c r="F29" s="9" t="s">
        <v>297</v>
      </c>
      <c r="G29" s="9" t="s">
        <v>297</v>
      </c>
      <c r="H29" s="9" t="s">
        <v>479</v>
      </c>
      <c r="I29" s="9" t="s">
        <v>390</v>
      </c>
      <c r="J29" s="7" t="b" cm="1">
        <f t="array" aca="1" ref="J29" ca="1">IF(FileExists(imageFolder&amp;F29),fileModifiedDate(imageFolder&amp;F29, NOW()),0)&gt;cutofftime</f>
        <v>0</v>
      </c>
      <c r="K29" s="9"/>
      <c r="L29" s="9"/>
    </row>
    <row r="30" spans="3:12" x14ac:dyDescent="0.25">
      <c r="C30" s="9" t="s">
        <v>391</v>
      </c>
      <c r="E30" s="9"/>
      <c r="F30" s="9" t="s">
        <v>298</v>
      </c>
      <c r="G30" s="9" t="s">
        <v>298</v>
      </c>
      <c r="H30" s="9" t="s">
        <v>480</v>
      </c>
      <c r="I30" s="9" t="s">
        <v>357</v>
      </c>
      <c r="J30" s="7" t="b" cm="1">
        <f t="array" aca="1" ref="J30" ca="1">IF(FileExists(imageFolder&amp;F30),fileModifiedDate(imageFolder&amp;F30, NOW()),0)&gt;cutofftime</f>
        <v>0</v>
      </c>
      <c r="K30" s="9"/>
      <c r="L30" s="9"/>
    </row>
    <row r="31" spans="3:12" x14ac:dyDescent="0.25">
      <c r="C31" s="9" t="s">
        <v>392</v>
      </c>
      <c r="E31" s="9"/>
      <c r="F31" s="9" t="s">
        <v>299</v>
      </c>
      <c r="G31" s="9" t="s">
        <v>299</v>
      </c>
      <c r="H31" s="9" t="s">
        <v>481</v>
      </c>
      <c r="I31" s="9" t="s">
        <v>360</v>
      </c>
      <c r="J31" s="7" t="b" cm="1">
        <f t="array" aca="1" ref="J31" ca="1">IF(FileExists(imageFolder&amp;F31),fileModifiedDate(imageFolder&amp;F31, NOW()),0)&gt;cutofftime</f>
        <v>0</v>
      </c>
      <c r="K31" s="9"/>
      <c r="L31" s="9"/>
    </row>
    <row r="32" spans="3:12" x14ac:dyDescent="0.25">
      <c r="C32" s="9" t="s">
        <v>393</v>
      </c>
      <c r="E32" s="9"/>
      <c r="F32" s="9" t="s">
        <v>300</v>
      </c>
      <c r="G32" s="9" t="s">
        <v>300</v>
      </c>
      <c r="H32" s="9" t="s">
        <v>482</v>
      </c>
      <c r="I32" s="9" t="s">
        <v>363</v>
      </c>
      <c r="J32" s="7" t="b" cm="1">
        <f t="array" aca="1" ref="J32" ca="1">IF(FileExists(imageFolder&amp;F32),fileModifiedDate(imageFolder&amp;F32, NOW()),0)&gt;cutofftime</f>
        <v>0</v>
      </c>
      <c r="K32" s="9"/>
      <c r="L32" s="9"/>
    </row>
    <row r="33" spans="3:12" x14ac:dyDescent="0.25">
      <c r="C33" s="9" t="s">
        <v>394</v>
      </c>
      <c r="E33" s="9"/>
      <c r="F33" s="9" t="s">
        <v>301</v>
      </c>
      <c r="G33" s="9" t="s">
        <v>301</v>
      </c>
      <c r="H33" s="9" t="s">
        <v>483</v>
      </c>
      <c r="I33" s="9" t="s">
        <v>395</v>
      </c>
      <c r="J33" s="7" t="b" cm="1">
        <f t="array" aca="1" ref="J33" ca="1">IF(FileExists(imageFolder&amp;F33),fileModifiedDate(imageFolder&amp;F33, NOW()),0)&gt;cutofftime</f>
        <v>0</v>
      </c>
      <c r="K33" s="9"/>
      <c r="L33" s="9"/>
    </row>
    <row r="34" spans="3:12" x14ac:dyDescent="0.25">
      <c r="C34" s="9" t="s">
        <v>396</v>
      </c>
      <c r="E34" s="9"/>
      <c r="F34" s="9" t="s">
        <v>302</v>
      </c>
      <c r="G34" s="9" t="s">
        <v>302</v>
      </c>
      <c r="H34" s="9" t="s">
        <v>484</v>
      </c>
      <c r="I34" s="9" t="s">
        <v>357</v>
      </c>
      <c r="J34" s="7" t="b" cm="1">
        <f t="array" aca="1" ref="J34" ca="1">IF(FileExists(imageFolder&amp;F34),fileModifiedDate(imageFolder&amp;F34, NOW()),0)&gt;cutofftime</f>
        <v>0</v>
      </c>
      <c r="K34" s="9"/>
      <c r="L34" s="9"/>
    </row>
    <row r="35" spans="3:12" x14ac:dyDescent="0.25">
      <c r="C35" s="9" t="s">
        <v>397</v>
      </c>
      <c r="E35" s="9"/>
      <c r="F35" s="9" t="s">
        <v>303</v>
      </c>
      <c r="G35" s="9" t="s">
        <v>303</v>
      </c>
      <c r="H35" s="9" t="s">
        <v>485</v>
      </c>
      <c r="I35" s="9" t="s">
        <v>360</v>
      </c>
      <c r="J35" s="7" t="b" cm="1">
        <f t="array" aca="1" ref="J35" ca="1">IF(FileExists(imageFolder&amp;F35),fileModifiedDate(imageFolder&amp;F35, NOW()),0)&gt;cutofftime</f>
        <v>0</v>
      </c>
      <c r="K35" s="9"/>
      <c r="L35" s="9"/>
    </row>
    <row r="36" spans="3:12" x14ac:dyDescent="0.25">
      <c r="C36" s="9" t="s">
        <v>398</v>
      </c>
      <c r="E36" s="9"/>
      <c r="F36" s="9" t="s">
        <v>304</v>
      </c>
      <c r="G36" s="9" t="s">
        <v>304</v>
      </c>
      <c r="H36" s="9" t="s">
        <v>486</v>
      </c>
      <c r="I36" s="9" t="s">
        <v>363</v>
      </c>
      <c r="J36" s="7" t="b" cm="1">
        <f t="array" aca="1" ref="J36" ca="1">IF(FileExists(imageFolder&amp;F36),fileModifiedDate(imageFolder&amp;F36, NOW()),0)&gt;cutofftime</f>
        <v>0</v>
      </c>
      <c r="K36" s="9"/>
      <c r="L36" s="9"/>
    </row>
    <row r="37" spans="3:12" x14ac:dyDescent="0.25">
      <c r="C37" s="9" t="s">
        <v>399</v>
      </c>
      <c r="E37" s="9"/>
      <c r="F37" s="9" t="s">
        <v>305</v>
      </c>
      <c r="G37" s="9" t="s">
        <v>305</v>
      </c>
      <c r="H37" s="9" t="s">
        <v>487</v>
      </c>
      <c r="I37" s="9" t="s">
        <v>400</v>
      </c>
      <c r="J37" s="7" t="b" cm="1">
        <f t="array" aca="1" ref="J37" ca="1">IF(FileExists(imageFolder&amp;F37),fileModifiedDate(imageFolder&amp;F37, NOW()),0)&gt;cutofftime</f>
        <v>0</v>
      </c>
      <c r="K37" s="9"/>
      <c r="L37" s="9"/>
    </row>
    <row r="38" spans="3:12" x14ac:dyDescent="0.25">
      <c r="C38" s="9" t="s">
        <v>401</v>
      </c>
      <c r="E38" s="9"/>
      <c r="F38" s="9" t="s">
        <v>306</v>
      </c>
      <c r="G38" s="9" t="s">
        <v>306</v>
      </c>
      <c r="H38" s="9" t="s">
        <v>490</v>
      </c>
      <c r="I38" s="9" t="s">
        <v>357</v>
      </c>
      <c r="J38" s="7" t="b" cm="1">
        <f t="array" aca="1" ref="J38" ca="1">IF(FileExists(imageFolder&amp;F38),fileModifiedDate(imageFolder&amp;F38, NOW()),0)&gt;cutofftime</f>
        <v>0</v>
      </c>
      <c r="K38" s="9"/>
      <c r="L38" s="9"/>
    </row>
    <row r="39" spans="3:12" x14ac:dyDescent="0.25">
      <c r="C39" s="9" t="s">
        <v>402</v>
      </c>
      <c r="E39" s="9"/>
      <c r="F39" s="9" t="s">
        <v>307</v>
      </c>
      <c r="G39" s="9" t="s">
        <v>307</v>
      </c>
      <c r="H39" s="9" t="s">
        <v>491</v>
      </c>
      <c r="I39" s="9" t="s">
        <v>360</v>
      </c>
      <c r="J39" s="7" t="b" cm="1">
        <f t="array" aca="1" ref="J39" ca="1">IF(FileExists(imageFolder&amp;F39),fileModifiedDate(imageFolder&amp;F39, NOW()),0)&gt;cutofftime</f>
        <v>0</v>
      </c>
      <c r="K39" s="9"/>
      <c r="L39" s="9"/>
    </row>
    <row r="40" spans="3:12" x14ac:dyDescent="0.25">
      <c r="C40" s="9" t="s">
        <v>403</v>
      </c>
      <c r="E40" s="9"/>
      <c r="F40" s="9" t="s">
        <v>308</v>
      </c>
      <c r="G40" s="9" t="s">
        <v>308</v>
      </c>
      <c r="H40" s="9" t="s">
        <v>492</v>
      </c>
      <c r="I40" s="9" t="s">
        <v>363</v>
      </c>
      <c r="J40" s="7" t="b" cm="1">
        <f t="array" aca="1" ref="J40" ca="1">IF(FileExists(imageFolder&amp;F40),fileModifiedDate(imageFolder&amp;F40, NOW()),0)&gt;cutofftime</f>
        <v>0</v>
      </c>
      <c r="K40" s="9"/>
      <c r="L40" s="9"/>
    </row>
    <row r="41" spans="3:12" x14ac:dyDescent="0.25">
      <c r="C41" s="9" t="s">
        <v>404</v>
      </c>
      <c r="E41" s="9"/>
      <c r="F41" s="9" t="s">
        <v>309</v>
      </c>
      <c r="G41" s="9" t="s">
        <v>309</v>
      </c>
      <c r="H41" s="9" t="s">
        <v>493</v>
      </c>
      <c r="I41" s="9" t="s">
        <v>405</v>
      </c>
      <c r="J41" s="7" t="b" cm="1">
        <f t="array" aca="1" ref="J41" ca="1">IF(FileExists(imageFolder&amp;F41),fileModifiedDate(imageFolder&amp;F41, NOW()),0)&gt;cutofftime</f>
        <v>0</v>
      </c>
      <c r="K41" s="9"/>
      <c r="L41" s="9"/>
    </row>
    <row r="42" spans="3:12" x14ac:dyDescent="0.25">
      <c r="C42" s="9" t="s">
        <v>406</v>
      </c>
      <c r="E42" s="9"/>
      <c r="F42" s="9" t="s">
        <v>310</v>
      </c>
      <c r="G42" s="9" t="s">
        <v>310</v>
      </c>
      <c r="H42" s="9" t="s">
        <v>495</v>
      </c>
      <c r="I42" s="9" t="s">
        <v>357</v>
      </c>
      <c r="J42" s="7" t="b" cm="1">
        <f t="array" aca="1" ref="J42" ca="1">IF(FileExists(imageFolder&amp;F42),fileModifiedDate(imageFolder&amp;F42, NOW()),0)&gt;cutofftime</f>
        <v>0</v>
      </c>
      <c r="K42" s="9"/>
      <c r="L42" s="9"/>
    </row>
    <row r="43" spans="3:12" x14ac:dyDescent="0.25">
      <c r="C43" s="9" t="s">
        <v>407</v>
      </c>
      <c r="E43" s="9"/>
      <c r="F43" s="9" t="s">
        <v>311</v>
      </c>
      <c r="G43" s="9" t="s">
        <v>311</v>
      </c>
      <c r="H43" s="9" t="s">
        <v>496</v>
      </c>
      <c r="I43" s="9" t="s">
        <v>360</v>
      </c>
      <c r="J43" s="7" t="b" cm="1">
        <f t="array" aca="1" ref="J43" ca="1">IF(FileExists(imageFolder&amp;F43),fileModifiedDate(imageFolder&amp;F43, NOW()),0)&gt;cutofftime</f>
        <v>0</v>
      </c>
      <c r="K43" s="9"/>
      <c r="L43" s="9"/>
    </row>
    <row r="44" spans="3:12" x14ac:dyDescent="0.25">
      <c r="C44" s="9" t="s">
        <v>408</v>
      </c>
      <c r="E44" s="9"/>
      <c r="F44" s="9" t="s">
        <v>312</v>
      </c>
      <c r="G44" s="9" t="s">
        <v>312</v>
      </c>
      <c r="H44" s="9" t="s">
        <v>497</v>
      </c>
      <c r="I44" s="9" t="s">
        <v>363</v>
      </c>
      <c r="J44" s="7" t="b" cm="1">
        <f t="array" aca="1" ref="J44" ca="1">IF(FileExists(imageFolder&amp;F44),fileModifiedDate(imageFolder&amp;F44, NOW()),0)&gt;cutofftime</f>
        <v>0</v>
      </c>
      <c r="K44" s="9"/>
      <c r="L44" s="9"/>
    </row>
    <row r="45" spans="3:12" x14ac:dyDescent="0.25">
      <c r="C45" s="9" t="s">
        <v>409</v>
      </c>
      <c r="E45" s="9"/>
      <c r="F45" s="9" t="s">
        <v>313</v>
      </c>
      <c r="G45" s="9" t="s">
        <v>313</v>
      </c>
      <c r="H45" s="9" t="s">
        <v>498</v>
      </c>
      <c r="I45" s="9" t="s">
        <v>410</v>
      </c>
      <c r="J45" s="7" t="b" cm="1">
        <f t="array" aca="1" ref="J45" ca="1">IF(FileExists(imageFolder&amp;F45),fileModifiedDate(imageFolder&amp;F45, NOW()),0)&gt;cutofftime</f>
        <v>0</v>
      </c>
      <c r="K45" s="9"/>
      <c r="L45" s="9"/>
    </row>
    <row r="46" spans="3:12" x14ac:dyDescent="0.25">
      <c r="C46" s="9" t="s">
        <v>411</v>
      </c>
      <c r="E46" s="9"/>
      <c r="F46" s="9" t="s">
        <v>314</v>
      </c>
      <c r="G46" s="9" t="s">
        <v>314</v>
      </c>
      <c r="H46" s="9" t="s">
        <v>499</v>
      </c>
      <c r="I46" s="9" t="s">
        <v>357</v>
      </c>
      <c r="J46" s="7" t="b" cm="1">
        <f t="array" aca="1" ref="J46" ca="1">IF(FileExists(imageFolder&amp;F46),fileModifiedDate(imageFolder&amp;F46, NOW()),0)&gt;cutofftime</f>
        <v>0</v>
      </c>
      <c r="K46" s="9"/>
      <c r="L46" s="9"/>
    </row>
    <row r="47" spans="3:12" x14ac:dyDescent="0.25">
      <c r="C47" s="9" t="s">
        <v>412</v>
      </c>
      <c r="E47" s="9"/>
      <c r="F47" s="9" t="s">
        <v>315</v>
      </c>
      <c r="G47" s="9" t="s">
        <v>315</v>
      </c>
      <c r="H47" s="9" t="s">
        <v>500</v>
      </c>
      <c r="I47" s="9" t="s">
        <v>360</v>
      </c>
      <c r="J47" s="7" t="b" cm="1">
        <f t="array" aca="1" ref="J47" ca="1">IF(FileExists(imageFolder&amp;F47),fileModifiedDate(imageFolder&amp;F47, NOW()),0)&gt;cutofftime</f>
        <v>0</v>
      </c>
      <c r="K47" s="9"/>
      <c r="L47" s="9"/>
    </row>
    <row r="48" spans="3:12" x14ac:dyDescent="0.25">
      <c r="C48" s="9" t="s">
        <v>413</v>
      </c>
      <c r="E48" s="9"/>
      <c r="F48" s="9" t="s">
        <v>316</v>
      </c>
      <c r="G48" s="9" t="s">
        <v>316</v>
      </c>
      <c r="H48" s="9" t="s">
        <v>501</v>
      </c>
      <c r="I48" s="9" t="s">
        <v>363</v>
      </c>
      <c r="J48" s="7" t="b" cm="1">
        <f t="array" aca="1" ref="J48" ca="1">IF(FileExists(imageFolder&amp;F48),fileModifiedDate(imageFolder&amp;F48, NOW()),0)&gt;cutofftime</f>
        <v>0</v>
      </c>
      <c r="K48" s="9"/>
      <c r="L48" s="9"/>
    </row>
    <row r="49" spans="3:12" x14ac:dyDescent="0.25">
      <c r="C49" s="9" t="s">
        <v>414</v>
      </c>
      <c r="E49" s="9"/>
      <c r="F49" s="9" t="s">
        <v>317</v>
      </c>
      <c r="G49" s="9" t="s">
        <v>317</v>
      </c>
      <c r="H49" s="9" t="s">
        <v>502</v>
      </c>
      <c r="I49" s="9" t="s">
        <v>415</v>
      </c>
      <c r="J49" s="7" t="b" cm="1">
        <f t="array" aca="1" ref="J49" ca="1">IF(FileExists(imageFolder&amp;F49),fileModifiedDate(imageFolder&amp;F49, NOW()),0)&gt;cutofftime</f>
        <v>0</v>
      </c>
      <c r="K49" s="9"/>
      <c r="L49" s="9"/>
    </row>
    <row r="50" spans="3:12" x14ac:dyDescent="0.25">
      <c r="C50" s="9" t="s">
        <v>416</v>
      </c>
      <c r="E50" s="9"/>
      <c r="F50" s="9" t="s">
        <v>318</v>
      </c>
      <c r="G50" s="9" t="s">
        <v>318</v>
      </c>
      <c r="H50" s="9" t="s">
        <v>504</v>
      </c>
      <c r="I50" s="9" t="s">
        <v>357</v>
      </c>
      <c r="J50" s="7" t="b" cm="1">
        <f t="array" aca="1" ref="J50" ca="1">IF(FileExists(imageFolder&amp;F50),fileModifiedDate(imageFolder&amp;F50, NOW()),0)&gt;cutofftime</f>
        <v>0</v>
      </c>
      <c r="K50" s="9"/>
      <c r="L50" s="9"/>
    </row>
    <row r="51" spans="3:12" x14ac:dyDescent="0.25">
      <c r="C51" s="9" t="s">
        <v>417</v>
      </c>
      <c r="E51" s="9"/>
      <c r="F51" s="9" t="s">
        <v>319</v>
      </c>
      <c r="G51" s="9" t="s">
        <v>319</v>
      </c>
      <c r="H51" s="9" t="s">
        <v>505</v>
      </c>
      <c r="I51" s="9" t="s">
        <v>360</v>
      </c>
      <c r="J51" s="7" t="b" cm="1">
        <f t="array" aca="1" ref="J51" ca="1">IF(FileExists(imageFolder&amp;F51),fileModifiedDate(imageFolder&amp;F51, NOW()),0)&gt;cutofftime</f>
        <v>0</v>
      </c>
      <c r="K51" s="9"/>
      <c r="L51" s="9"/>
    </row>
    <row r="52" spans="3:12" x14ac:dyDescent="0.25">
      <c r="C52" s="9" t="s">
        <v>418</v>
      </c>
      <c r="E52" s="9"/>
      <c r="F52" s="9" t="s">
        <v>320</v>
      </c>
      <c r="G52" s="9" t="s">
        <v>320</v>
      </c>
      <c r="H52" s="9" t="s">
        <v>506</v>
      </c>
      <c r="I52" s="9" t="s">
        <v>363</v>
      </c>
      <c r="J52" s="7" t="b" cm="1">
        <f t="array" aca="1" ref="J52" ca="1">IF(FileExists(imageFolder&amp;F52),fileModifiedDate(imageFolder&amp;F52, NOW()),0)&gt;cutofftime</f>
        <v>0</v>
      </c>
      <c r="K52" s="9"/>
      <c r="L52" s="9"/>
    </row>
    <row r="53" spans="3:12" x14ac:dyDescent="0.25">
      <c r="C53" s="9" t="s">
        <v>419</v>
      </c>
      <c r="E53" s="9"/>
      <c r="F53" s="9" t="s">
        <v>321</v>
      </c>
      <c r="G53" s="9" t="s">
        <v>321</v>
      </c>
      <c r="H53" s="9" t="s">
        <v>507</v>
      </c>
      <c r="I53" s="9" t="s">
        <v>420</v>
      </c>
      <c r="J53" s="7" t="b" cm="1">
        <f t="array" aca="1" ref="J53" ca="1">IF(FileExists(imageFolder&amp;F53),fileModifiedDate(imageFolder&amp;F53, NOW()),0)&gt;cutofftime</f>
        <v>0</v>
      </c>
      <c r="K53" s="9"/>
      <c r="L53" s="9"/>
    </row>
    <row r="54" spans="3:12" x14ac:dyDescent="0.25">
      <c r="C54" s="9" t="s">
        <v>421</v>
      </c>
      <c r="E54" s="9"/>
      <c r="F54" s="9" t="s">
        <v>322</v>
      </c>
      <c r="G54" s="9" t="s">
        <v>322</v>
      </c>
      <c r="H54" s="9" t="s">
        <v>509</v>
      </c>
      <c r="I54" s="9" t="s">
        <v>357</v>
      </c>
      <c r="J54" s="7" t="b" cm="1">
        <f t="array" aca="1" ref="J54" ca="1">IF(FileExists(imageFolder&amp;F54),fileModifiedDate(imageFolder&amp;F54, NOW()),0)&gt;cutofftime</f>
        <v>0</v>
      </c>
      <c r="K54" s="9"/>
      <c r="L54" s="9"/>
    </row>
    <row r="55" spans="3:12" x14ac:dyDescent="0.25">
      <c r="C55" s="9" t="s">
        <v>422</v>
      </c>
      <c r="E55" s="9"/>
      <c r="F55" s="9" t="s">
        <v>323</v>
      </c>
      <c r="G55" s="9" t="s">
        <v>323</v>
      </c>
      <c r="H55" s="9" t="s">
        <v>510</v>
      </c>
      <c r="I55" s="9" t="s">
        <v>360</v>
      </c>
      <c r="J55" s="7" t="b" cm="1">
        <f t="array" aca="1" ref="J55" ca="1">IF(FileExists(imageFolder&amp;F55),fileModifiedDate(imageFolder&amp;F55, NOW()),0)&gt;cutofftime</f>
        <v>0</v>
      </c>
      <c r="K55" s="9"/>
      <c r="L55" s="9"/>
    </row>
    <row r="56" spans="3:12" x14ac:dyDescent="0.25">
      <c r="C56" s="9" t="s">
        <v>423</v>
      </c>
      <c r="E56" s="9"/>
      <c r="F56" s="9" t="s">
        <v>324</v>
      </c>
      <c r="G56" s="9" t="s">
        <v>324</v>
      </c>
      <c r="H56" s="9" t="s">
        <v>511</v>
      </c>
      <c r="I56" s="9" t="s">
        <v>363</v>
      </c>
      <c r="J56" s="7" t="b" cm="1">
        <f t="array" aca="1" ref="J56" ca="1">IF(FileExists(imageFolder&amp;F56),fileModifiedDate(imageFolder&amp;F56, NOW()),0)&gt;cutofftime</f>
        <v>0</v>
      </c>
      <c r="K56" s="9"/>
      <c r="L56" s="9"/>
    </row>
    <row r="57" spans="3:12" x14ac:dyDescent="0.25">
      <c r="C57" s="9" t="s">
        <v>424</v>
      </c>
      <c r="E57" s="9"/>
      <c r="F57" s="9" t="s">
        <v>325</v>
      </c>
      <c r="G57" s="9" t="s">
        <v>325</v>
      </c>
      <c r="H57" s="9" t="s">
        <v>512</v>
      </c>
      <c r="I57" s="9" t="s">
        <v>425</v>
      </c>
      <c r="J57" s="7" t="b" cm="1">
        <f t="array" aca="1" ref="J57" ca="1">IF(FileExists(imageFolder&amp;F57),fileModifiedDate(imageFolder&amp;F57, NOW()),0)&gt;cutofftime</f>
        <v>0</v>
      </c>
      <c r="K57" s="9"/>
      <c r="L57" s="9"/>
    </row>
    <row r="58" spans="3:12" x14ac:dyDescent="0.25">
      <c r="C58" s="9" t="s">
        <v>426</v>
      </c>
      <c r="E58" s="9"/>
      <c r="F58" s="9" t="s">
        <v>326</v>
      </c>
      <c r="G58" s="9" t="s">
        <v>326</v>
      </c>
      <c r="H58" s="9" t="s">
        <v>514</v>
      </c>
      <c r="I58" s="9" t="s">
        <v>357</v>
      </c>
      <c r="J58" s="7" t="b" cm="1">
        <f t="array" aca="1" ref="J58" ca="1">IF(FileExists(imageFolder&amp;F58),fileModifiedDate(imageFolder&amp;F58, NOW()),0)&gt;cutofftime</f>
        <v>0</v>
      </c>
      <c r="K58" s="9"/>
      <c r="L58" s="9"/>
    </row>
    <row r="59" spans="3:12" x14ac:dyDescent="0.25">
      <c r="C59" s="9" t="s">
        <v>427</v>
      </c>
      <c r="E59" s="9"/>
      <c r="F59" s="9" t="s">
        <v>327</v>
      </c>
      <c r="G59" s="9" t="s">
        <v>327</v>
      </c>
      <c r="H59" s="9" t="s">
        <v>515</v>
      </c>
      <c r="I59" s="9" t="s">
        <v>360</v>
      </c>
      <c r="J59" s="7" t="b" cm="1">
        <f t="array" aca="1" ref="J59" ca="1">IF(FileExists(imageFolder&amp;F59),fileModifiedDate(imageFolder&amp;F59, NOW()),0)&gt;cutofftime</f>
        <v>0</v>
      </c>
      <c r="K59" s="9"/>
      <c r="L59" s="9"/>
    </row>
    <row r="60" spans="3:12" x14ac:dyDescent="0.25">
      <c r="C60" s="9" t="s">
        <v>428</v>
      </c>
      <c r="E60" s="9"/>
      <c r="F60" s="9" t="s">
        <v>328</v>
      </c>
      <c r="G60" s="9" t="s">
        <v>328</v>
      </c>
      <c r="H60" s="9" t="s">
        <v>516</v>
      </c>
      <c r="I60" s="9" t="s">
        <v>363</v>
      </c>
      <c r="J60" s="7" t="b" cm="1">
        <f t="array" aca="1" ref="J60" ca="1">IF(FileExists(imageFolder&amp;F60),fileModifiedDate(imageFolder&amp;F60, NOW()),0)&gt;cutofftime</f>
        <v>0</v>
      </c>
      <c r="K60" s="9"/>
      <c r="L60" s="9"/>
    </row>
    <row r="61" spans="3:12" x14ac:dyDescent="0.25">
      <c r="C61" s="9" t="s">
        <v>429</v>
      </c>
      <c r="E61" s="9"/>
      <c r="F61" s="9" t="s">
        <v>329</v>
      </c>
      <c r="G61" s="9" t="s">
        <v>329</v>
      </c>
      <c r="H61" s="9" t="s">
        <v>517</v>
      </c>
      <c r="I61" s="9" t="s">
        <v>430</v>
      </c>
      <c r="J61" s="7" t="b" cm="1">
        <f t="array" aca="1" ref="J61" ca="1">IF(FileExists(imageFolder&amp;F61),fileModifiedDate(imageFolder&amp;F61, NOW()),0)&gt;cutofftime</f>
        <v>0</v>
      </c>
      <c r="K61" s="9"/>
      <c r="L61" s="9"/>
    </row>
    <row r="62" spans="3:12" x14ac:dyDescent="0.25">
      <c r="C62" s="9" t="s">
        <v>431</v>
      </c>
      <c r="E62" s="9"/>
      <c r="F62" s="9" t="s">
        <v>330</v>
      </c>
      <c r="G62" s="9" t="s">
        <v>330</v>
      </c>
      <c r="H62" s="9" t="s">
        <v>518</v>
      </c>
      <c r="I62" s="9" t="s">
        <v>357</v>
      </c>
      <c r="J62" s="7" t="b" cm="1">
        <f t="array" aca="1" ref="J62" ca="1">IF(FileExists(imageFolder&amp;F62),fileModifiedDate(imageFolder&amp;F62, NOW()),0)&gt;cutofftime</f>
        <v>0</v>
      </c>
      <c r="K62" s="9"/>
      <c r="L62" s="9"/>
    </row>
    <row r="63" spans="3:12" x14ac:dyDescent="0.25">
      <c r="C63" s="9" t="s">
        <v>432</v>
      </c>
      <c r="E63" s="9"/>
      <c r="F63" s="9" t="s">
        <v>331</v>
      </c>
      <c r="G63" s="9" t="s">
        <v>331</v>
      </c>
      <c r="H63" s="9" t="s">
        <v>519</v>
      </c>
      <c r="I63" s="9" t="s">
        <v>360</v>
      </c>
      <c r="J63" s="7" t="b" cm="1">
        <f t="array" aca="1" ref="J63" ca="1">IF(FileExists(imageFolder&amp;F63),fileModifiedDate(imageFolder&amp;F63, NOW()),0)&gt;cutofftime</f>
        <v>0</v>
      </c>
      <c r="K63" s="9"/>
      <c r="L63" s="9"/>
    </row>
    <row r="64" spans="3:12" x14ac:dyDescent="0.25">
      <c r="C64" s="9" t="s">
        <v>433</v>
      </c>
      <c r="E64" s="9"/>
      <c r="F64" s="9" t="s">
        <v>332</v>
      </c>
      <c r="G64" s="9" t="s">
        <v>332</v>
      </c>
      <c r="H64" s="9" t="s">
        <v>520</v>
      </c>
      <c r="I64" s="9" t="s">
        <v>363</v>
      </c>
      <c r="J64" s="7" t="b" cm="1">
        <f t="array" aca="1" ref="J64" ca="1">IF(FileExists(imageFolder&amp;F64),fileModifiedDate(imageFolder&amp;F64, NOW()),0)&gt;cutofftime</f>
        <v>0</v>
      </c>
      <c r="K64" s="9"/>
      <c r="L64" s="9"/>
    </row>
    <row r="65" spans="3:12" x14ac:dyDescent="0.25">
      <c r="C65" s="9" t="s">
        <v>434</v>
      </c>
      <c r="E65" s="9"/>
      <c r="F65" s="9" t="s">
        <v>333</v>
      </c>
      <c r="G65" s="9" t="s">
        <v>333</v>
      </c>
      <c r="H65" s="9" t="s">
        <v>521</v>
      </c>
      <c r="I65" s="9" t="s">
        <v>435</v>
      </c>
      <c r="J65" s="7" t="b" cm="1">
        <f t="array" aca="1" ref="J65" ca="1">IF(FileExists(imageFolder&amp;F65),fileModifiedDate(imageFolder&amp;F65, NOW()),0)&gt;cutofftime</f>
        <v>0</v>
      </c>
      <c r="K65" s="9"/>
      <c r="L65" s="9"/>
    </row>
    <row r="66" spans="3:12" x14ac:dyDescent="0.25">
      <c r="C66" s="9" t="s">
        <v>436</v>
      </c>
      <c r="E66" s="9"/>
      <c r="F66" s="9" t="s">
        <v>334</v>
      </c>
      <c r="G66" s="9" t="s">
        <v>334</v>
      </c>
      <c r="H66" s="9" t="s">
        <v>522</v>
      </c>
      <c r="I66" s="9" t="s">
        <v>357</v>
      </c>
      <c r="J66" s="7" t="b" cm="1">
        <f t="array" aca="1" ref="J66" ca="1">IF(FileExists(imageFolder&amp;F66),fileModifiedDate(imageFolder&amp;F66, NOW()),0)&gt;cutofftime</f>
        <v>0</v>
      </c>
      <c r="K66" s="9"/>
      <c r="L66" s="9"/>
    </row>
    <row r="67" spans="3:12" x14ac:dyDescent="0.25">
      <c r="C67" s="9" t="s">
        <v>437</v>
      </c>
      <c r="E67" s="9"/>
      <c r="F67" s="9" t="s">
        <v>335</v>
      </c>
      <c r="G67" s="9" t="s">
        <v>335</v>
      </c>
      <c r="H67" s="9" t="s">
        <v>523</v>
      </c>
      <c r="I67" s="9" t="s">
        <v>360</v>
      </c>
      <c r="J67" s="7" t="b" cm="1">
        <f t="array" aca="1" ref="J67" ca="1">IF(FileExists(imageFolder&amp;F67),fileModifiedDate(imageFolder&amp;F67, NOW()),0)&gt;cutofftime</f>
        <v>0</v>
      </c>
      <c r="K67" s="9"/>
      <c r="L67" s="9"/>
    </row>
    <row r="68" spans="3:12" x14ac:dyDescent="0.25">
      <c r="C68" s="9" t="s">
        <v>438</v>
      </c>
      <c r="E68" s="9"/>
      <c r="F68" s="9" t="s">
        <v>336</v>
      </c>
      <c r="G68" s="9" t="s">
        <v>336</v>
      </c>
      <c r="H68" s="9" t="s">
        <v>524</v>
      </c>
      <c r="I68" s="9" t="s">
        <v>363</v>
      </c>
      <c r="J68" s="7" t="b" cm="1">
        <f t="array" aca="1" ref="J68" ca="1">IF(FileExists(imageFolder&amp;F68),fileModifiedDate(imageFolder&amp;F68, NOW()),0)&gt;cutofftime</f>
        <v>0</v>
      </c>
      <c r="K68" s="9"/>
      <c r="L68" s="9"/>
    </row>
    <row r="69" spans="3:12" x14ac:dyDescent="0.25">
      <c r="C69" s="9" t="s">
        <v>439</v>
      </c>
      <c r="E69" s="9"/>
      <c r="F69" s="9" t="s">
        <v>337</v>
      </c>
      <c r="G69" s="9" t="s">
        <v>337</v>
      </c>
      <c r="H69" s="9" t="s">
        <v>525</v>
      </c>
      <c r="I69" s="9" t="s">
        <v>440</v>
      </c>
      <c r="J69" s="7" t="b" cm="1">
        <f t="array" aca="1" ref="J69" ca="1">IF(FileExists(imageFolder&amp;F69),fileModifiedDate(imageFolder&amp;F69, NOW()),0)&gt;cutofftime</f>
        <v>0</v>
      </c>
      <c r="K69" s="9"/>
      <c r="L69" s="9"/>
    </row>
    <row r="70" spans="3:12" x14ac:dyDescent="0.25">
      <c r="C70" s="9" t="s">
        <v>441</v>
      </c>
      <c r="E70" s="9"/>
      <c r="F70" s="9" t="s">
        <v>338</v>
      </c>
      <c r="G70" s="9" t="s">
        <v>338</v>
      </c>
      <c r="H70" s="9" t="s">
        <v>526</v>
      </c>
      <c r="I70" s="9" t="s">
        <v>357</v>
      </c>
      <c r="J70" s="7" t="b" cm="1">
        <f t="array" aca="1" ref="J70" ca="1">IF(FileExists(imageFolder&amp;F70),fileModifiedDate(imageFolder&amp;F70, NOW()),0)&gt;cutofftime</f>
        <v>0</v>
      </c>
      <c r="K70" s="9"/>
      <c r="L70" s="9"/>
    </row>
    <row r="71" spans="3:12" x14ac:dyDescent="0.25">
      <c r="C71" s="9" t="s">
        <v>442</v>
      </c>
      <c r="E71" s="9"/>
      <c r="F71" s="9" t="s">
        <v>339</v>
      </c>
      <c r="G71" s="9" t="s">
        <v>339</v>
      </c>
      <c r="H71" s="9" t="s">
        <v>527</v>
      </c>
      <c r="I71" s="9" t="s">
        <v>360</v>
      </c>
      <c r="J71" s="7" t="b" cm="1">
        <f t="array" aca="1" ref="J71" ca="1">IF(FileExists(imageFolder&amp;F71),fileModifiedDate(imageFolder&amp;F71, NOW()),0)&gt;cutofftime</f>
        <v>0</v>
      </c>
      <c r="K71" s="9"/>
      <c r="L71" s="9"/>
    </row>
    <row r="72" spans="3:12" x14ac:dyDescent="0.25">
      <c r="C72" s="9" t="s">
        <v>443</v>
      </c>
      <c r="E72" s="9"/>
      <c r="F72" s="9" t="s">
        <v>340</v>
      </c>
      <c r="G72" s="9" t="s">
        <v>340</v>
      </c>
      <c r="H72" s="9" t="s">
        <v>528</v>
      </c>
      <c r="I72" s="9" t="s">
        <v>363</v>
      </c>
      <c r="J72" s="7" t="b" cm="1">
        <f t="array" aca="1" ref="J72" ca="1">IF(FileExists(imageFolder&amp;F72),fileModifiedDate(imageFolder&amp;F72, NOW()),0)&gt;cutofftime</f>
        <v>0</v>
      </c>
      <c r="K72" s="9"/>
      <c r="L72" s="9"/>
    </row>
    <row r="73" spans="3:12" x14ac:dyDescent="0.25">
      <c r="C73" s="9" t="s">
        <v>444</v>
      </c>
      <c r="D73" t="s">
        <v>342</v>
      </c>
      <c r="E73" s="9"/>
      <c r="F73" s="9" t="s">
        <v>341</v>
      </c>
      <c r="G73" s="9" t="s">
        <v>341</v>
      </c>
      <c r="H73" s="9" t="s">
        <v>529</v>
      </c>
      <c r="I73" s="9" t="s">
        <v>445</v>
      </c>
      <c r="J73" s="7" t="b" cm="1">
        <f t="array" aca="1" ref="J73" ca="1">IF(FileExists(imageFolder&amp;F73),fileModifiedDate(imageFolder&amp;F73, NOW()),0)&gt;cutofftime</f>
        <v>0</v>
      </c>
      <c r="K73" s="9"/>
      <c r="L73" s="9"/>
    </row>
    <row r="74" spans="3:12" x14ac:dyDescent="0.25">
      <c r="C74" s="9" t="s">
        <v>446</v>
      </c>
      <c r="E74" s="9"/>
      <c r="F74" s="9" t="s">
        <v>343</v>
      </c>
      <c r="G74" s="9" t="s">
        <v>343</v>
      </c>
      <c r="H74" s="9" t="s">
        <v>530</v>
      </c>
      <c r="I74" s="9" t="s">
        <v>357</v>
      </c>
      <c r="J74" s="7" t="b" cm="1">
        <f t="array" aca="1" ref="J74" ca="1">IF(FileExists(imageFolder&amp;F74),fileModifiedDate(imageFolder&amp;F74, NOW()),0)&gt;cutofftime</f>
        <v>0</v>
      </c>
      <c r="K74" s="9"/>
      <c r="L74" s="9"/>
    </row>
    <row r="75" spans="3:12" x14ac:dyDescent="0.25">
      <c r="C75" s="9" t="s">
        <v>447</v>
      </c>
      <c r="E75" s="9"/>
      <c r="F75" s="9" t="s">
        <v>344</v>
      </c>
      <c r="G75" s="9" t="s">
        <v>344</v>
      </c>
      <c r="H75" s="9" t="s">
        <v>531</v>
      </c>
      <c r="I75" s="9" t="s">
        <v>360</v>
      </c>
      <c r="J75" s="7" t="b" cm="1">
        <f t="array" aca="1" ref="J75" ca="1">IF(FileExists(imageFolder&amp;F75),fileModifiedDate(imageFolder&amp;F75, NOW()),0)&gt;cutofftime</f>
        <v>0</v>
      </c>
      <c r="K75" s="9"/>
      <c r="L75" s="9"/>
    </row>
    <row r="76" spans="3:12" x14ac:dyDescent="0.25">
      <c r="C76" s="9" t="s">
        <v>448</v>
      </c>
      <c r="E76" s="9"/>
      <c r="F76" s="9" t="s">
        <v>345</v>
      </c>
      <c r="G76" s="9" t="s">
        <v>345</v>
      </c>
      <c r="H76" s="9" t="s">
        <v>532</v>
      </c>
      <c r="I76" s="9" t="s">
        <v>363</v>
      </c>
      <c r="J76" s="7" t="b" cm="1">
        <f t="array" aca="1" ref="J76" ca="1">IF(FileExists(imageFolder&amp;F76),fileModifiedDate(imageFolder&amp;F76, NOW()),0)&gt;cutofftime</f>
        <v>0</v>
      </c>
      <c r="K76" s="9"/>
      <c r="L76" s="9"/>
    </row>
    <row r="77" spans="3:12" x14ac:dyDescent="0.25">
      <c r="C77" s="9" t="s">
        <v>449</v>
      </c>
      <c r="D77" t="s">
        <v>347</v>
      </c>
      <c r="E77" s="9"/>
      <c r="F77" s="9" t="s">
        <v>346</v>
      </c>
      <c r="G77" s="9" t="s">
        <v>346</v>
      </c>
      <c r="H77" s="9" t="s">
        <v>533</v>
      </c>
      <c r="I77" s="9" t="s">
        <v>450</v>
      </c>
      <c r="J77" s="7" t="b" cm="1">
        <f t="array" aca="1" ref="J77" ca="1">IF(FileExists(imageFolder&amp;F77),fileModifiedDate(imageFolder&amp;F77, NOW()),0)&gt;cutofftime</f>
        <v>0</v>
      </c>
      <c r="K77" s="9"/>
      <c r="L77" s="9"/>
    </row>
    <row r="78" spans="3:12" x14ac:dyDescent="0.25">
      <c r="C78" s="9" t="s">
        <v>451</v>
      </c>
      <c r="E78" s="9"/>
      <c r="F78" s="9" t="s">
        <v>348</v>
      </c>
      <c r="G78" s="9" t="s">
        <v>348</v>
      </c>
      <c r="H78" s="9" t="s">
        <v>534</v>
      </c>
      <c r="I78" s="9" t="s">
        <v>452</v>
      </c>
      <c r="J78" s="7" t="b" cm="1">
        <f t="array" aca="1" ref="J78" ca="1">IF(FileExists(imageFolder&amp;F78),fileModifiedDate(imageFolder&amp;F78, NOW()),0)&gt;cutofftime</f>
        <v>0</v>
      </c>
      <c r="K78" s="9"/>
      <c r="L78" s="9"/>
    </row>
    <row r="79" spans="3:12" x14ac:dyDescent="0.25">
      <c r="C79" s="9" t="s">
        <v>453</v>
      </c>
      <c r="E79" s="9"/>
      <c r="F79" s="9" t="s">
        <v>349</v>
      </c>
      <c r="G79" s="9" t="s">
        <v>349</v>
      </c>
      <c r="H79" s="9" t="s">
        <v>535</v>
      </c>
      <c r="I79" s="9" t="s">
        <v>454</v>
      </c>
      <c r="J79" s="7" t="b" cm="1">
        <f t="array" aca="1" ref="J79" ca="1">IF(FileExists(imageFolder&amp;F79),fileModifiedDate(imageFolder&amp;F79, NOW()),0)&gt;cutofftime</f>
        <v>0</v>
      </c>
      <c r="K79" s="9"/>
      <c r="L79" s="9"/>
    </row>
    <row r="80" spans="3:12" x14ac:dyDescent="0.25">
      <c r="K80" s="9"/>
    </row>
    <row r="81" spans="1:11" x14ac:dyDescent="0.25">
      <c r="A81" t="s">
        <v>14</v>
      </c>
      <c r="B81" t="s">
        <v>23</v>
      </c>
      <c r="C81" t="s">
        <v>536</v>
      </c>
      <c r="K81" s="9"/>
    </row>
    <row r="82" spans="1:11" x14ac:dyDescent="0.25">
      <c r="C82" t="s">
        <v>537</v>
      </c>
      <c r="E82" t="s">
        <v>538</v>
      </c>
    </row>
    <row r="83" spans="1:11" x14ac:dyDescent="0.25">
      <c r="C83" t="s">
        <v>539</v>
      </c>
    </row>
    <row r="84" spans="1:11" x14ac:dyDescent="0.25">
      <c r="C84" t="s">
        <v>145</v>
      </c>
      <c r="E84" t="s">
        <v>540</v>
      </c>
    </row>
    <row r="85" spans="1:11" x14ac:dyDescent="0.25">
      <c r="C85" t="s">
        <v>541</v>
      </c>
    </row>
    <row r="86" spans="1:11" x14ac:dyDescent="0.25">
      <c r="C86" t="s">
        <v>86</v>
      </c>
    </row>
    <row r="87" spans="1:11" x14ac:dyDescent="0.25">
      <c r="C87" t="s">
        <v>542</v>
      </c>
      <c r="E87" t="s">
        <v>543</v>
      </c>
      <c r="G87" t="s">
        <v>542</v>
      </c>
    </row>
    <row r="88" spans="1:11" x14ac:dyDescent="0.25">
      <c r="C88" t="s">
        <v>544</v>
      </c>
    </row>
    <row r="89" spans="1:11" x14ac:dyDescent="0.25">
      <c r="C89" t="s">
        <v>152</v>
      </c>
    </row>
    <row r="90" spans="1:11" x14ac:dyDescent="0.25">
      <c r="A90" t="s">
        <v>14</v>
      </c>
      <c r="B90" t="s">
        <v>86</v>
      </c>
      <c r="C90" t="s">
        <v>545</v>
      </c>
      <c r="E90" t="s">
        <v>46</v>
      </c>
    </row>
    <row r="92" spans="1:11" x14ac:dyDescent="0.25">
      <c r="A92" t="s">
        <v>14</v>
      </c>
      <c r="B92" t="s">
        <v>27</v>
      </c>
      <c r="C92" t="s">
        <v>134</v>
      </c>
    </row>
    <row r="93" spans="1:11" x14ac:dyDescent="0.25">
      <c r="C93" t="s">
        <v>654</v>
      </c>
      <c r="E93" t="s">
        <v>66</v>
      </c>
      <c r="G93" t="s">
        <v>547</v>
      </c>
      <c r="J93" s="9" t="s">
        <v>653</v>
      </c>
    </row>
    <row r="94" spans="1:11" x14ac:dyDescent="0.25">
      <c r="C94" t="s">
        <v>67</v>
      </c>
    </row>
    <row r="95" spans="1:11" x14ac:dyDescent="0.25">
      <c r="A95" t="s">
        <v>14</v>
      </c>
      <c r="B95" t="s">
        <v>67</v>
      </c>
      <c r="C95" t="s">
        <v>548</v>
      </c>
    </row>
    <row r="96" spans="1:11" x14ac:dyDescent="0.25">
      <c r="C96" t="s">
        <v>655</v>
      </c>
      <c r="G96" t="s">
        <v>550</v>
      </c>
    </row>
    <row r="97" spans="1:7" x14ac:dyDescent="0.25">
      <c r="C97" t="s">
        <v>656</v>
      </c>
    </row>
    <row r="98" spans="1:7" x14ac:dyDescent="0.25">
      <c r="C98" t="s">
        <v>552</v>
      </c>
    </row>
    <row r="99" spans="1:7" x14ac:dyDescent="0.25">
      <c r="C99" t="s">
        <v>657</v>
      </c>
    </row>
    <row r="100" spans="1:7" s="9" customFormat="1" x14ac:dyDescent="0.25">
      <c r="C100" s="9" t="s">
        <v>664</v>
      </c>
    </row>
    <row r="101" spans="1:7" s="9" customFormat="1" x14ac:dyDescent="0.25">
      <c r="A101" s="9" t="s">
        <v>14</v>
      </c>
      <c r="B101" s="9" t="s">
        <v>663</v>
      </c>
      <c r="C101" s="9" t="s">
        <v>235</v>
      </c>
      <c r="E101" s="9" t="s">
        <v>554</v>
      </c>
    </row>
    <row r="102" spans="1:7" x14ac:dyDescent="0.25">
      <c r="C102" t="s">
        <v>659</v>
      </c>
      <c r="E102" t="s">
        <v>556</v>
      </c>
    </row>
    <row r="103" spans="1:7" x14ac:dyDescent="0.25">
      <c r="C103" t="s">
        <v>552</v>
      </c>
    </row>
    <row r="105" spans="1:7" x14ac:dyDescent="0.25">
      <c r="A105" t="s">
        <v>13</v>
      </c>
      <c r="B105" t="s">
        <v>101</v>
      </c>
      <c r="C105" t="s">
        <v>103</v>
      </c>
      <c r="D105" t="s">
        <v>566</v>
      </c>
      <c r="G105" t="s">
        <v>104</v>
      </c>
    </row>
    <row r="106" spans="1:7" x14ac:dyDescent="0.25">
      <c r="C106" t="s">
        <v>89</v>
      </c>
      <c r="D106" t="s">
        <v>567</v>
      </c>
    </row>
    <row r="107" spans="1:7" x14ac:dyDescent="0.25">
      <c r="C107" t="s">
        <v>106</v>
      </c>
      <c r="D107" t="s">
        <v>566</v>
      </c>
    </row>
    <row r="108" spans="1:7" x14ac:dyDescent="0.25">
      <c r="C108" t="s">
        <v>108</v>
      </c>
      <c r="D108" t="s">
        <v>568</v>
      </c>
      <c r="G108" t="s">
        <v>569</v>
      </c>
    </row>
    <row r="109" spans="1:7" x14ac:dyDescent="0.25">
      <c r="C109" t="s">
        <v>662</v>
      </c>
      <c r="D109" s="7">
        <f ca="1">TODAY()+TIME(5,0,0)</f>
        <v>44885.208333333336</v>
      </c>
      <c r="G109" t="s">
        <v>570</v>
      </c>
    </row>
    <row r="110" spans="1:7" x14ac:dyDescent="0.25">
      <c r="A110" t="s">
        <v>13</v>
      </c>
      <c r="B110" t="s">
        <v>137</v>
      </c>
      <c r="C110" t="s">
        <v>138</v>
      </c>
    </row>
    <row r="111" spans="1:7" x14ac:dyDescent="0.25">
      <c r="C111" t="s">
        <v>571</v>
      </c>
    </row>
    <row r="112" spans="1:7" x14ac:dyDescent="0.25">
      <c r="C112" t="s">
        <v>572</v>
      </c>
    </row>
    <row r="114" spans="1:7" x14ac:dyDescent="0.25">
      <c r="A114" t="s">
        <v>14</v>
      </c>
      <c r="B114" t="s">
        <v>573</v>
      </c>
      <c r="C114" t="s">
        <v>574</v>
      </c>
      <c r="E114" t="s">
        <v>575</v>
      </c>
      <c r="G114" t="s">
        <v>576</v>
      </c>
    </row>
    <row r="115" spans="1:7" x14ac:dyDescent="0.25">
      <c r="A115" t="s">
        <v>14</v>
      </c>
      <c r="B115" t="s">
        <v>577</v>
      </c>
      <c r="C115" t="s">
        <v>578</v>
      </c>
    </row>
    <row r="116" spans="1:7" x14ac:dyDescent="0.25">
      <c r="A116" t="s">
        <v>14</v>
      </c>
      <c r="B116" t="s">
        <v>579</v>
      </c>
      <c r="C116" t="s">
        <v>580</v>
      </c>
    </row>
    <row r="117" spans="1:7" x14ac:dyDescent="0.25">
      <c r="A117" t="s">
        <v>14</v>
      </c>
      <c r="B117" t="s">
        <v>581</v>
      </c>
      <c r="C117" t="s">
        <v>582</v>
      </c>
    </row>
    <row r="118" spans="1:7" x14ac:dyDescent="0.25">
      <c r="A118" t="s">
        <v>14</v>
      </c>
      <c r="B118" t="s">
        <v>583</v>
      </c>
      <c r="C118" t="s">
        <v>584</v>
      </c>
    </row>
    <row r="119" spans="1:7" x14ac:dyDescent="0.25">
      <c r="A119" t="s">
        <v>14</v>
      </c>
      <c r="B119" t="s">
        <v>585</v>
      </c>
      <c r="C119" t="s">
        <v>586</v>
      </c>
    </row>
    <row r="120" spans="1:7" x14ac:dyDescent="0.25">
      <c r="A120" t="s">
        <v>14</v>
      </c>
      <c r="B120" t="s">
        <v>587</v>
      </c>
      <c r="C120" t="s">
        <v>588</v>
      </c>
    </row>
    <row r="121" spans="1:7" x14ac:dyDescent="0.25">
      <c r="A121" t="s">
        <v>14</v>
      </c>
      <c r="B121" t="s">
        <v>589</v>
      </c>
      <c r="C121" t="s">
        <v>590</v>
      </c>
    </row>
    <row r="122" spans="1:7" x14ac:dyDescent="0.25">
      <c r="A122" t="s">
        <v>14</v>
      </c>
      <c r="B122" t="s">
        <v>591</v>
      </c>
      <c r="C122" t="s">
        <v>592</v>
      </c>
    </row>
    <row r="123" spans="1:7" x14ac:dyDescent="0.25">
      <c r="A123" t="s">
        <v>14</v>
      </c>
      <c r="B123" t="s">
        <v>593</v>
      </c>
      <c r="C123" t="s">
        <v>594</v>
      </c>
    </row>
    <row r="124" spans="1:7" x14ac:dyDescent="0.25">
      <c r="A124" t="s">
        <v>14</v>
      </c>
      <c r="B124" t="s">
        <v>595</v>
      </c>
      <c r="C124" t="s">
        <v>596</v>
      </c>
    </row>
    <row r="125" spans="1:7" x14ac:dyDescent="0.25">
      <c r="A125" t="s">
        <v>14</v>
      </c>
      <c r="B125" t="s">
        <v>597</v>
      </c>
      <c r="C125" t="s">
        <v>598</v>
      </c>
    </row>
    <row r="126" spans="1:7" x14ac:dyDescent="0.25">
      <c r="A126" t="s">
        <v>14</v>
      </c>
      <c r="B126" t="s">
        <v>599</v>
      </c>
      <c r="C126" t="s">
        <v>600</v>
      </c>
    </row>
    <row r="127" spans="1:7" x14ac:dyDescent="0.25">
      <c r="A127" t="s">
        <v>14</v>
      </c>
      <c r="B127" t="s">
        <v>601</v>
      </c>
      <c r="C127" t="s">
        <v>602</v>
      </c>
    </row>
    <row r="128" spans="1:7" x14ac:dyDescent="0.25">
      <c r="A128" t="s">
        <v>14</v>
      </c>
      <c r="B128" t="s">
        <v>603</v>
      </c>
      <c r="C128" t="s">
        <v>604</v>
      </c>
    </row>
    <row r="129" spans="1:3" x14ac:dyDescent="0.25">
      <c r="A129" t="s">
        <v>14</v>
      </c>
      <c r="B129" t="s">
        <v>605</v>
      </c>
      <c r="C129" t="s">
        <v>606</v>
      </c>
    </row>
    <row r="130" spans="1:3" x14ac:dyDescent="0.25">
      <c r="A130" t="s">
        <v>14</v>
      </c>
      <c r="B130" t="s">
        <v>607</v>
      </c>
      <c r="C130" t="s">
        <v>608</v>
      </c>
    </row>
    <row r="131" spans="1:3" x14ac:dyDescent="0.25">
      <c r="A131" t="s">
        <v>14</v>
      </c>
      <c r="B131" t="s">
        <v>609</v>
      </c>
      <c r="C131" t="s">
        <v>610</v>
      </c>
    </row>
    <row r="132" spans="1:3" x14ac:dyDescent="0.25">
      <c r="A132" t="s">
        <v>14</v>
      </c>
      <c r="B132" t="s">
        <v>611</v>
      </c>
      <c r="C132" t="s">
        <v>612</v>
      </c>
    </row>
    <row r="133" spans="1:3" x14ac:dyDescent="0.25">
      <c r="A133" t="s">
        <v>14</v>
      </c>
      <c r="B133" t="s">
        <v>613</v>
      </c>
      <c r="C133" t="s">
        <v>614</v>
      </c>
    </row>
    <row r="134" spans="1:3" x14ac:dyDescent="0.25">
      <c r="A134" t="s">
        <v>14</v>
      </c>
      <c r="B134" t="s">
        <v>615</v>
      </c>
      <c r="C134" t="s">
        <v>616</v>
      </c>
    </row>
    <row r="135" spans="1:3" x14ac:dyDescent="0.25">
      <c r="A135" t="s">
        <v>14</v>
      </c>
      <c r="B135" t="s">
        <v>617</v>
      </c>
      <c r="C135" t="s">
        <v>618</v>
      </c>
    </row>
    <row r="136" spans="1:3" x14ac:dyDescent="0.25">
      <c r="A136" t="s">
        <v>14</v>
      </c>
      <c r="B136" t="s">
        <v>619</v>
      </c>
      <c r="C136" t="s">
        <v>620</v>
      </c>
    </row>
    <row r="137" spans="1:3" x14ac:dyDescent="0.25">
      <c r="A137" t="s">
        <v>14</v>
      </c>
      <c r="B137" t="s">
        <v>621</v>
      </c>
      <c r="C137" t="s">
        <v>622</v>
      </c>
    </row>
    <row r="138" spans="1:3" x14ac:dyDescent="0.25">
      <c r="A138" t="s">
        <v>14</v>
      </c>
      <c r="B138" t="s">
        <v>623</v>
      </c>
      <c r="C138" t="s">
        <v>624</v>
      </c>
    </row>
    <row r="139" spans="1:3" x14ac:dyDescent="0.25">
      <c r="A139" t="s">
        <v>14</v>
      </c>
      <c r="B139" t="s">
        <v>625</v>
      </c>
      <c r="C139" t="s">
        <v>626</v>
      </c>
    </row>
    <row r="140" spans="1:3" x14ac:dyDescent="0.25">
      <c r="A140" t="s">
        <v>14</v>
      </c>
      <c r="B140" t="s">
        <v>627</v>
      </c>
      <c r="C140" t="s">
        <v>628</v>
      </c>
    </row>
    <row r="141" spans="1:3" x14ac:dyDescent="0.25">
      <c r="A141" t="s">
        <v>14</v>
      </c>
      <c r="B141" t="s">
        <v>629</v>
      </c>
      <c r="C141" t="s">
        <v>630</v>
      </c>
    </row>
    <row r="142" spans="1:3" x14ac:dyDescent="0.25">
      <c r="A142" t="s">
        <v>14</v>
      </c>
      <c r="B142" t="s">
        <v>631</v>
      </c>
      <c r="C142" t="s">
        <v>632</v>
      </c>
    </row>
    <row r="143" spans="1:3" x14ac:dyDescent="0.25">
      <c r="A143" t="s">
        <v>14</v>
      </c>
      <c r="B143" t="s">
        <v>633</v>
      </c>
      <c r="C143" t="s">
        <v>634</v>
      </c>
    </row>
    <row r="145" spans="1:5" x14ac:dyDescent="0.25">
      <c r="A145" t="s">
        <v>13</v>
      </c>
      <c r="B145" t="s">
        <v>9</v>
      </c>
      <c r="C145" t="s">
        <v>17</v>
      </c>
      <c r="D145" t="s">
        <v>18</v>
      </c>
    </row>
    <row r="146" spans="1:5" x14ac:dyDescent="0.25">
      <c r="C146" t="s">
        <v>635</v>
      </c>
      <c r="D146" t="s">
        <v>636</v>
      </c>
    </row>
    <row r="147" spans="1:5" x14ac:dyDescent="0.25">
      <c r="A147" t="s">
        <v>14</v>
      </c>
      <c r="B147" t="s">
        <v>0</v>
      </c>
      <c r="C147" t="s">
        <v>19</v>
      </c>
      <c r="E147" t="s">
        <v>132</v>
      </c>
    </row>
    <row r="148" spans="1:5" x14ac:dyDescent="0.25">
      <c r="C148" t="s">
        <v>1</v>
      </c>
    </row>
    <row r="149" spans="1:5" x14ac:dyDescent="0.25">
      <c r="C149" t="s">
        <v>90</v>
      </c>
      <c r="E149" t="s">
        <v>57</v>
      </c>
    </row>
    <row r="150" spans="1:5" x14ac:dyDescent="0.25">
      <c r="C150" t="s">
        <v>60</v>
      </c>
      <c r="E150" t="s">
        <v>61</v>
      </c>
    </row>
    <row r="151" spans="1:5" x14ac:dyDescent="0.25">
      <c r="A151" t="s">
        <v>14</v>
      </c>
      <c r="B151" t="s">
        <v>60</v>
      </c>
      <c r="C151" t="s">
        <v>154</v>
      </c>
      <c r="E151" t="s">
        <v>94</v>
      </c>
    </row>
    <row r="152" spans="1:5" x14ac:dyDescent="0.25">
      <c r="C152" t="s">
        <v>20</v>
      </c>
      <c r="E152" t="s">
        <v>58</v>
      </c>
    </row>
    <row r="153" spans="1:5" x14ac:dyDescent="0.25">
      <c r="C153" t="s">
        <v>28</v>
      </c>
      <c r="E153" t="s">
        <v>59</v>
      </c>
    </row>
    <row r="154" spans="1:5" x14ac:dyDescent="0.25">
      <c r="C154" t="s">
        <v>140</v>
      </c>
      <c r="E154" t="s">
        <v>31</v>
      </c>
    </row>
    <row r="155" spans="1:5" x14ac:dyDescent="0.25">
      <c r="C155" t="s">
        <v>7</v>
      </c>
      <c r="E155" t="s">
        <v>62</v>
      </c>
    </row>
    <row r="156" spans="1:5" x14ac:dyDescent="0.25">
      <c r="C156" t="s">
        <v>163</v>
      </c>
      <c r="E156" t="s">
        <v>164</v>
      </c>
    </row>
    <row r="157" spans="1:5" x14ac:dyDescent="0.25">
      <c r="C157" t="s">
        <v>166</v>
      </c>
      <c r="E157" t="s">
        <v>167</v>
      </c>
    </row>
    <row r="158" spans="1:5" x14ac:dyDescent="0.25">
      <c r="C158" t="s">
        <v>95</v>
      </c>
      <c r="E158" t="s">
        <v>63</v>
      </c>
    </row>
    <row r="160" spans="1:5" x14ac:dyDescent="0.25">
      <c r="A160" t="s">
        <v>14</v>
      </c>
      <c r="B160" t="s">
        <v>139</v>
      </c>
      <c r="C160" t="s">
        <v>30</v>
      </c>
    </row>
    <row r="161" spans="1:5" x14ac:dyDescent="0.25">
      <c r="C161" t="s">
        <v>170</v>
      </c>
      <c r="E161" t="s">
        <v>169</v>
      </c>
    </row>
    <row r="162" spans="1:5" x14ac:dyDescent="0.25">
      <c r="C162" t="s">
        <v>24</v>
      </c>
    </row>
    <row r="164" spans="1:5" x14ac:dyDescent="0.25">
      <c r="A164" t="s">
        <v>14</v>
      </c>
      <c r="B164" t="s">
        <v>165</v>
      </c>
      <c r="C164" t="s">
        <v>168</v>
      </c>
      <c r="E164" t="s">
        <v>169</v>
      </c>
    </row>
    <row r="165" spans="1:5" x14ac:dyDescent="0.25">
      <c r="C165" t="s">
        <v>24</v>
      </c>
    </row>
    <row r="167" spans="1:5" x14ac:dyDescent="0.25">
      <c r="A167" t="s">
        <v>14</v>
      </c>
      <c r="B167" t="s">
        <v>539</v>
      </c>
      <c r="C167" t="s">
        <v>637</v>
      </c>
    </row>
    <row r="168" spans="1:5" x14ac:dyDescent="0.25">
      <c r="C168" t="s">
        <v>638</v>
      </c>
    </row>
    <row r="169" spans="1:5" x14ac:dyDescent="0.25">
      <c r="A169" t="s">
        <v>14</v>
      </c>
      <c r="B169" t="s">
        <v>638</v>
      </c>
      <c r="C169" t="s">
        <v>639</v>
      </c>
    </row>
    <row r="170" spans="1:5" x14ac:dyDescent="0.25">
      <c r="C170" t="s">
        <v>640</v>
      </c>
    </row>
    <row r="171" spans="1:5" x14ac:dyDescent="0.25">
      <c r="C171" t="s">
        <v>641</v>
      </c>
    </row>
    <row r="172" spans="1:5" x14ac:dyDescent="0.25">
      <c r="C172" t="s">
        <v>642</v>
      </c>
    </row>
    <row r="173" spans="1:5" x14ac:dyDescent="0.25">
      <c r="C173" t="s">
        <v>643</v>
      </c>
    </row>
    <row r="174" spans="1:5" x14ac:dyDescent="0.25">
      <c r="C174" t="s">
        <v>644</v>
      </c>
    </row>
    <row r="175" spans="1:5" x14ac:dyDescent="0.25">
      <c r="C175" t="s">
        <v>645</v>
      </c>
      <c r="E175" t="s">
        <v>57</v>
      </c>
    </row>
    <row r="177" spans="1:3" x14ac:dyDescent="0.25">
      <c r="A177" t="s">
        <v>14</v>
      </c>
      <c r="B177" t="s">
        <v>646</v>
      </c>
      <c r="C177" t="s">
        <v>30</v>
      </c>
    </row>
    <row r="178" spans="1:3" x14ac:dyDescent="0.25">
      <c r="C178" t="s">
        <v>647</v>
      </c>
    </row>
    <row r="179" spans="1:3" x14ac:dyDescent="0.25">
      <c r="C179" s="9" t="s">
        <v>226</v>
      </c>
    </row>
    <row r="180" spans="1:3" s="9" customFormat="1" x14ac:dyDescent="0.25">
      <c r="C180" s="9" t="s">
        <v>24</v>
      </c>
    </row>
    <row r="181" spans="1:3" x14ac:dyDescent="0.25">
      <c r="A181" t="s">
        <v>14</v>
      </c>
      <c r="B181" t="s">
        <v>145</v>
      </c>
      <c r="C181" t="s">
        <v>141</v>
      </c>
    </row>
    <row r="182" spans="1:3" x14ac:dyDescent="0.25">
      <c r="C182" t="s">
        <v>144</v>
      </c>
    </row>
    <row r="183" spans="1:3" x14ac:dyDescent="0.25">
      <c r="C183" t="s">
        <v>75</v>
      </c>
    </row>
    <row r="184" spans="1:3" x14ac:dyDescent="0.25">
      <c r="C184" t="s">
        <v>143</v>
      </c>
    </row>
    <row r="185" spans="1:3" x14ac:dyDescent="0.25">
      <c r="C185" t="s">
        <v>142</v>
      </c>
    </row>
    <row r="187" spans="1:3" x14ac:dyDescent="0.25">
      <c r="B187" s="9"/>
      <c r="C187" s="9"/>
    </row>
    <row r="188" spans="1:3" x14ac:dyDescent="0.25">
      <c r="C188" s="9"/>
    </row>
    <row r="189" spans="1:3" x14ac:dyDescent="0.25">
      <c r="C189" s="9"/>
    </row>
    <row r="190" spans="1:3" x14ac:dyDescent="0.25">
      <c r="C190" s="9"/>
    </row>
    <row r="191" spans="1:3" x14ac:dyDescent="0.25">
      <c r="C191" s="9"/>
    </row>
    <row r="192" spans="1:3" x14ac:dyDescent="0.25">
      <c r="C192" s="9"/>
    </row>
    <row r="193" spans="3:3" x14ac:dyDescent="0.25">
      <c r="C193" s="9"/>
    </row>
    <row r="194" spans="3:3" x14ac:dyDescent="0.25">
      <c r="C194" s="9"/>
    </row>
    <row r="195" spans="3:3" x14ac:dyDescent="0.25">
      <c r="C195" s="9"/>
    </row>
    <row r="196" spans="3:3" x14ac:dyDescent="0.25">
      <c r="C196" s="9"/>
    </row>
    <row r="197" spans="3:3" x14ac:dyDescent="0.25">
      <c r="C197" s="9"/>
    </row>
    <row r="198" spans="3:3" x14ac:dyDescent="0.25">
      <c r="C198" s="9"/>
    </row>
    <row r="199" spans="3:3" x14ac:dyDescent="0.25">
      <c r="C199" s="9"/>
    </row>
    <row r="200" spans="3:3" x14ac:dyDescent="0.25">
      <c r="C200" s="9"/>
    </row>
    <row r="201" spans="3:3" x14ac:dyDescent="0.25">
      <c r="C201" s="9"/>
    </row>
    <row r="202" spans="3:3" x14ac:dyDescent="0.25">
      <c r="C202" s="9"/>
    </row>
    <row r="203" spans="3:3" x14ac:dyDescent="0.25">
      <c r="C203" s="9"/>
    </row>
    <row r="204" spans="3:3" x14ac:dyDescent="0.25">
      <c r="C204" s="9"/>
    </row>
    <row r="205" spans="3:3" x14ac:dyDescent="0.25">
      <c r="C205" s="9"/>
    </row>
    <row r="206" spans="3:3" x14ac:dyDescent="0.25">
      <c r="C206" s="9"/>
    </row>
    <row r="207" spans="3:3" x14ac:dyDescent="0.25">
      <c r="C207" s="9"/>
    </row>
    <row r="208" spans="3:3" x14ac:dyDescent="0.25">
      <c r="C208" s="9"/>
    </row>
    <row r="209" spans="3:3" x14ac:dyDescent="0.25">
      <c r="C209" s="9"/>
    </row>
    <row r="210" spans="3:3" x14ac:dyDescent="0.25">
      <c r="C210" s="9"/>
    </row>
    <row r="211" spans="3:3" x14ac:dyDescent="0.25">
      <c r="C211" s="9"/>
    </row>
    <row r="212" spans="3:3" x14ac:dyDescent="0.25">
      <c r="C212" s="9"/>
    </row>
    <row r="213" spans="3:3" x14ac:dyDescent="0.25">
      <c r="C213" s="9"/>
    </row>
    <row r="214" spans="3:3" x14ac:dyDescent="0.25">
      <c r="C214" s="9"/>
    </row>
    <row r="215" spans="3:3" x14ac:dyDescent="0.25">
      <c r="C215" s="9"/>
    </row>
    <row r="216" spans="3:3" x14ac:dyDescent="0.25">
      <c r="C216" s="9"/>
    </row>
    <row r="217" spans="3:3" x14ac:dyDescent="0.25">
      <c r="C217" s="9"/>
    </row>
    <row r="218" spans="3:3" x14ac:dyDescent="0.25">
      <c r="C218" s="9"/>
    </row>
    <row r="219" spans="3:3" x14ac:dyDescent="0.25">
      <c r="C219" s="9"/>
    </row>
    <row r="220" spans="3:3" x14ac:dyDescent="0.25">
      <c r="C220" s="9"/>
    </row>
    <row r="221" spans="3:3" x14ac:dyDescent="0.25">
      <c r="C221" s="9"/>
    </row>
    <row r="222" spans="3:3" x14ac:dyDescent="0.25">
      <c r="C222" s="9"/>
    </row>
    <row r="223" spans="3:3" x14ac:dyDescent="0.25">
      <c r="C223" s="9"/>
    </row>
    <row r="224" spans="3:3" x14ac:dyDescent="0.25">
      <c r="C224" s="9"/>
    </row>
    <row r="225" spans="3:3" x14ac:dyDescent="0.25">
      <c r="C225" s="9"/>
    </row>
    <row r="226" spans="3:3" x14ac:dyDescent="0.25">
      <c r="C226" s="9"/>
    </row>
    <row r="227" spans="3:3" x14ac:dyDescent="0.25">
      <c r="C227" s="9"/>
    </row>
    <row r="228" spans="3:3" x14ac:dyDescent="0.25">
      <c r="C228" s="9"/>
    </row>
    <row r="229" spans="3:3" x14ac:dyDescent="0.25">
      <c r="C229" s="9"/>
    </row>
    <row r="230" spans="3:3" x14ac:dyDescent="0.25">
      <c r="C230" s="9"/>
    </row>
    <row r="231" spans="3:3" x14ac:dyDescent="0.25">
      <c r="C231" s="9"/>
    </row>
    <row r="232" spans="3:3" x14ac:dyDescent="0.25">
      <c r="C232" s="9"/>
    </row>
    <row r="233" spans="3:3" x14ac:dyDescent="0.25">
      <c r="C233" s="9"/>
    </row>
    <row r="234" spans="3:3" x14ac:dyDescent="0.25">
      <c r="C234" s="9"/>
    </row>
    <row r="235" spans="3:3" x14ac:dyDescent="0.25">
      <c r="C235" s="9"/>
    </row>
    <row r="236" spans="3:3" x14ac:dyDescent="0.25">
      <c r="C236" s="9"/>
    </row>
    <row r="237" spans="3:3" x14ac:dyDescent="0.25">
      <c r="C237" s="9"/>
    </row>
    <row r="238" spans="3:3" x14ac:dyDescent="0.25">
      <c r="C238" s="9"/>
    </row>
    <row r="239" spans="3:3" x14ac:dyDescent="0.25">
      <c r="C239" s="9"/>
    </row>
    <row r="240" spans="3:3" x14ac:dyDescent="0.25">
      <c r="C240" s="9"/>
    </row>
    <row r="241" spans="3:3" x14ac:dyDescent="0.25">
      <c r="C241" s="9"/>
    </row>
    <row r="242" spans="3:3" x14ac:dyDescent="0.25">
      <c r="C242" s="9"/>
    </row>
    <row r="243" spans="3:3" x14ac:dyDescent="0.25">
      <c r="C243" s="9"/>
    </row>
    <row r="244" spans="3:3" x14ac:dyDescent="0.25">
      <c r="C244" s="9"/>
    </row>
    <row r="245" spans="3:3" x14ac:dyDescent="0.25">
      <c r="C245" s="9"/>
    </row>
    <row r="246" spans="3:3" x14ac:dyDescent="0.25">
      <c r="C246" s="9"/>
    </row>
    <row r="247" spans="3:3" x14ac:dyDescent="0.25">
      <c r="C247" s="9"/>
    </row>
    <row r="248" spans="3:3" x14ac:dyDescent="0.25">
      <c r="C248" s="9"/>
    </row>
    <row r="249" spans="3:3" x14ac:dyDescent="0.25">
      <c r="C249" s="9"/>
    </row>
    <row r="250" spans="3:3" x14ac:dyDescent="0.25">
      <c r="C250" s="9"/>
    </row>
    <row r="251" spans="3:3" x14ac:dyDescent="0.25">
      <c r="C251" s="9"/>
    </row>
    <row r="252" spans="3:3" x14ac:dyDescent="0.25">
      <c r="C252" s="9"/>
    </row>
    <row r="253" spans="3:3" x14ac:dyDescent="0.25">
      <c r="C253" s="9"/>
    </row>
    <row r="254" spans="3:3" x14ac:dyDescent="0.25">
      <c r="C254" s="9"/>
    </row>
    <row r="255" spans="3:3" x14ac:dyDescent="0.25">
      <c r="C255" s="9"/>
    </row>
    <row r="256" spans="3:3" x14ac:dyDescent="0.25">
      <c r="C256" s="9"/>
    </row>
    <row r="257" spans="3:3" x14ac:dyDescent="0.25">
      <c r="C257" s="9"/>
    </row>
    <row r="258" spans="3:3" x14ac:dyDescent="0.25">
      <c r="C258" s="9"/>
    </row>
    <row r="259" spans="3:3" x14ac:dyDescent="0.25">
      <c r="C259" s="9"/>
    </row>
    <row r="260" spans="3:3" x14ac:dyDescent="0.25">
      <c r="C260" s="9"/>
    </row>
    <row r="261" spans="3:3" x14ac:dyDescent="0.25">
      <c r="C261" s="9"/>
    </row>
    <row r="262" spans="3:3" x14ac:dyDescent="0.25">
      <c r="C262" s="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8E09-37EE-4F13-A033-C3D009D418B8}">
  <dimension ref="A1:L99"/>
  <sheetViews>
    <sheetView workbookViewId="0">
      <selection activeCell="C7" sqref="C7"/>
    </sheetView>
  </sheetViews>
  <sheetFormatPr defaultRowHeight="15" x14ac:dyDescent="0.25"/>
  <cols>
    <col min="2" max="2" width="19" customWidth="1"/>
    <col min="3" max="3" width="36.7109375" customWidth="1"/>
    <col min="4" max="4" width="33.42578125" customWidth="1"/>
    <col min="5" max="5" width="48.85546875" customWidth="1"/>
  </cols>
  <sheetData>
    <row r="1" spans="1:12" x14ac:dyDescent="0.25">
      <c r="A1" s="11" t="s">
        <v>12</v>
      </c>
      <c r="B1" s="11" t="s">
        <v>16</v>
      </c>
      <c r="C1" s="11" t="s">
        <v>11</v>
      </c>
      <c r="D1" s="11" t="s">
        <v>10</v>
      </c>
      <c r="E1" s="11" t="s">
        <v>8</v>
      </c>
      <c r="F1" s="9"/>
      <c r="G1" s="9"/>
      <c r="H1" s="9"/>
      <c r="I1" s="9"/>
      <c r="J1" s="9"/>
      <c r="K1" s="9"/>
      <c r="L1" s="9"/>
    </row>
    <row r="2" spans="1:12" x14ac:dyDescent="0.25">
      <c r="A2" s="9" t="s">
        <v>13</v>
      </c>
      <c r="B2" s="9" t="s">
        <v>9</v>
      </c>
      <c r="C2" s="9" t="s">
        <v>17</v>
      </c>
      <c r="D2" s="9" t="s">
        <v>18</v>
      </c>
      <c r="E2" s="11" t="s">
        <v>147</v>
      </c>
      <c r="F2" s="9"/>
      <c r="G2" s="9"/>
      <c r="H2" s="9"/>
      <c r="I2" s="9"/>
      <c r="J2" s="9"/>
      <c r="K2" s="9"/>
      <c r="L2" s="9"/>
    </row>
    <row r="3" spans="1:12" x14ac:dyDescent="0.25">
      <c r="A3" s="9" t="s">
        <v>14</v>
      </c>
      <c r="B3" s="11" t="s">
        <v>23</v>
      </c>
      <c r="C3" s="9" t="s">
        <v>19</v>
      </c>
      <c r="D3" s="10"/>
      <c r="E3" s="9" t="s">
        <v>132</v>
      </c>
      <c r="F3" s="9"/>
      <c r="G3" s="9"/>
      <c r="H3" s="9"/>
      <c r="I3" s="9"/>
      <c r="J3" s="9"/>
      <c r="K3" s="9"/>
      <c r="L3" s="9"/>
    </row>
    <row r="4" spans="1:12" x14ac:dyDescent="0.25">
      <c r="A4" s="9"/>
      <c r="B4" s="11"/>
      <c r="C4" s="9" t="s">
        <v>235</v>
      </c>
      <c r="D4" s="10"/>
      <c r="E4" s="9"/>
      <c r="F4" s="9"/>
      <c r="G4" s="9"/>
      <c r="H4" s="9"/>
      <c r="I4" s="9"/>
      <c r="J4" s="9"/>
      <c r="K4" s="9"/>
      <c r="L4" s="9"/>
    </row>
    <row r="5" spans="1:12" x14ac:dyDescent="0.25">
      <c r="A5" s="9"/>
      <c r="B5" s="11"/>
      <c r="C5" s="9" t="s">
        <v>90</v>
      </c>
      <c r="D5" s="10"/>
      <c r="E5" s="9" t="s">
        <v>92</v>
      </c>
      <c r="F5" s="9"/>
      <c r="G5" s="9"/>
      <c r="H5" s="9"/>
      <c r="I5" s="9"/>
      <c r="J5" s="9"/>
      <c r="K5" s="9"/>
      <c r="L5" s="9"/>
    </row>
    <row r="6" spans="1:12" x14ac:dyDescent="0.25">
      <c r="A6" s="9"/>
      <c r="B6" s="9"/>
      <c r="C6" s="9" t="s">
        <v>234</v>
      </c>
      <c r="D6" s="9"/>
      <c r="E6" s="9"/>
      <c r="F6" s="9"/>
      <c r="G6" s="9"/>
      <c r="H6" s="9"/>
      <c r="I6" s="9"/>
      <c r="J6" s="9"/>
      <c r="K6" s="9"/>
      <c r="L6" s="9"/>
    </row>
    <row r="7" spans="1:12" x14ac:dyDescent="0.25">
      <c r="A7" s="9"/>
      <c r="B7" s="9"/>
      <c r="C7" s="9" t="s">
        <v>90</v>
      </c>
      <c r="D7" s="9"/>
      <c r="E7" s="9" t="s">
        <v>57</v>
      </c>
      <c r="F7" s="9"/>
      <c r="G7" s="9"/>
      <c r="H7" s="9"/>
      <c r="I7" s="9"/>
      <c r="J7" s="9"/>
      <c r="K7" s="9"/>
      <c r="L7" s="9"/>
    </row>
    <row r="8" spans="1:12" x14ac:dyDescent="0.25">
      <c r="A8" s="9"/>
      <c r="B8" s="9"/>
      <c r="C8" s="9" t="s">
        <v>257</v>
      </c>
      <c r="D8" s="9"/>
      <c r="E8" s="9"/>
      <c r="F8" s="9"/>
      <c r="G8" s="9"/>
      <c r="H8" s="9"/>
      <c r="I8" s="9"/>
      <c r="J8" s="9"/>
      <c r="K8" s="9"/>
      <c r="L8" s="9"/>
    </row>
    <row r="9" spans="1:12" x14ac:dyDescent="0.25">
      <c r="A9" s="9" t="s">
        <v>14</v>
      </c>
      <c r="B9" s="9" t="s">
        <v>258</v>
      </c>
      <c r="C9" s="9" t="s">
        <v>254</v>
      </c>
      <c r="D9" s="9"/>
      <c r="E9" s="9"/>
      <c r="F9" s="9"/>
      <c r="G9" s="9"/>
      <c r="H9" s="9"/>
      <c r="I9" s="9"/>
      <c r="J9" s="9"/>
      <c r="K9" s="9"/>
      <c r="L9" s="9"/>
    </row>
    <row r="10" spans="1:12" x14ac:dyDescent="0.25">
      <c r="A10" s="9"/>
      <c r="B10" s="9"/>
      <c r="C10" s="9" t="s">
        <v>253</v>
      </c>
      <c r="D10" s="9"/>
      <c r="E10" s="9"/>
      <c r="F10" s="9"/>
      <c r="G10" s="9"/>
      <c r="H10" s="9"/>
      <c r="I10" s="9"/>
      <c r="J10" s="9"/>
      <c r="K10" s="9"/>
      <c r="L10" s="9"/>
    </row>
    <row r="11" spans="1:12" x14ac:dyDescent="0.25">
      <c r="A11" s="9" t="s">
        <v>14</v>
      </c>
      <c r="B11" s="9" t="s">
        <v>259</v>
      </c>
      <c r="C11" s="9" t="s">
        <v>260</v>
      </c>
      <c r="D11" s="9"/>
      <c r="E11" s="9"/>
      <c r="F11" s="9"/>
      <c r="G11" s="9"/>
      <c r="H11" s="9"/>
      <c r="I11" s="9"/>
      <c r="J11" s="9"/>
      <c r="K11" s="9"/>
      <c r="L11" s="9"/>
    </row>
    <row r="12" spans="1:12" x14ac:dyDescent="0.25">
      <c r="A12" s="9"/>
      <c r="B12" s="9"/>
      <c r="C12" s="9" t="s">
        <v>265</v>
      </c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 t="s">
        <v>14</v>
      </c>
      <c r="B13" s="9" t="s">
        <v>260</v>
      </c>
      <c r="C13" s="9" t="s">
        <v>20</v>
      </c>
      <c r="D13" s="9"/>
      <c r="E13" s="1" t="s">
        <v>58</v>
      </c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 t="s">
        <v>28</v>
      </c>
      <c r="D14" s="9"/>
      <c r="E14" s="9" t="s">
        <v>59</v>
      </c>
      <c r="F14" s="9"/>
      <c r="G14" s="9"/>
      <c r="H14" s="9"/>
      <c r="I14" s="9"/>
      <c r="J14" s="9"/>
      <c r="K14" s="9"/>
      <c r="L14" s="9"/>
    </row>
    <row r="15" spans="1:12" x14ac:dyDescent="0.25">
      <c r="A15" s="9"/>
      <c r="B15" s="9"/>
      <c r="C15" s="9" t="s">
        <v>140</v>
      </c>
      <c r="D15" s="9"/>
      <c r="E15" s="9" t="s">
        <v>31</v>
      </c>
      <c r="F15" s="9"/>
      <c r="G15" s="9"/>
      <c r="H15" s="9"/>
      <c r="I15" s="9"/>
      <c r="J15" s="9"/>
      <c r="K15" s="9"/>
      <c r="L15" s="9"/>
    </row>
    <row r="16" spans="1:12" x14ac:dyDescent="0.25">
      <c r="A16" s="9"/>
      <c r="B16" s="9"/>
      <c r="C16" s="9" t="s">
        <v>7</v>
      </c>
      <c r="D16" s="9"/>
      <c r="E16" s="9" t="s">
        <v>62</v>
      </c>
      <c r="F16" s="9"/>
      <c r="G16" s="9"/>
      <c r="H16" s="9"/>
      <c r="I16" s="9"/>
      <c r="J16" s="9"/>
      <c r="K16" s="9"/>
      <c r="L16" s="9"/>
    </row>
    <row r="17" spans="1:12" x14ac:dyDescent="0.25">
      <c r="A17" s="9"/>
      <c r="B17" s="9"/>
      <c r="C17" s="9" t="s">
        <v>261</v>
      </c>
      <c r="D17" s="9"/>
      <c r="E17" s="9"/>
      <c r="F17" s="9"/>
      <c r="G17" s="9"/>
      <c r="H17" s="9"/>
      <c r="I17" s="9"/>
      <c r="J17" s="9"/>
      <c r="K17" s="9"/>
      <c r="L17" s="9"/>
    </row>
    <row r="18" spans="1:12" x14ac:dyDescent="0.25">
      <c r="A18" s="9" t="s">
        <v>14</v>
      </c>
      <c r="B18" s="9" t="s">
        <v>265</v>
      </c>
      <c r="C18" s="9" t="s">
        <v>255</v>
      </c>
      <c r="D18" s="9"/>
      <c r="E18" s="9"/>
      <c r="F18" s="9"/>
      <c r="G18" s="9"/>
      <c r="H18" s="9"/>
      <c r="I18" s="9"/>
      <c r="J18" s="9"/>
      <c r="K18" s="9"/>
      <c r="L18" s="9"/>
    </row>
    <row r="19" spans="1:12" x14ac:dyDescent="0.25">
      <c r="A19" s="9" t="s">
        <v>14</v>
      </c>
      <c r="B19" s="9" t="s">
        <v>262</v>
      </c>
      <c r="C19" s="9" t="s">
        <v>253</v>
      </c>
      <c r="D19" s="9"/>
      <c r="E19" s="9" t="s">
        <v>63</v>
      </c>
      <c r="F19" s="9"/>
      <c r="G19" s="9"/>
      <c r="H19" s="9"/>
      <c r="I19" s="9"/>
      <c r="J19" s="9"/>
      <c r="K19" s="9"/>
      <c r="L19" s="9"/>
    </row>
    <row r="20" spans="1:12" x14ac:dyDescent="0.25">
      <c r="A20" s="9"/>
      <c r="B20" s="9"/>
      <c r="C20" s="9" t="s">
        <v>264</v>
      </c>
      <c r="D20" s="9"/>
      <c r="E20" s="9" t="s">
        <v>167</v>
      </c>
      <c r="F20" s="9"/>
      <c r="G20" s="9"/>
      <c r="H20" s="9"/>
      <c r="I20" s="9"/>
      <c r="J20" s="9"/>
      <c r="K20" s="9"/>
      <c r="L20" s="9"/>
    </row>
    <row r="21" spans="1:12" x14ac:dyDescent="0.25">
      <c r="A21" s="9" t="s">
        <v>14</v>
      </c>
      <c r="B21" s="9" t="s">
        <v>263</v>
      </c>
      <c r="C21" s="9" t="s">
        <v>265</v>
      </c>
      <c r="D21" s="9"/>
      <c r="E21" s="9"/>
      <c r="F21" s="9"/>
      <c r="G21" s="9"/>
      <c r="H21" s="9"/>
      <c r="I21" s="9"/>
      <c r="J21" s="9"/>
      <c r="K21" s="9"/>
      <c r="L21" s="9"/>
    </row>
    <row r="22" spans="1:12" x14ac:dyDescent="0.25">
      <c r="A22" s="9"/>
      <c r="B22" s="9"/>
      <c r="C22" s="9" t="s">
        <v>165</v>
      </c>
      <c r="D22" s="9"/>
      <c r="E22" s="9"/>
      <c r="F22" s="9"/>
      <c r="G22" s="9"/>
      <c r="H22" s="9"/>
      <c r="I22" s="9"/>
      <c r="J22" s="9"/>
      <c r="K22" s="9"/>
      <c r="L22" s="9"/>
    </row>
    <row r="23" spans="1:12" x14ac:dyDescent="0.25">
      <c r="A23" s="9" t="s">
        <v>14</v>
      </c>
      <c r="B23" s="9" t="s">
        <v>139</v>
      </c>
      <c r="C23" s="9" t="s">
        <v>30</v>
      </c>
      <c r="D23" s="9"/>
      <c r="E23" s="9"/>
      <c r="F23" s="9"/>
      <c r="G23" s="9"/>
      <c r="H23" s="9"/>
      <c r="I23" s="9"/>
      <c r="J23" s="9"/>
      <c r="K23" s="9"/>
      <c r="L23" s="9"/>
    </row>
    <row r="24" spans="1:12" x14ac:dyDescent="0.25">
      <c r="A24" s="9"/>
      <c r="B24" s="9"/>
      <c r="C24" s="9" t="s">
        <v>170</v>
      </c>
      <c r="D24" s="9"/>
      <c r="E24" s="9" t="s">
        <v>169</v>
      </c>
      <c r="F24" s="9"/>
      <c r="G24" s="9"/>
      <c r="H24" s="9"/>
      <c r="I24" s="9"/>
      <c r="J24" s="9"/>
      <c r="K24" s="9"/>
      <c r="L24" s="9"/>
    </row>
    <row r="25" spans="1:12" x14ac:dyDescent="0.25">
      <c r="A25" s="9"/>
      <c r="B25" s="9"/>
      <c r="C25" s="9" t="s">
        <v>241</v>
      </c>
      <c r="D25" s="9"/>
      <c r="E25" s="9" t="s">
        <v>242</v>
      </c>
      <c r="F25" s="9"/>
      <c r="G25" s="9"/>
      <c r="H25" s="9"/>
      <c r="I25" s="9"/>
      <c r="J25" s="9"/>
      <c r="K25" s="9"/>
      <c r="L25" s="9"/>
    </row>
    <row r="26" spans="1:12" x14ac:dyDescent="0.25">
      <c r="A26" s="9"/>
      <c r="B26" s="9"/>
      <c r="C26" s="9" t="s">
        <v>24</v>
      </c>
      <c r="D26" s="9"/>
      <c r="E26" s="9"/>
      <c r="F26" s="9"/>
      <c r="G26" s="9"/>
      <c r="H26" s="9"/>
      <c r="I26" s="9"/>
      <c r="J26" s="9"/>
      <c r="K26" s="9"/>
      <c r="L26" s="9"/>
    </row>
    <row r="27" spans="1:12" x14ac:dyDescent="0.25">
      <c r="A27" s="9" t="s">
        <v>14</v>
      </c>
      <c r="B27" s="9" t="s">
        <v>165</v>
      </c>
      <c r="C27" s="9" t="s">
        <v>168</v>
      </c>
      <c r="D27" s="9"/>
      <c r="E27" s="9" t="s">
        <v>169</v>
      </c>
      <c r="F27" s="9"/>
      <c r="G27" s="9"/>
      <c r="H27" s="9"/>
      <c r="I27" s="9"/>
      <c r="J27" s="9"/>
      <c r="K27" s="9"/>
      <c r="L27" s="9"/>
    </row>
    <row r="28" spans="1:12" x14ac:dyDescent="0.25">
      <c r="A28" s="9"/>
      <c r="B28" s="9"/>
      <c r="C28" s="9" t="s">
        <v>241</v>
      </c>
      <c r="D28" s="9"/>
      <c r="E28" s="9" t="s">
        <v>242</v>
      </c>
      <c r="F28" s="9"/>
      <c r="G28" s="9"/>
      <c r="H28" s="9"/>
      <c r="I28" s="9"/>
      <c r="J28" s="9"/>
      <c r="K28" s="9"/>
      <c r="L28" s="9"/>
    </row>
    <row r="29" spans="1:12" x14ac:dyDescent="0.25">
      <c r="A29" s="9"/>
      <c r="B29" s="9"/>
      <c r="C29" s="9" t="s">
        <v>24</v>
      </c>
      <c r="D29" s="9"/>
      <c r="E29" s="9"/>
      <c r="F29" s="9"/>
      <c r="G29" s="9"/>
      <c r="H29" s="9"/>
      <c r="I29" s="9"/>
      <c r="J29" s="9"/>
      <c r="K29" s="9"/>
      <c r="L29" s="9"/>
    </row>
    <row r="30" spans="1:12" x14ac:dyDescent="0.25">
      <c r="A30" s="9"/>
      <c r="B30" s="11"/>
      <c r="C30" s="9"/>
      <c r="D30" s="9"/>
      <c r="E30" s="9"/>
      <c r="F30" s="9"/>
      <c r="G30" s="9"/>
      <c r="H30" s="9"/>
      <c r="I30" s="9"/>
      <c r="J30" s="9"/>
      <c r="K30" s="9"/>
      <c r="L30" s="9"/>
    </row>
    <row r="31" spans="1:12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</row>
    <row r="32" spans="1:12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</row>
    <row r="33" spans="1:12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1:12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</row>
    <row r="35" spans="1:12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</row>
    <row r="36" spans="1:12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</row>
    <row r="37" spans="1:12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</row>
    <row r="38" spans="1:12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</row>
    <row r="39" spans="1:12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</row>
    <row r="40" spans="1:12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</row>
    <row r="41" spans="1:12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</row>
    <row r="42" spans="1:12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</row>
    <row r="43" spans="1:12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</row>
    <row r="44" spans="1:12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</row>
    <row r="45" spans="1:12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</row>
    <row r="46" spans="1:12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</row>
    <row r="47" spans="1:12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</row>
    <row r="48" spans="1:12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</row>
    <row r="49" spans="1:12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</row>
    <row r="50" spans="1:12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</row>
    <row r="51" spans="1:12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</row>
    <row r="52" spans="1:12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</row>
    <row r="53" spans="1:12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</row>
    <row r="54" spans="1:12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</row>
    <row r="55" spans="1:12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</row>
    <row r="56" spans="1:12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</row>
    <row r="57" spans="1:12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</row>
    <row r="58" spans="1:12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</row>
    <row r="59" spans="1:12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</row>
    <row r="60" spans="1:12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</row>
    <row r="61" spans="1:12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</row>
    <row r="62" spans="1:12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</row>
    <row r="63" spans="1:12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</row>
    <row r="64" spans="1:12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</row>
    <row r="65" spans="1:12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</row>
    <row r="66" spans="1:12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</row>
    <row r="67" spans="1:12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</row>
    <row r="68" spans="1:12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</row>
    <row r="69" spans="1:12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</row>
    <row r="70" spans="1:12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</row>
    <row r="71" spans="1:12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</row>
    <row r="72" spans="1:12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</row>
    <row r="73" spans="1:12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</row>
    <row r="74" spans="1:12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</row>
    <row r="75" spans="1:12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</row>
    <row r="76" spans="1:12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</row>
    <row r="77" spans="1:12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</row>
    <row r="78" spans="1:12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</row>
    <row r="79" spans="1:12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</row>
    <row r="80" spans="1:12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</row>
    <row r="81" spans="1:12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</row>
    <row r="82" spans="1:12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</row>
    <row r="83" spans="1:12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</row>
    <row r="84" spans="1:12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</row>
    <row r="85" spans="1:12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</row>
    <row r="86" spans="1:12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</row>
    <row r="87" spans="1:12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</row>
    <row r="88" spans="1:12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</row>
    <row r="89" spans="1:12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</row>
    <row r="90" spans="1:12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</row>
    <row r="91" spans="1:12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</row>
    <row r="92" spans="1:12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</row>
    <row r="93" spans="1:12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</row>
    <row r="94" spans="1:12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</row>
    <row r="95" spans="1:12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</row>
    <row r="96" spans="1:12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</row>
    <row r="97" spans="1:12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</row>
    <row r="98" spans="1:12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</row>
    <row r="99" spans="1:12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12</v>
      </c>
      <c r="B1" t="s">
        <v>16</v>
      </c>
      <c r="C1" t="s">
        <v>11</v>
      </c>
      <c r="D1" t="s">
        <v>10</v>
      </c>
      <c r="E1" t="s">
        <v>8</v>
      </c>
    </row>
    <row r="2" spans="1:5" x14ac:dyDescent="0.25">
      <c r="A2" t="s">
        <v>13</v>
      </c>
      <c r="B2" t="s">
        <v>25</v>
      </c>
      <c r="C2" t="s">
        <v>175</v>
      </c>
      <c r="D2" t="s">
        <v>174</v>
      </c>
      <c r="E2" t="s">
        <v>47</v>
      </c>
    </row>
    <row r="3" spans="1:5" x14ac:dyDescent="0.25">
      <c r="C3" t="s">
        <v>176</v>
      </c>
      <c r="D3" t="s">
        <v>177</v>
      </c>
      <c r="E3" t="s">
        <v>47</v>
      </c>
    </row>
    <row r="4" spans="1:5" x14ac:dyDescent="0.25">
      <c r="C4" t="s">
        <v>32</v>
      </c>
      <c r="D4" s="2" t="s">
        <v>181</v>
      </c>
      <c r="E4" t="s">
        <v>47</v>
      </c>
    </row>
    <row r="6" spans="1:5" x14ac:dyDescent="0.25">
      <c r="A6" t="s">
        <v>13</v>
      </c>
      <c r="B6" s="3" t="s">
        <v>101</v>
      </c>
      <c r="C6" t="s">
        <v>103</v>
      </c>
      <c r="D6" t="s">
        <v>104</v>
      </c>
      <c r="E6" s="3" t="s">
        <v>146</v>
      </c>
    </row>
    <row r="7" spans="1:5" x14ac:dyDescent="0.25">
      <c r="C7" t="s">
        <v>89</v>
      </c>
      <c r="D7" t="s">
        <v>233</v>
      </c>
    </row>
    <row r="8" spans="1:5" x14ac:dyDescent="0.25">
      <c r="C8" t="s">
        <v>106</v>
      </c>
      <c r="D8" t="s">
        <v>105</v>
      </c>
    </row>
    <row r="9" spans="1:5" x14ac:dyDescent="0.25">
      <c r="C9" t="s">
        <v>108</v>
      </c>
      <c r="D9" t="s">
        <v>102</v>
      </c>
    </row>
    <row r="10" spans="1:5" x14ac:dyDescent="0.25">
      <c r="C10" t="s">
        <v>29</v>
      </c>
      <c r="D10" t="b">
        <v>0</v>
      </c>
    </row>
    <row r="11" spans="1:5" x14ac:dyDescent="0.25">
      <c r="C11" t="s">
        <v>171</v>
      </c>
      <c r="D11" t="s">
        <v>221</v>
      </c>
    </row>
    <row r="12" spans="1:5" x14ac:dyDescent="0.25">
      <c r="C12" t="s">
        <v>172</v>
      </c>
      <c r="D12" t="s">
        <v>173</v>
      </c>
    </row>
    <row r="13" spans="1:5" x14ac:dyDescent="0.25">
      <c r="C13" t="s">
        <v>222</v>
      </c>
      <c r="D13" t="s">
        <v>224</v>
      </c>
      <c r="E13" s="5"/>
    </row>
    <row r="14" spans="1:5" x14ac:dyDescent="0.25">
      <c r="C14" t="s">
        <v>223</v>
      </c>
      <c r="D14" t="s">
        <v>225</v>
      </c>
      <c r="E14" s="5"/>
    </row>
    <row r="16" spans="1:5" x14ac:dyDescent="0.25">
      <c r="A16" t="s">
        <v>13</v>
      </c>
      <c r="B16" t="s">
        <v>9</v>
      </c>
      <c r="C16" t="s">
        <v>17</v>
      </c>
      <c r="D16" t="s">
        <v>18</v>
      </c>
      <c r="E16" s="3" t="s">
        <v>147</v>
      </c>
    </row>
    <row r="17" spans="1:5" x14ac:dyDescent="0.25">
      <c r="C17" t="s">
        <v>48</v>
      </c>
      <c r="D17" t="s">
        <v>21</v>
      </c>
    </row>
    <row r="19" spans="1:5" x14ac:dyDescent="0.25">
      <c r="A19" t="s">
        <v>14</v>
      </c>
      <c r="B19" t="s">
        <v>42</v>
      </c>
      <c r="C19" t="s">
        <v>178</v>
      </c>
      <c r="E19" t="s">
        <v>80</v>
      </c>
    </row>
    <row r="20" spans="1:5" x14ac:dyDescent="0.25">
      <c r="C20" t="s">
        <v>179</v>
      </c>
    </row>
    <row r="21" spans="1:5" x14ac:dyDescent="0.25">
      <c r="C21" t="s">
        <v>180</v>
      </c>
    </row>
    <row r="23" spans="1:5" x14ac:dyDescent="0.25">
      <c r="A23" t="s">
        <v>14</v>
      </c>
      <c r="B23" t="s">
        <v>43</v>
      </c>
      <c r="C23" t="s">
        <v>44</v>
      </c>
    </row>
    <row r="24" spans="1:5" x14ac:dyDescent="0.25">
      <c r="C24" t="s">
        <v>45</v>
      </c>
    </row>
    <row r="26" spans="1:5" x14ac:dyDescent="0.25">
      <c r="A26" t="s">
        <v>13</v>
      </c>
      <c r="B26" t="s">
        <v>137</v>
      </c>
      <c r="C26" t="s">
        <v>138</v>
      </c>
      <c r="E26" s="3" t="s">
        <v>150</v>
      </c>
    </row>
    <row r="27" spans="1:5" x14ac:dyDescent="0.25">
      <c r="E27" s="3"/>
    </row>
    <row r="28" spans="1:5" x14ac:dyDescent="0.25">
      <c r="A28" t="s">
        <v>14</v>
      </c>
      <c r="B28" s="3" t="s">
        <v>23</v>
      </c>
      <c r="C28" t="s">
        <v>148</v>
      </c>
      <c r="E28" t="s">
        <v>87</v>
      </c>
    </row>
    <row r="29" spans="1:5" x14ac:dyDescent="0.25">
      <c r="B29" s="3"/>
      <c r="C29" t="s">
        <v>149</v>
      </c>
      <c r="D29" s="3"/>
    </row>
    <row r="30" spans="1:5" x14ac:dyDescent="0.25">
      <c r="C30" t="s">
        <v>0</v>
      </c>
    </row>
    <row r="31" spans="1:5" x14ac:dyDescent="0.25">
      <c r="C31" t="s">
        <v>50</v>
      </c>
    </row>
    <row r="32" spans="1:5" x14ac:dyDescent="0.25">
      <c r="C32" t="s">
        <v>109</v>
      </c>
      <c r="E32" t="s">
        <v>110</v>
      </c>
    </row>
    <row r="33" spans="1:11" x14ac:dyDescent="0.25">
      <c r="C33" t="s">
        <v>1</v>
      </c>
    </row>
    <row r="34" spans="1:11" x14ac:dyDescent="0.25">
      <c r="C34" t="s">
        <v>86</v>
      </c>
      <c r="K34" t="str">
        <f ca="1">_xlfn.CONCAT("createPDF:imagelist,./Output/Images/,./Output/APAC_Daily_Sales_",K36,".pdf")</f>
        <v>createPDF:imagelist,./Output/Images/,./Output/APAC_Daily_Sales_20221120012513.pdf</v>
      </c>
    </row>
    <row r="35" spans="1:11" x14ac:dyDescent="0.25">
      <c r="C35" t="s">
        <v>152</v>
      </c>
      <c r="E35" t="s">
        <v>151</v>
      </c>
    </row>
    <row r="36" spans="1:11" x14ac:dyDescent="0.25">
      <c r="A36" t="s">
        <v>14</v>
      </c>
      <c r="B36" t="s">
        <v>86</v>
      </c>
      <c r="C36" t="s">
        <v>107</v>
      </c>
      <c r="E36" t="s">
        <v>46</v>
      </c>
      <c r="K36" s="4" t="str">
        <f ca="1">TEXT(NOW(),"YYYYMMDDHHMMSS")</f>
        <v>20221120012513</v>
      </c>
    </row>
    <row r="40" spans="1:11" x14ac:dyDescent="0.25">
      <c r="A40" t="s">
        <v>14</v>
      </c>
      <c r="B40" s="3" t="s">
        <v>0</v>
      </c>
      <c r="C40" t="s">
        <v>19</v>
      </c>
      <c r="D40" s="2"/>
      <c r="E40" t="s">
        <v>132</v>
      </c>
    </row>
    <row r="41" spans="1:11" x14ac:dyDescent="0.25">
      <c r="C41" t="s">
        <v>1</v>
      </c>
    </row>
    <row r="42" spans="1:11" x14ac:dyDescent="0.25">
      <c r="C42" t="s">
        <v>90</v>
      </c>
      <c r="E42" t="s">
        <v>57</v>
      </c>
    </row>
    <row r="43" spans="1:11" x14ac:dyDescent="0.25">
      <c r="C43" t="s">
        <v>60</v>
      </c>
      <c r="E43" t="s">
        <v>61</v>
      </c>
    </row>
    <row r="44" spans="1:11" x14ac:dyDescent="0.25">
      <c r="A44" t="s">
        <v>14</v>
      </c>
      <c r="B44" s="1" t="s">
        <v>60</v>
      </c>
      <c r="C44" t="s">
        <v>154</v>
      </c>
      <c r="E44" s="1" t="s">
        <v>94</v>
      </c>
    </row>
    <row r="45" spans="1:11" x14ac:dyDescent="0.25">
      <c r="B45" s="1"/>
      <c r="C45" t="s">
        <v>20</v>
      </c>
      <c r="E45" s="1" t="s">
        <v>58</v>
      </c>
    </row>
    <row r="46" spans="1:11" x14ac:dyDescent="0.25">
      <c r="C46" t="s">
        <v>28</v>
      </c>
      <c r="E46" t="s">
        <v>59</v>
      </c>
    </row>
    <row r="47" spans="1:11" x14ac:dyDescent="0.25">
      <c r="C47" t="s">
        <v>140</v>
      </c>
      <c r="E47" t="s">
        <v>31</v>
      </c>
    </row>
    <row r="48" spans="1:11" x14ac:dyDescent="0.25">
      <c r="C48" t="s">
        <v>7</v>
      </c>
      <c r="E48" t="s">
        <v>62</v>
      </c>
    </row>
    <row r="49" spans="1:5" x14ac:dyDescent="0.25">
      <c r="C49" t="s">
        <v>163</v>
      </c>
      <c r="E49" t="s">
        <v>164</v>
      </c>
    </row>
    <row r="50" spans="1:5" x14ac:dyDescent="0.25">
      <c r="C50" t="s">
        <v>166</v>
      </c>
      <c r="E50" t="s">
        <v>167</v>
      </c>
    </row>
    <row r="51" spans="1:5" x14ac:dyDescent="0.25">
      <c r="C51" t="s">
        <v>95</v>
      </c>
      <c r="E51" t="s">
        <v>63</v>
      </c>
    </row>
    <row r="52" spans="1:5" x14ac:dyDescent="0.25">
      <c r="A52" t="s">
        <v>14</v>
      </c>
      <c r="B52" t="s">
        <v>139</v>
      </c>
      <c r="C52" t="s">
        <v>30</v>
      </c>
    </row>
    <row r="53" spans="1:5" x14ac:dyDescent="0.25">
      <c r="C53" t="s">
        <v>170</v>
      </c>
      <c r="E53" t="s">
        <v>169</v>
      </c>
    </row>
    <row r="54" spans="1:5" x14ac:dyDescent="0.25">
      <c r="C54" t="s">
        <v>24</v>
      </c>
    </row>
    <row r="55" spans="1:5" x14ac:dyDescent="0.25">
      <c r="A55" t="s">
        <v>14</v>
      </c>
      <c r="B55" t="s">
        <v>165</v>
      </c>
      <c r="C55" t="s">
        <v>168</v>
      </c>
      <c r="E55" t="s">
        <v>169</v>
      </c>
    </row>
    <row r="56" spans="1:5" x14ac:dyDescent="0.25">
      <c r="C56" t="s">
        <v>24</v>
      </c>
    </row>
    <row r="58" spans="1:5" x14ac:dyDescent="0.25">
      <c r="A58" t="s">
        <v>14</v>
      </c>
      <c r="B58" s="3" t="s">
        <v>50</v>
      </c>
      <c r="C58" t="s">
        <v>49</v>
      </c>
    </row>
    <row r="59" spans="1:5" x14ac:dyDescent="0.25">
      <c r="C59" t="s">
        <v>1</v>
      </c>
    </row>
    <row r="60" spans="1:5" x14ac:dyDescent="0.25">
      <c r="C60" t="s">
        <v>90</v>
      </c>
      <c r="E60" t="s">
        <v>57</v>
      </c>
    </row>
    <row r="61" spans="1:5" x14ac:dyDescent="0.25">
      <c r="C61" t="s">
        <v>64</v>
      </c>
    </row>
    <row r="62" spans="1:5" x14ac:dyDescent="0.25">
      <c r="A62" t="s">
        <v>14</v>
      </c>
      <c r="B62" t="s">
        <v>64</v>
      </c>
      <c r="C62" t="s">
        <v>162</v>
      </c>
      <c r="E62" t="s">
        <v>65</v>
      </c>
    </row>
    <row r="64" spans="1:5" x14ac:dyDescent="0.25">
      <c r="A64" t="s">
        <v>14</v>
      </c>
      <c r="B64" s="3" t="s">
        <v>27</v>
      </c>
      <c r="C64" t="s">
        <v>134</v>
      </c>
    </row>
    <row r="65" spans="1:5" x14ac:dyDescent="0.25">
      <c r="B65" s="3"/>
      <c r="C65" t="s">
        <v>67</v>
      </c>
    </row>
    <row r="66" spans="1:5" x14ac:dyDescent="0.25">
      <c r="C66" t="s">
        <v>70</v>
      </c>
    </row>
    <row r="67" spans="1:5" x14ac:dyDescent="0.25">
      <c r="C67" t="s">
        <v>34</v>
      </c>
    </row>
    <row r="68" spans="1:5" x14ac:dyDescent="0.25">
      <c r="C68" t="s">
        <v>33</v>
      </c>
    </row>
    <row r="69" spans="1:5" x14ac:dyDescent="0.25">
      <c r="C69" t="s">
        <v>111</v>
      </c>
    </row>
    <row r="70" spans="1:5" x14ac:dyDescent="0.25">
      <c r="C70" t="s">
        <v>135</v>
      </c>
      <c r="D70" t="s">
        <v>135</v>
      </c>
      <c r="E70" t="s">
        <v>40</v>
      </c>
    </row>
    <row r="71" spans="1:5" x14ac:dyDescent="0.25">
      <c r="C71" t="s">
        <v>35</v>
      </c>
    </row>
    <row r="72" spans="1:5" x14ac:dyDescent="0.25">
      <c r="C72" t="s">
        <v>111</v>
      </c>
    </row>
    <row r="73" spans="1:5" x14ac:dyDescent="0.25">
      <c r="C73" t="s">
        <v>136</v>
      </c>
      <c r="D73" t="s">
        <v>136</v>
      </c>
    </row>
    <row r="74" spans="1:5" x14ac:dyDescent="0.25">
      <c r="A74" t="s">
        <v>14</v>
      </c>
      <c r="B74" t="s">
        <v>67</v>
      </c>
      <c r="C74" t="s">
        <v>133</v>
      </c>
      <c r="D74" t="s">
        <v>26</v>
      </c>
      <c r="E74" t="s">
        <v>66</v>
      </c>
    </row>
    <row r="75" spans="1:5" x14ac:dyDescent="0.25">
      <c r="C75" t="s">
        <v>155</v>
      </c>
    </row>
    <row r="76" spans="1:5" x14ac:dyDescent="0.25">
      <c r="A76" t="s">
        <v>14</v>
      </c>
      <c r="B76" t="s">
        <v>155</v>
      </c>
      <c r="C76" t="s">
        <v>156</v>
      </c>
    </row>
    <row r="77" spans="1:5" x14ac:dyDescent="0.25">
      <c r="A77" t="s">
        <v>14</v>
      </c>
      <c r="B77" t="s">
        <v>70</v>
      </c>
      <c r="C77" t="s">
        <v>96</v>
      </c>
      <c r="E77" t="s">
        <v>72</v>
      </c>
    </row>
    <row r="78" spans="1:5" x14ac:dyDescent="0.25">
      <c r="C78" t="s">
        <v>97</v>
      </c>
      <c r="E78" t="s">
        <v>73</v>
      </c>
    </row>
    <row r="79" spans="1:5" x14ac:dyDescent="0.25">
      <c r="A79" t="s">
        <v>14</v>
      </c>
      <c r="B79" t="s">
        <v>71</v>
      </c>
      <c r="C79" t="s">
        <v>98</v>
      </c>
      <c r="E79" t="s">
        <v>74</v>
      </c>
    </row>
    <row r="80" spans="1:5" x14ac:dyDescent="0.25">
      <c r="C80" t="s">
        <v>2</v>
      </c>
    </row>
    <row r="81" spans="1:5" x14ac:dyDescent="0.25">
      <c r="C81" t="s">
        <v>75</v>
      </c>
    </row>
    <row r="82" spans="1:5" x14ac:dyDescent="0.25">
      <c r="C82" t="s">
        <v>68</v>
      </c>
      <c r="E82" t="s">
        <v>76</v>
      </c>
    </row>
    <row r="83" spans="1:5" x14ac:dyDescent="0.25">
      <c r="C83" t="s">
        <v>69</v>
      </c>
      <c r="E83" t="s">
        <v>77</v>
      </c>
    </row>
    <row r="84" spans="1:5" x14ac:dyDescent="0.25">
      <c r="C84" t="s">
        <v>99</v>
      </c>
      <c r="E84" t="s">
        <v>78</v>
      </c>
    </row>
    <row r="85" spans="1:5" x14ac:dyDescent="0.25">
      <c r="A85" t="s">
        <v>14</v>
      </c>
      <c r="B85" t="s">
        <v>79</v>
      </c>
      <c r="C85" t="s">
        <v>24</v>
      </c>
    </row>
    <row r="87" spans="1:5" x14ac:dyDescent="0.25">
      <c r="A87" t="s">
        <v>14</v>
      </c>
      <c r="B87" t="s">
        <v>34</v>
      </c>
      <c r="C87" t="s">
        <v>38</v>
      </c>
      <c r="E87" t="s">
        <v>53</v>
      </c>
    </row>
    <row r="88" spans="1:5" x14ac:dyDescent="0.25">
      <c r="A88" t="s">
        <v>14</v>
      </c>
      <c r="B88" t="s">
        <v>33</v>
      </c>
      <c r="C88" t="s">
        <v>37</v>
      </c>
      <c r="E88" t="s">
        <v>54</v>
      </c>
    </row>
    <row r="89" spans="1:5" x14ac:dyDescent="0.25">
      <c r="A89" t="s">
        <v>14</v>
      </c>
      <c r="B89" t="s">
        <v>35</v>
      </c>
      <c r="C89" t="s">
        <v>36</v>
      </c>
      <c r="E89" t="s">
        <v>55</v>
      </c>
    </row>
    <row r="90" spans="1:5" x14ac:dyDescent="0.25">
      <c r="A90" t="s">
        <v>14</v>
      </c>
      <c r="B90" t="s">
        <v>39</v>
      </c>
      <c r="C90" t="s">
        <v>93</v>
      </c>
      <c r="E90" t="s">
        <v>56</v>
      </c>
    </row>
    <row r="92" spans="1:5" x14ac:dyDescent="0.25">
      <c r="A92" t="s">
        <v>14</v>
      </c>
      <c r="B92" t="s">
        <v>111</v>
      </c>
      <c r="C92" t="s">
        <v>91</v>
      </c>
      <c r="E92" t="s">
        <v>82</v>
      </c>
    </row>
    <row r="93" spans="1:5" x14ac:dyDescent="0.25">
      <c r="C93" t="s">
        <v>161</v>
      </c>
    </row>
    <row r="94" spans="1:5" x14ac:dyDescent="0.25">
      <c r="C94" t="s">
        <v>39</v>
      </c>
      <c r="E94" t="s">
        <v>83</v>
      </c>
    </row>
    <row r="95" spans="1:5" x14ac:dyDescent="0.25">
      <c r="C95" t="s">
        <v>15</v>
      </c>
      <c r="E95" t="s">
        <v>153</v>
      </c>
    </row>
    <row r="96" spans="1:5" x14ac:dyDescent="0.25">
      <c r="A96" t="s">
        <v>14</v>
      </c>
      <c r="B96" t="s">
        <v>15</v>
      </c>
      <c r="C96" t="s">
        <v>157</v>
      </c>
    </row>
    <row r="97" spans="1:7" x14ac:dyDescent="0.25">
      <c r="C97" t="s">
        <v>3</v>
      </c>
      <c r="E97" t="s">
        <v>52</v>
      </c>
    </row>
    <row r="98" spans="1:7" x14ac:dyDescent="0.25">
      <c r="C98" t="s">
        <v>158</v>
      </c>
      <c r="E98" t="s">
        <v>100</v>
      </c>
    </row>
    <row r="99" spans="1:7" x14ac:dyDescent="0.25">
      <c r="C99" t="s">
        <v>4</v>
      </c>
      <c r="E99" t="s">
        <v>51</v>
      </c>
    </row>
    <row r="100" spans="1:7" x14ac:dyDescent="0.25">
      <c r="C100" t="s">
        <v>159</v>
      </c>
    </row>
    <row r="101" spans="1:7" x14ac:dyDescent="0.25">
      <c r="C101" t="s">
        <v>5</v>
      </c>
    </row>
    <row r="102" spans="1:7" x14ac:dyDescent="0.25">
      <c r="C102" t="s">
        <v>160</v>
      </c>
    </row>
    <row r="103" spans="1:7" x14ac:dyDescent="0.25">
      <c r="C103" t="s">
        <v>6</v>
      </c>
    </row>
    <row r="104" spans="1:7" x14ac:dyDescent="0.25">
      <c r="C104" t="s">
        <v>22</v>
      </c>
      <c r="E104" t="s">
        <v>85</v>
      </c>
    </row>
    <row r="105" spans="1:7" x14ac:dyDescent="0.25">
      <c r="C105" t="s">
        <v>92</v>
      </c>
      <c r="E105" t="s">
        <v>84</v>
      </c>
    </row>
    <row r="106" spans="1:7" x14ac:dyDescent="0.25">
      <c r="C106" t="s">
        <v>41</v>
      </c>
      <c r="E106" t="s">
        <v>81</v>
      </c>
    </row>
    <row r="107" spans="1:7" x14ac:dyDescent="0.25">
      <c r="A107" t="s">
        <v>14</v>
      </c>
      <c r="B107" t="s">
        <v>112</v>
      </c>
      <c r="C107" t="s">
        <v>116</v>
      </c>
    </row>
    <row r="108" spans="1:7" x14ac:dyDescent="0.25">
      <c r="C108" t="s">
        <v>3</v>
      </c>
      <c r="E108" t="s">
        <v>52</v>
      </c>
    </row>
    <row r="109" spans="1:7" x14ac:dyDescent="0.25">
      <c r="C109" t="s">
        <v>117</v>
      </c>
      <c r="E109" t="s">
        <v>100</v>
      </c>
    </row>
    <row r="110" spans="1:7" x14ac:dyDescent="0.25">
      <c r="C110" t="s">
        <v>113</v>
      </c>
      <c r="E110" t="s">
        <v>114</v>
      </c>
      <c r="G110" t="s">
        <v>115</v>
      </c>
    </row>
    <row r="111" spans="1:7" x14ac:dyDescent="0.25">
      <c r="C111" t="s">
        <v>118</v>
      </c>
    </row>
    <row r="112" spans="1:7" x14ac:dyDescent="0.25">
      <c r="C112" t="s">
        <v>5</v>
      </c>
    </row>
    <row r="113" spans="3:5" x14ac:dyDescent="0.25">
      <c r="C113" t="s">
        <v>119</v>
      </c>
    </row>
    <row r="114" spans="3:5" x14ac:dyDescent="0.25">
      <c r="C114" t="s">
        <v>6</v>
      </c>
    </row>
    <row r="115" spans="3:5" x14ac:dyDescent="0.25">
      <c r="C115" t="s">
        <v>22</v>
      </c>
      <c r="E115" t="s">
        <v>85</v>
      </c>
    </row>
    <row r="116" spans="3:5" x14ac:dyDescent="0.25">
      <c r="C116" t="s">
        <v>92</v>
      </c>
      <c r="E116" t="s">
        <v>120</v>
      </c>
    </row>
    <row r="117" spans="3:5" x14ac:dyDescent="0.25">
      <c r="C117" t="s">
        <v>41</v>
      </c>
      <c r="E117" t="s">
        <v>81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iCristal3 (2)</vt:lpstr>
      <vt:lpstr>ReadMe</vt:lpstr>
      <vt:lpstr>main</vt:lpstr>
      <vt:lpstr>iCristal3</vt:lpstr>
      <vt:lpstr>logon_OKTA</vt:lpstr>
      <vt:lpstr>Template</vt:lpstr>
      <vt:lpstr>cutofftime</vt:lpstr>
      <vt:lpstr>imageFolder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2022-11-19T17:25:41Z</dcterms:modified>
</cp:coreProperties>
</file>