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-Prefect-Test1\scripts\"/>
    </mc:Choice>
  </mc:AlternateContent>
  <xr:revisionPtr revIDLastSave="0" documentId="13_ncr:1_{1287431D-E643-4104-964B-516A64D33269}" xr6:coauthVersionLast="47" xr6:coauthVersionMax="47" xr10:uidLastSave="{00000000-0000-0000-0000-000000000000}"/>
  <bookViews>
    <workbookView xWindow="-120" yWindow="-120" windowWidth="29040" windowHeight="15840" tabRatio="895" activeTab="1" xr2:uid="{954C16AA-BDEF-4821-94B0-F20550CC4A36}"/>
  </bookViews>
  <sheets>
    <sheet name="ReadMe" sheetId="8" r:id="rId1"/>
    <sheet name="main" sheetId="4" r:id="rId2"/>
    <sheet name="main (backup)" sheetId="17" r:id="rId3"/>
    <sheet name="DClickMerch" sheetId="18" r:id="rId4"/>
    <sheet name="FoundationMarginReport" sheetId="16" r:id="rId5"/>
    <sheet name="FoundationRCReport" sheetId="20" r:id="rId6"/>
    <sheet name="AnaplanForecast" sheetId="19" r:id="rId7"/>
    <sheet name="ServiceNow" sheetId="14" r:id="rId8"/>
    <sheet name="ServiceNow (2)" sheetId="15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" i="17" l="1"/>
  <c r="J56" i="17"/>
  <c r="I56" i="17" s="1"/>
  <c r="E56" i="17"/>
  <c r="K55" i="17"/>
  <c r="J55" i="17"/>
  <c r="I55" i="17" s="1"/>
  <c r="E55" i="17"/>
  <c r="D54" i="17"/>
  <c r="E57" i="17" s="1"/>
  <c r="D53" i="17"/>
  <c r="K48" i="15"/>
  <c r="K44" i="15" s="1"/>
  <c r="I13" i="15"/>
  <c r="I12" i="15"/>
  <c r="I13" i="14"/>
  <c r="I12" i="14"/>
  <c r="F56" i="17" a="1"/>
  <c r="F57" i="17" a="1"/>
  <c r="F55" i="17" a="1"/>
  <c r="F55" i="17" l="1"/>
  <c r="F56" i="17"/>
  <c r="F57" i="17"/>
  <c r="G57" i="17" s="1" a="1"/>
  <c r="G57" i="17" s="1"/>
  <c r="D57" i="17" s="1"/>
  <c r="D27" i="4"/>
  <c r="D28" i="4"/>
  <c r="E29" i="4" s="1"/>
  <c r="G55" i="17" a="1"/>
  <c r="G56" i="17" a="1"/>
  <c r="F29" i="4" a="1"/>
  <c r="G56" i="17" l="1"/>
  <c r="D56" i="17" s="1"/>
  <c r="G55" i="17"/>
  <c r="D55" i="17" s="1"/>
  <c r="F29" i="4"/>
  <c r="G29" i="4" s="1" a="1"/>
  <c r="G29" i="4" s="1"/>
  <c r="D29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48" i="14"/>
  <c r="K44" i="14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<sst xmlns="http://schemas.openxmlformats.org/spreadsheetml/2006/main" count="3819" uniqueCount="932">
  <si>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</si>
  <si>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</si>
  <si>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</si>
  <si>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</si>
  <si>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</si>
  <si>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</si>
  <si>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</si>
  <si>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</si>
  <si>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</si>
  <si>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</si>
  <si>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</si>
  <si>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</si>
  <si>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</si>
  <si>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</si>
  <si>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</si>
  <si>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</si>
  <si>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</si>
  <si>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</si>
  <si>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</si>
  <si>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</si>
  <si>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</si>
  <si>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</si>
  <si>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</si>
  <si>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</si>
  <si>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</si>
  <si>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</si>
  <si>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</si>
  <si>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</si>
  <si>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</si>
  <si>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</si>
  <si>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</si>
  <si>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</si>
  <si>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</si>
  <si>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</si>
  <si>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</si>
  <si>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</si>
  <si>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</si>
  <si>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</si>
  <si>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</si>
  <si>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</si>
  <si>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</si>
  <si>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</si>
  <si>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</si>
  <si>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</si>
  <si>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</si>
  <si>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</si>
  <si>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</si>
  <si>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</si>
  <si>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</si>
  <si>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</si>
  <si>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</si>
  <si>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</si>
  <si>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</si>
  <si>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</si>
  <si>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</si>
  <si>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</si>
  <si>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</si>
  <si>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</si>
  <si>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</si>
  <si>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</si>
  <si>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</si>
  <si>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</si>
  <si>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</si>
  <si>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</si>
  <si>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</si>
  <si>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</si>
  <si>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</si>
  <si>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</si>
  <si>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</si>
  <si>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</si>
  <si>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</si>
  <si>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</si>
  <si>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</si>
  <si>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</si>
  <si>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</si>
  <si>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</si>
  <si>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</si>
  <si>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</si>
  <si>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</si>
  <si>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</si>
  <si>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</si>
  <si>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</si>
  <si>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</si>
  <si>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</si>
  <si>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</si>
  <si>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</si>
  <si>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</si>
  <si>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</si>
  <si>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</si>
  <si>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</si>
  <si>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</si>
  <si>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</si>
  <si>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</si>
  <si>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</si>
  <si>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</si>
  <si>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</si>
  <si>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</si>
  <si>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</si>
  <si>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</si>
  <si>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</si>
  <si>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</si>
  <si>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</si>
  <si>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</si>
  <si>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</si>
  <si>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</si>
  <si>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</si>
  <si>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</si>
  <si>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</si>
  <si>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</si>
  <si>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</si>
  <si>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</si>
  <si>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</si>
  <si>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</si>
  <si>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</si>
  <si>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</si>
  <si>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</si>
  <si>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</si>
  <si>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</si>
  <si>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</si>
  <si>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</si>
  <si>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</si>
  <si>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</si>
  <si>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</si>
  <si>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</si>
  <si>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</si>
  <si>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</si>
  <si>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</si>
  <si>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</si>
  <si>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</si>
  <si>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</si>
  <si>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</si>
  <si>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</si>
  <si>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</si>
  <si>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</si>
  <si>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</si>
  <si>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</si>
  <si>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</si>
  <si>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</si>
  <si>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</si>
  <si>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</si>
  <si>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</si>
  <si>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</si>
  <si>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</si>
  <si>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</si>
  <si>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</si>
  <si>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</si>
  <si>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</si>
  <si>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</si>
  <si>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</si>
  <si>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</si>
  <si>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</si>
  <si>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</si>
  <si>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</si>
  <si>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runModule:excelfile,sheet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</si>
  <si>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</si>
  <si>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</si>
  <si>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</si>
  <si>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</si>
  <si>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</si>
  <si>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</si>
  <si>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</si>
  <si>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</si>
  <si>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</si>
  <si>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</si>
  <si>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</si>
  <si>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</si>
  <si>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</si>
  <si>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</si>
  <si>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</si>
  <si>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</si>
  <si>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</si>
  <si>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</si>
  <si>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</si>
  <si>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</si>
  <si>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</si>
  <si>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</si>
  <si>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</si>
  <si>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</si>
  <si>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</si>
  <si>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</si>
  <si>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</si>
  <si>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</si>
  <si>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</si>
  <si>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</si>
  <si>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</si>
  <si>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</si>
  <si>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</si>
  <si>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</si>
  <si>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</si>
  <si>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</si>
  <si>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</si>
  <si>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</si>
  <si>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</si>
  <si>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</si>
  <si>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</si>
  <si>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</si>
  <si>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</si>
  <si>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</si>
  <si>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</si>
  <si>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</si>
  <si>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</si>
  <si>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</si>
  <si>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</si>
  <si>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</si>
  <si>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</si>
  <si>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</si>
  <si>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</si>
  <si>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</si>
  <si>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</si>
  <si>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</si>
  <si>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</si>
  <si>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</si>
  <si>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</si>
  <si>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</si>
  <si>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</si>
  <si>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</si>
  <si>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</si>
  <si>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</si>
  <si>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</si>
  <si>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</si>
  <si>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</si>
  <si>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</si>
  <si>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</si>
  <si>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</si>
  <si>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</si>
  <si>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</si>
  <si>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</si>
  <si>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</si>
  <si>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</si>
  <si>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</si>
  <si>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</si>
  <si>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</si>
  <si>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</si>
  <si>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</si>
  <si>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</si>
  <si>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</si>
  <si>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</si>
  <si>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</si>
  <si>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</si>
  <si>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</si>
  <si>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</si>
  <si>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</si>
  <si>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</si>
  <si>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</si>
  <si>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</si>
  <si>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</si>
  <si>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</si>
  <si>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</si>
  <si>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</si>
  <si>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</si>
  <si>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</si>
  <si>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</si>
  <si>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</si>
  <si>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</si>
  <si>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</si>
  <si>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</si>
  <si>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</si>
  <si>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</si>
  <si>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</si>
  <si>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</si>
  <si>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</si>
  <si>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</si>
  <si>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</si>
  <si>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</si>
  <si>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</si>
  <si>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</si>
  <si>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</si>
  <si>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</si>
  <si>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</si>
  <si>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</si>
  <si>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</si>
  <si>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</si>
  <si>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</si>
  <si>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</si>
  <si>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</si>
  <si>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</si>
  <si>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</si>
  <si>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</si>
  <si>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</si>
  <si>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</si>
  <si>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</si>
  <si>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</si>
  <si>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</si>
  <si>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</si>
  <si>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</si>
  <si>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</si>
  <si>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</si>
  <si>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</si>
  <si>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</si>
  <si>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</si>
  <si>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</si>
  <si>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</si>
  <si>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</si>
  <si>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</si>
  <si>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</si>
  <si>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</si>
  <si>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</si>
  <si>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</si>
  <si>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</si>
  <si>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</si>
  <si>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</si>
  <si>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</si>
  <si>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</si>
  <si>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</si>
  <si>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</si>
  <si>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</si>
  <si>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</si>
  <si>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</si>
  <si>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</si>
  <si>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</si>
  <si>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</si>
  <si>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</si>
  <si>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</si>
  <si>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</si>
  <si>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</si>
  <si>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</si>
  <si>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</si>
  <si>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</si>
  <si>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</si>
  <si>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</si>
  <si>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</si>
  <si>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</si>
  <si>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</si>
  <si>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</si>
  <si>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</si>
  <si>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</si>
  <si>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</si>
  <si>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</si>
  <si>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</si>
  <si>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</si>
  <si>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</si>
  <si>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</si>
  <si>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</si>
  <si>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</si>
  <si>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</si>
  <si>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</si>
  <si>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</si>
  <si>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</si>
  <si>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</si>
  <si>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</si>
  <si>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</si>
  <si>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</si>
  <si>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</si>
  <si>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</si>
  <si>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</si>
  <si>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</si>
  <si>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</si>
  <si>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</si>
  <si>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</si>
  <si>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</si>
  <si>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</si>
  <si>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</si>
  <si>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</si>
  <si>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</si>
  <si>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</si>
  <si>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</si>
  <si>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</si>
  <si>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</si>
  <si>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</si>
  <si>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</si>
  <si>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</si>
  <si>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</si>
  <si>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</si>
  <si>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</si>
  <si>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</si>
  <si>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</si>
  <si>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</si>
  <si>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</si>
  <si>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</si>
  <si>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</si>
  <si>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</si>
  <si>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</si>
  <si>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</si>
  <si>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</si>
  <si>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</si>
  <si>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</si>
  <si>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</si>
  <si>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</si>
  <si>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</si>
  <si>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</si>
  <si>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</si>
  <si>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</si>
  <si>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</si>
  <si>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</si>
  <si>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</si>
  <si>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</si>
  <si>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</si>
  <si>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</si>
  <si>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</si>
  <si>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</si>
  <si>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</si>
  <si>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</si>
  <si>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</si>
  <si>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</si>
  <si>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</si>
  <si>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</si>
  <si>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</si>
  <si>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</si>
  <si>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</si>
  <si>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</si>
  <si>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</si>
  <si>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</si>
  <si>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</si>
  <si>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</si>
  <si>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runModule:,iCristal2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</si>
  <si>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</si>
  <si>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</si>
  <si>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</si>
  <si>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</si>
  <si>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</si>
  <si>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</si>
  <si>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</si>
  <si>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</si>
  <si>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</si>
  <si>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</si>
  <si>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</si>
  <si>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</si>
  <si>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</si>
  <si>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</si>
  <si>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</si>
  <si>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</si>
  <si>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</si>
  <si>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</si>
  <si>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</si>
  <si>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</si>
  <si>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</si>
  <si>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</si>
  <si>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</si>
  <si>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</si>
  <si>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</si>
  <si>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</si>
  <si>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</si>
  <si>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</si>
  <si>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</si>
  <si>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</si>
  <si>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</si>
  <si>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</si>
  <si>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</si>
  <si>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</si>
  <si>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</si>
  <si>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</si>
  <si>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</si>
  <si>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</si>
  <si>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</si>
  <si>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</si>
  <si>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</si>
  <si>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</si>
  <si>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</si>
  <si>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</si>
  <si>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</si>
  <si>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</si>
  <si>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</si>
  <si>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</si>
  <si>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</si>
  <si>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</si>
  <si>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</si>
  <si>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</si>
  <si>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</si>
  <si>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</si>
  <si>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</si>
  <si>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</si>
  <si>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</si>
  <si>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</si>
  <si>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</si>
  <si>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</si>
  <si>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</si>
  <si>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</si>
  <si>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</si>
  <si>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</si>
  <si>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</si>
  <si>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</si>
  <si>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</si>
  <si>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</si>
  <si>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</si>
  <si>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</si>
  <si>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</si>
  <si>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</si>
  <si>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</si>
  <si>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</si>
  <si>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</si>
  <si>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</si>
  <si>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</si>
  <si>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</si>
  <si>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</si>
  <si>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</si>
  <si>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</si>
  <si>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</si>
  <si>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</si>
  <si>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</si>
  <si>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</si>
  <si>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</si>
  <si>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</si>
  <si>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</si>
  <si>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</si>
  <si>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</si>
  <si>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</si>
  <si>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</si>
  <si>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</si>
  <si>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</si>
  <si>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</si>
  <si>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</si>
  <si>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</si>
  <si>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</si>
  <si>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</si>
  <si>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</si>
  <si>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</si>
  <si>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</si>
  <si>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</si>
  <si>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</si>
  <si>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</si>
  <si>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</si>
  <si>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</si>
  <si>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</si>
  <si>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</si>
  <si>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</si>
  <si>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</si>
  <si>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</si>
  <si>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</si>
  <si>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</si>
  <si>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</si>
  <si>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</si>
  <si>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</si>
  <si>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runPowerShellScript:Script</t>
  </si>
  <si>
    <t>runBatchScript:Script, WorkingDir</t>
  </si>
  <si>
    <t>samplePSScript</t>
  </si>
  <si>
    <t>runPowerShellScript:.\AddOn\syncfiles.bat</t>
  </si>
  <si>
    <t>syncs files from D:\Dclick\Output to onedrive</t>
  </si>
  <si>
    <t>runPowerShellScript:.\AddOn\runVBA_Email.ps1</t>
  </si>
  <si>
    <t>runPowerShellScript:.\AddOn\cleanProcesses.ps1 -msg " Testing ABC v5 " -cleanName notepad, Calculator -cleanWinTitle NONE</t>
  </si>
  <si>
    <t>clean processes</t>
  </si>
  <si>
    <t>runPowerShellScript:&lt;Script&gt;</t>
  </si>
  <si>
    <t>Email jobs</t>
  </si>
  <si>
    <t>runPowerShellScript:.\AddOn\syncFolders.ps1 -source "D:\DClick\Output\Images" -dest "D:\OneDrive-Sync\Christian Dior Couture\APAC Management - Reports - Reports" -files "*.png"</t>
  </si>
  <si>
    <t>D:\DClick\AddOn\vba_test.xlsm</t>
  </si>
  <si>
    <t>syncFolderSource</t>
  </si>
  <si>
    <t>syncFolderDest</t>
  </si>
  <si>
    <t>D:\DClick\Output\Images</t>
  </si>
  <si>
    <t>runPowerShellScript:.\AddOn\syncFolders.ps1 -source "&lt;syncFolderSource&gt;" -dest "&lt;syncFolderDest&gt;" -files "*.png"</t>
  </si>
  <si>
    <t>D:\OneDrive-Sync\Christian Dior Couture\APAC Management - Reports - Reports\DClick\Images</t>
  </si>
  <si>
    <t>mainTest</t>
  </si>
  <si>
    <t>closeRPA:</t>
  </si>
  <si>
    <t>Clears any previous open chrome, excel etc</t>
  </si>
  <si>
    <t>Initialize RPA browser</t>
  </si>
  <si>
    <t>Close RPA browser</t>
  </si>
  <si>
    <t>version</t>
  </si>
  <si>
    <t>print:***** START RPA ****** | browserDisable: &lt;browserDisable&gt; | version : &lt;version&gt;</t>
  </si>
  <si>
    <t>Sync logs</t>
  </si>
  <si>
    <t>Syn output images</t>
  </si>
  <si>
    <t>D:\DClick\log</t>
  </si>
  <si>
    <t>SourceLog</t>
  </si>
  <si>
    <t>DestLog</t>
  </si>
  <si>
    <t>initializeRPA:</t>
  </si>
  <si>
    <t>Sync Dclick</t>
  </si>
  <si>
    <t>SourceDClick</t>
  </si>
  <si>
    <t>D:\DClick\Output</t>
  </si>
  <si>
    <t>D:\OneDrive-Sync\Christian Dior Couture\APAC Management - Reports - Reports\DClick</t>
  </si>
  <si>
    <t>D:\OneDrive-Sync\Christian Dior Couture\APAC Management - Reports - Reports\log\DClick</t>
  </si>
  <si>
    <t>DestDClick</t>
  </si>
  <si>
    <t>print:***** COMPLETE RPA ******</t>
  </si>
  <si>
    <t>ScriptDir</t>
  </si>
  <si>
    <t>D:\Dclick\AddOn</t>
  </si>
  <si>
    <t>ScriptLogFile</t>
  </si>
  <si>
    <t>D:\DClick\log\process.txt</t>
  </si>
  <si>
    <t xml:space="preserve">rem:runPowerShellScript:.\AddOn\runVBA_Email.ps1 -scriptDir &lt;ScriptDir&gt; -logFile &lt;ScriptLogFile&gt; 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</si>
  <si>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</si>
  <si>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</si>
  <si>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</si>
  <si>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</si>
  <si>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</si>
  <si>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</si>
  <si>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</si>
  <si>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</si>
  <si>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</si>
  <si>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</si>
  <si>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</si>
  <si>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</si>
  <si>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</si>
  <si>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</si>
  <si>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</si>
  <si>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</si>
  <si>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</si>
  <si>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</si>
  <si>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</si>
  <si>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</si>
  <si>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</si>
  <si>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</si>
  <si>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</si>
  <si>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</si>
  <si>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</si>
  <si>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</si>
  <si>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</si>
  <si>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</si>
  <si>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</si>
  <si>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</si>
  <si>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</si>
  <si>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</si>
  <si>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</si>
  <si>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</si>
  <si>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</si>
  <si>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</si>
  <si>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</si>
  <si>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</si>
  <si>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</si>
  <si>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</si>
  <si>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</si>
  <si>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</si>
  <si>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</si>
  <si>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</si>
  <si>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</si>
  <si>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</si>
  <si>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</si>
  <si>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</si>
  <si>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</si>
  <si>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</si>
  <si>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</si>
  <si>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</si>
  <si>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</si>
  <si>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</si>
  <si>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</si>
  <si>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</si>
  <si>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</si>
  <si>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</si>
  <si>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</si>
  <si>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</si>
  <si>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</si>
  <si>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</si>
  <si>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</si>
  <si>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</si>
  <si>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</si>
  <si>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</si>
  <si>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</si>
  <si>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</si>
  <si>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</si>
  <si>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</si>
  <si>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</si>
  <si>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</si>
  <si>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</si>
  <si>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</si>
  <si>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</si>
  <si>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</si>
  <si>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</si>
  <si>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</si>
  <si>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</si>
  <si>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</si>
  <si>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</si>
  <si>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</si>
  <si>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</si>
  <si>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</si>
  <si>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</si>
  <si>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</si>
  <si>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</si>
  <si>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</si>
  <si>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</si>
  <si>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</si>
  <si>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</si>
  <si>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</si>
  <si>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</si>
  <si>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</si>
  <si>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</si>
  <si>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</si>
  <si>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</si>
  <si>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</si>
  <si>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</si>
  <si>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</si>
  <si>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</si>
  <si>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DestiCristal</t>
  </si>
  <si>
    <t>SourceiCristal</t>
  </si>
  <si>
    <t>D:\OneDrive-Sync\Christian Dior Couture\APAC Management - Reports - Reports\iCristal</t>
  </si>
  <si>
    <t>runPowerShellScript:.\AddOn\syncFolders.ps1 -source "&lt;SourceiCristal&gt;" -dest "&lt;DestiCristal&gt;" -files "iCristalReport*.pdf"</t>
  </si>
  <si>
    <t>runModule:,ServiceNow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</si>
  <si>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</si>
  <si>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</si>
  <si>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</si>
  <si>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</si>
  <si>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</si>
  <si>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</si>
  <si>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</si>
  <si>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</si>
  <si>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</si>
  <si>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</si>
  <si>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</si>
  <si>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</si>
  <si>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</si>
  <si>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</si>
  <si>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</si>
  <si>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</si>
  <si>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</si>
  <si>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</si>
  <si>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</si>
  <si>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</si>
  <si>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</si>
  <si>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</si>
  <si>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</si>
  <si>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</si>
  <si>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</si>
  <si>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</si>
  <si>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</si>
  <si>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</si>
  <si>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</si>
  <si>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</si>
  <si>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</si>
  <si>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</si>
  <si>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</si>
  <si>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</si>
  <si>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</si>
  <si>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</si>
  <si>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</si>
  <si>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</si>
  <si>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</si>
  <si>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</si>
  <si>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</si>
  <si>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</si>
  <si>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</si>
  <si>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</si>
  <si>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</si>
  <si>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</si>
  <si>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Sync iCristal</t>
  </si>
  <si>
    <t>wait:3</t>
  </si>
  <si>
    <t>give sufficient wait for loading before snap</t>
  </si>
  <si>
    <t>rem:logon_OKTA</t>
  </si>
  <si>
    <t>moved OKTA logon to main sheet</t>
  </si>
  <si>
    <t>SourceImagesDClick</t>
  </si>
  <si>
    <t>DestImagesDClick</t>
  </si>
  <si>
    <t>SourceImagesiCristal</t>
  </si>
  <si>
    <t>DestImagesiCristal</t>
  </si>
  <si>
    <t>D:\OneDrive-Sync\Christian Dior Couture\APAC Management - Reports - Reports\iCristal\Images</t>
  </si>
  <si>
    <t>D:\DClick\Output\Images\iCristal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</si>
  <si>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</si>
  <si>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</si>
  <si>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</si>
  <si>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</si>
  <si>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</si>
  <si>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</si>
  <si>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runModule:,DCLICK2</t>
  </si>
  <si>
    <t>runPowerShellScript:.\AddOn\syncFolders.ps1 -source "&lt;SourceDClick&gt;" -dest "&lt;DestDClick&gt;" -files "APAC_Daily_Sales*.pdf"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</si>
  <si>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</si>
  <si>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</si>
  <si>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</si>
  <si>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</si>
  <si>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runDClick</t>
  </si>
  <si>
    <t>runiCristal</t>
  </si>
  <si>
    <t>runServiceNow</t>
  </si>
  <si>
    <t>Files to check</t>
  </si>
  <si>
    <t>Exist</t>
  </si>
  <si>
    <t>ModifiedDatetime</t>
  </si>
  <si>
    <t>Today</t>
  </si>
  <si>
    <t>if:&lt;runDClick&gt;:runDClick</t>
  </si>
  <si>
    <t>if:&lt;runServiceNow&gt;:runServiceNow</t>
  </si>
  <si>
    <t>NowTime</t>
  </si>
  <si>
    <t>print:***** RUN SERVICENOW ****** | runServiceNow: &lt;runServiceNow&gt; | NowTime: &lt;NowTime&gt;</t>
  </si>
  <si>
    <t>if:&lt;runiCristal&gt;:runiCristal</t>
  </si>
  <si>
    <t>Moved to main sheet</t>
  </si>
  <si>
    <t>snap:log,</t>
  </si>
  <si>
    <t>snap:page or log,&lt;saveFile&gt;.  log - saves a snapshot to log folder for troubleshooting</t>
  </si>
  <si>
    <t>wait:2,dashboard-my-apps-title,logon_OKTA2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</si>
  <si>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</si>
  <si>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</si>
  <si>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</si>
  <si>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</si>
  <si>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</si>
  <si>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</si>
  <si>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</si>
  <si>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</si>
  <si>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</si>
  <si>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</si>
  <si>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</si>
  <si>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</si>
  <si>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</si>
  <si>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</si>
  <si>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</si>
  <si>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</si>
  <si>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</si>
  <si>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</si>
  <si>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</si>
  <si>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</si>
  <si>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</si>
  <si>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</si>
  <si>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</si>
  <si>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</si>
  <si>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</si>
  <si>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</si>
  <si>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</si>
  <si>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</si>
  <si>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</si>
  <si>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</si>
  <si>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</si>
  <si>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</si>
  <si>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</si>
  <si>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</si>
  <si>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</si>
  <si>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</si>
  <si>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</si>
  <si>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</si>
  <si>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</si>
  <si>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</si>
  <si>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</si>
  <si>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rem:snap:log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</si>
  <si>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</si>
  <si>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</si>
  <si>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</si>
  <si>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</si>
  <si>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</si>
  <si>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</si>
  <si>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</si>
  <si>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</si>
  <si>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</si>
  <si>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</si>
  <si>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</si>
  <si>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runPowerShellScript:.\AddOn\syncFolders.ps1 -source "&lt;DestImagesDClick&gt;" -dest "&lt;SourceImagesDClick&gt;" -files "*.png"</t>
  </si>
  <si>
    <t>runPowerShellScript:.\AddOn\syncFolders.ps1 -source "&lt;DestDClick&gt;" -dest "&lt;SourceDClick&gt;" -files "APAC_Daily_Sales*.pdf"</t>
  </si>
  <si>
    <t>runPowerShellScript:.\AddOn\syncFolders.ps1 -source "&lt;DestiCristal&gt;" -dest "&lt;SourceiCristal&gt;" -files "iCristalReport*.pdf"</t>
  </si>
  <si>
    <t>runPowerShellScript:.\AddOn\syncFolders.ps1 -source "&lt;DestImagesiCristal&gt;" -dest "&lt;SourceImagesiCristal&gt;" -files "*.png"</t>
  </si>
  <si>
    <t>runPowerShellScript:.\AddOn\syncFolders.ps1 -source "&lt;DestLog&gt;" -dest "&lt;SourceLog&gt;" -files "*.*"</t>
  </si>
  <si>
    <t>D:/OneDrive-Sync/Christian Dior Couture/APAC Management - Reports - Reports/DClick/Images/</t>
  </si>
  <si>
    <t>main-test2</t>
  </si>
  <si>
    <t>runPowerShellScript:.\AddOn\cleanProcesses.ps1 -msg " START RPA " -logFile "&lt;DestLog&gt;\process.txt"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</si>
  <si>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</si>
  <si>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</si>
  <si>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</si>
  <si>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</si>
  <si>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</si>
  <si>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</si>
  <si>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</si>
  <si>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</si>
  <si>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</si>
  <si>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</si>
  <si>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</si>
  <si>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</si>
  <si>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</si>
  <si>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</si>
  <si>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</si>
  <si>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</si>
  <si>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</si>
  <si>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</si>
  <si>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</si>
  <si>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</si>
  <si>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</si>
  <si>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</si>
  <si>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</si>
  <si>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</si>
  <si>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</si>
  <si>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</si>
  <si>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</si>
  <si>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</si>
  <si>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</si>
  <si>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rem:runModule:,ServiceNow</t>
  </si>
  <si>
    <t>runModule:,FoundationReport</t>
  </si>
  <si>
    <t>rem:runPowerShellScript:.\AddOn\syncFolders.ps1 -source "&lt;DestLog&gt;" -dest "&lt;SourceLog&gt;" -files "*.*"</t>
  </si>
  <si>
    <t>rem:runPowerShellScript:.\AddOn\cleanProcesses.ps1 -msg " START RPA " -logFile "&lt;DestLog&gt;\process.txt"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</si>
  <si>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</si>
  <si>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</si>
  <si>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</si>
  <si>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</si>
  <si>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</si>
  <si>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</si>
  <si>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</si>
  <si>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</si>
  <si>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</si>
  <si>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</si>
  <si>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</si>
  <si>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</si>
  <si>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</si>
  <si>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</si>
  <si>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</si>
  <si>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</si>
  <si>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renameRecentDownloadFile:&lt;URL_pages:key&gt;,_&lt;todayYYYYMMDD&gt;_&lt;now_hhmmss&gt;,./,&lt;oneDriveFolder&gt;/Output/,xlsx,120</t>
  </si>
  <si>
    <t>chooseSelections, wait:1</t>
  </si>
  <si>
    <t>runFundationMarginReport</t>
  </si>
  <si>
    <t>WHB_2022H2</t>
  </si>
  <si>
    <t>https://qliksense.eu.dior.fashion/sense/app/70c92b52-3e94-4802-994c-5cfdec371d4a/sheet/9fc280e5-4bc2-48a8-a3d8-c035eb5cf00a/state/analysis/bookmark/c31d836d-c837-4c5b-94cc-273f30795b71</t>
  </si>
  <si>
    <t>networkDriveFolder</t>
  </si>
  <si>
    <t>P:/Merchandising/DiorLadies/1 Supply Chain Sharing/17 Data File/DClick Files WHB/</t>
  </si>
  <si>
    <t>rem:copyFile:&lt;outputFolder&gt;&lt;saveFile&gt;_&lt;yesterdayYYYYMMDD&gt;.xlsx,&lt;oneDriveFolder&gt;&lt;saveFile&gt;_&lt;yesterdayYYYYMMDD&gt;.xlsx</t>
  </si>
  <si>
    <t>wait:30,//button[@title="Navigation"],openPages</t>
  </si>
  <si>
    <t>rem:clkUnits</t>
  </si>
  <si>
    <t>rem:DownloadImage</t>
  </si>
  <si>
    <t>rem:renameRecentDownloadFile:,_Units,,&lt;imageFolder&gt;,png,120</t>
  </si>
  <si>
    <t>rclkCreationCollection</t>
  </si>
  <si>
    <t>rclick://span[text()="Creation Collection"]</t>
  </si>
  <si>
    <t>Right Click Creation Collection</t>
  </si>
  <si>
    <t>wait:30,//span[text()="Creation Collection"]</t>
  </si>
  <si>
    <t>wait:15,Download as,DownloadImage</t>
  </si>
  <si>
    <t>wait:30,Data,DownloadImage</t>
  </si>
  <si>
    <t>Data</t>
  </si>
  <si>
    <t>wait:30,Click here to download,DownloadImage</t>
  </si>
  <si>
    <t>wait:30</t>
  </si>
  <si>
    <t>wait:15,LVMH Group - Sign In,logon_OKTA,3</t>
  </si>
  <si>
    <t>renameRecentDownloadFile:&lt;URL_Dclick_Pages:key&gt;,,,&lt;outputFolder&gt;,xlsx,600</t>
  </si>
  <si>
    <t>excelFile</t>
  </si>
  <si>
    <t>runExcelMacro:&lt;excelFile&gt;,&lt;excelMacro&gt;</t>
  </si>
  <si>
    <t>rem:iterate: URL_Dclick_Pages , openPages</t>
  </si>
  <si>
    <t>rem:logon_DCLICK</t>
  </si>
  <si>
    <t>All_Category_Weekly_Report_Cody_testing_automation.xlsm!Module1.refreshData</t>
  </si>
  <si>
    <t>C:\Python\DClick\All_Category_Weekly_Report_Cody_testing_automation.xlsm</t>
  </si>
  <si>
    <t>Anaplan_Item_Master</t>
  </si>
  <si>
    <t>https://us1a.app.anaplan.com/a/apps/app/9269347b-4e8a-4439-996a-797443e4bbd1/worksheets/3c32a600-b7f0-4704-a9c9-22196bed5ca3</t>
  </si>
  <si>
    <t>url:Anaplan_Item_Master</t>
  </si>
  <si>
    <t>wait:15,./RPA/AnaplanForecast/Continue.PNG,logon_APP</t>
  </si>
  <si>
    <t>rem:logon_APP</t>
  </si>
  <si>
    <t>rem:runModule:,DClickMerch</t>
  </si>
  <si>
    <t>DownloadItemMaster</t>
  </si>
  <si>
    <t>rem:keyboard:[esc][esc]</t>
  </si>
  <si>
    <t>wait:30,//span[text()="To Forecast Final"]</t>
  </si>
  <si>
    <t>print:**** ANAPLAN FORECAST MAIN****** | saveFile: &lt;saveFile&gt; | iterationCount: &lt;iterationCount&gt;</t>
  </si>
  <si>
    <t>https://bi-retail-report-shopindior-ap-jp.eu.dior.fashion/Reports/report/DIOR/Reception%20control</t>
  </si>
  <si>
    <t>./RPA/foundationReport/previousDay.PNG</t>
  </si>
  <si>
    <t>wait:10,./RPA/foundationReport/paginatedReports.PNG,logon_APP</t>
  </si>
  <si>
    <t>./RPA/foundationReport/selectionHKG.PNG</t>
  </si>
  <si>
    <t>./RPA/foundationReport/scrollDown.PNG</t>
  </si>
  <si>
    <t>./RPA/foundationReport/selectionMAC.PNG</t>
  </si>
  <si>
    <t>wait:30, &lt;URL_settings:key&gt;</t>
  </si>
  <si>
    <t>wait:120</t>
  </si>
  <si>
    <t>outputTempFolder</t>
  </si>
  <si>
    <t>./Output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</si>
  <si>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</si>
  <si>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</si>
  <si>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</si>
  <si>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</si>
  <si>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</si>
  <si>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</si>
  <si>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renameRecentDownloadFile:&lt;URL_pages:key&gt;,,./,&lt;outputTempFolder&gt;/,xlsx,600</t>
  </si>
  <si>
    <t>M:/Supply Chain and Logistics/Logistics/Reception Control HK/Data</t>
  </si>
  <si>
    <t>waitDisappear:500,./RPA/foundationReport/waitLoading.PNG</t>
  </si>
  <si>
    <t>wait for until loading to complete.  Timeout in 500 sec.</t>
  </si>
  <si>
    <t>wait:120,FILE=C:/Users/svc_supplychain/Downloads|Reception*.xlsx|60</t>
  </si>
  <si>
    <t>wait:120,FILE=./|Reception*.xlsx|60</t>
  </si>
  <si>
    <t>Don't leave spaces in the name - its used for the output file name</t>
  </si>
  <si>
    <t>renameRecentDownloadFile:saveName,saveName_suffix,sourcePath,targetPath,fileExtension,withinLastSec</t>
  </si>
  <si>
    <t>Reception control</t>
  </si>
  <si>
    <t>runModule:FoundationRCReport</t>
  </si>
  <si>
    <t>wait:10, LVMH Group - Sign In, logon_OKTA,3</t>
  </si>
  <si>
    <t>wait:15,dashboard-my-apps-title,logon_OKTA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</si>
</sst>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18" fontId="0" fillId="0" borderId="0" xfId="0" applyNumberFormat="1"/>
    <xf numFmtId="0" fontId="0" fillId="3" borderId="0" xfId="0" applyFill="1"/>
    <xf numFmtId="0" fontId="0" fillId="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DCLICK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bi-retail-report-shopindior-ap-jp.eu.dior.fashion/Reports/browse/DIOR" TargetMode="External"/><Relationship Id="rId4" Type="http://schemas.openxmlformats.org/officeDocument/2006/relationships/hyperlink" Target="https://bi-retail-report-shopindior-ap-jp.eu.dior.fashion/Reports/report/DIOR/Margin%20report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DCLICK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bi-retail-report-shopindior-ap-jp.eu.dior.fashion/Reports/report/DIOR/Reception%20control" TargetMode="External"/><Relationship Id="rId4" Type="http://schemas.openxmlformats.org/officeDocument/2006/relationships/hyperlink" Target="https://bi-retail-report-shopindior-ap-jp.eu.dior.fashion/Reports/browse/DIOR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%3cURL_pages:key%3e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DCLICK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389</v>
      </c>
    </row>
    <row r="2" spans="1:3">
      <c r="A2" t="s">
        <v>387</v>
      </c>
    </row>
    <row r="3" spans="1:3">
      <c r="A3" t="s">
        <v>388</v>
      </c>
    </row>
    <row r="4" spans="1:3">
      <c r="A4" t="s">
        <v>390</v>
      </c>
    </row>
    <row r="5" spans="1:3">
      <c r="A5" t="s">
        <v>391</v>
      </c>
    </row>
    <row r="6" spans="1:3">
      <c r="A6" t="s">
        <v>838</v>
      </c>
    </row>
    <row r="7" spans="1:3">
      <c r="A7" t="s">
        <v>392</v>
      </c>
      <c r="C7" t="s">
        <v>393</v>
      </c>
    </row>
    <row r="8" spans="1:3">
      <c r="A8" t="s">
        <v>394</v>
      </c>
      <c r="C8" t="s">
        <v>396</v>
      </c>
    </row>
    <row r="9" spans="1:3">
      <c r="A9" t="s">
        <v>395</v>
      </c>
      <c r="C9" t="s">
        <v>397</v>
      </c>
    </row>
    <row r="12" spans="1:3">
      <c r="A12" s="3" t="s">
        <v>485</v>
      </c>
    </row>
    <row r="13" spans="1:3">
      <c r="A13" s="3" t="s">
        <v>487</v>
      </c>
    </row>
    <row r="14" spans="1:3">
      <c r="A14" t="s">
        <v>490</v>
      </c>
      <c r="B14" t="s">
        <v>500</v>
      </c>
    </row>
    <row r="15" spans="1:3">
      <c r="A15" t="s">
        <v>486</v>
      </c>
      <c r="B15" t="s">
        <v>501</v>
      </c>
    </row>
    <row r="16" spans="1:3">
      <c r="A16" t="s">
        <v>483</v>
      </c>
      <c r="B16" t="s">
        <v>502</v>
      </c>
    </row>
    <row r="17" spans="1:2">
      <c r="A17" t="s">
        <v>484</v>
      </c>
      <c r="B17" t="s">
        <v>503</v>
      </c>
    </row>
    <row r="20" spans="1:2">
      <c r="A20" t="s">
        <v>488</v>
      </c>
      <c r="B20" t="s">
        <v>497</v>
      </c>
    </row>
    <row r="21" spans="1:2">
      <c r="B21" s="2" t="s">
        <v>519</v>
      </c>
    </row>
    <row r="22" spans="1:2">
      <c r="A22" t="s">
        <v>489</v>
      </c>
      <c r="B22" t="s">
        <v>498</v>
      </c>
    </row>
    <row r="25" spans="1:2">
      <c r="A25" s="3" t="s">
        <v>506</v>
      </c>
    </row>
    <row r="26" spans="1:2">
      <c r="A26" t="s">
        <v>507</v>
      </c>
      <c r="B26" t="s">
        <v>516</v>
      </c>
    </row>
    <row r="27" spans="1:2">
      <c r="A27" t="s">
        <v>508</v>
      </c>
      <c r="B27" t="s">
        <v>514</v>
      </c>
    </row>
    <row r="28" spans="1:2">
      <c r="A28" t="s">
        <v>509</v>
      </c>
      <c r="B28" t="s">
        <v>515</v>
      </c>
    </row>
    <row r="29" spans="1:2">
      <c r="A29" t="s">
        <v>511</v>
      </c>
      <c r="B29" t="s">
        <v>517</v>
      </c>
    </row>
    <row r="30" spans="1:2">
      <c r="A30" t="s">
        <v>510</v>
      </c>
      <c r="B30" t="s">
        <v>518</v>
      </c>
    </row>
    <row r="31" spans="1:2">
      <c r="A31" t="s">
        <v>512</v>
      </c>
      <c r="B31" t="s">
        <v>513</v>
      </c>
    </row>
    <row r="32" spans="1:2">
      <c r="A32" t="s">
        <v>520</v>
      </c>
      <c r="B32" t="s">
        <v>521</v>
      </c>
    </row>
    <row r="33" spans="1:2">
      <c r="A33" s="8" t="s">
        <v>495</v>
      </c>
      <c r="B33" t="s">
        <v>496</v>
      </c>
    </row>
    <row r="34" spans="1:2">
      <c r="A34" s="8" t="s">
        <v>491</v>
      </c>
      <c r="B34" t="s">
        <v>499</v>
      </c>
    </row>
    <row r="35" spans="1:2">
      <c r="A35" s="8" t="s">
        <v>492</v>
      </c>
      <c r="B35" t="s">
        <v>504</v>
      </c>
    </row>
    <row r="36" spans="1:2">
      <c r="A36" s="8" t="s">
        <v>493</v>
      </c>
      <c r="B36" t="s">
        <v>505</v>
      </c>
    </row>
    <row r="37" spans="1:2">
      <c r="A37" s="8" t="s">
        <v>494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71"/>
  <sheetViews>
    <sheetView tabSelected="1" topLeftCell="A37" zoomScale="85" zoomScaleNormal="85" workbookViewId="0">
      <selection activeCell="D50" sqref="D50"/>
    </sheetView>
  </sheetViews>
  <sheetFormatPr defaultRowHeight="15"/>
  <cols>
    <col min="2" max="2" width="26" bestFit="1" customWidth="1"/>
    <col min="3" max="3" width="35.85546875" customWidth="1"/>
    <col min="4" max="4" width="47.5703125" customWidth="1"/>
    <col min="5" max="5" width="53.28515625" customWidth="1"/>
    <col min="7" max="7" width="17.28515625" customWidth="1"/>
    <col min="11" max="11" width="9.7109375" bestFit="1" customWidth="1"/>
  </cols>
  <sheetData>
    <row r="1" spans="1:9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9">
      <c r="A2" t="s">
        <v>16</v>
      </c>
      <c r="B2" t="s">
        <v>25</v>
      </c>
      <c r="C2" t="s">
        <v>545</v>
      </c>
    </row>
    <row r="3" spans="1:9">
      <c r="C3" s="15" t="s">
        <v>551</v>
      </c>
      <c r="E3" t="s">
        <v>542</v>
      </c>
    </row>
    <row r="4" spans="1:9">
      <c r="C4" s="15" t="s">
        <v>431</v>
      </c>
    </row>
    <row r="5" spans="1:9">
      <c r="C5" t="s">
        <v>899</v>
      </c>
      <c r="E5" t="s">
        <v>38</v>
      </c>
      <c r="F5" t="s">
        <v>413</v>
      </c>
    </row>
    <row r="6" spans="1:9">
      <c r="C6" t="s">
        <v>929</v>
      </c>
    </row>
    <row r="7" spans="1:9">
      <c r="C7" s="15" t="s">
        <v>540</v>
      </c>
      <c r="E7" t="s">
        <v>543</v>
      </c>
    </row>
    <row r="8" spans="1:9">
      <c r="C8" t="s">
        <v>558</v>
      </c>
    </row>
    <row r="11" spans="1:9">
      <c r="A11" t="s">
        <v>15</v>
      </c>
      <c r="B11" s="3" t="s">
        <v>358</v>
      </c>
      <c r="C11" t="s">
        <v>36</v>
      </c>
      <c r="D11" t="b">
        <v>0</v>
      </c>
      <c r="E11" t="s">
        <v>152</v>
      </c>
      <c r="I11" t="s">
        <v>35</v>
      </c>
    </row>
    <row r="12" spans="1:9">
      <c r="C12" t="s">
        <v>544</v>
      </c>
      <c r="D12">
        <v>1.1000000000000001</v>
      </c>
    </row>
    <row r="13" spans="1:9">
      <c r="C13" t="s">
        <v>461</v>
      </c>
      <c r="D13" t="s">
        <v>533</v>
      </c>
      <c r="E13" s="5" t="s">
        <v>459</v>
      </c>
    </row>
    <row r="14" spans="1:9">
      <c r="C14" t="s">
        <v>462</v>
      </c>
      <c r="D14" t="s">
        <v>463</v>
      </c>
      <c r="E14" s="6" t="s">
        <v>460</v>
      </c>
    </row>
    <row r="15" spans="1:9">
      <c r="C15" t="s">
        <v>721</v>
      </c>
      <c r="D15" t="s">
        <v>727</v>
      </c>
      <c r="E15" s="6"/>
    </row>
    <row r="16" spans="1:9">
      <c r="C16" t="s">
        <v>722</v>
      </c>
      <c r="D16" t="s">
        <v>538</v>
      </c>
      <c r="E16" s="6"/>
    </row>
    <row r="17" spans="1:11">
      <c r="C17" t="s">
        <v>723</v>
      </c>
      <c r="D17" t="s">
        <v>726</v>
      </c>
      <c r="E17" s="6"/>
    </row>
    <row r="18" spans="1:11">
      <c r="C18" t="s">
        <v>724</v>
      </c>
      <c r="D18" t="s">
        <v>725</v>
      </c>
      <c r="E18" s="6"/>
    </row>
    <row r="19" spans="1:11">
      <c r="C19" t="s">
        <v>549</v>
      </c>
      <c r="D19" t="s">
        <v>548</v>
      </c>
      <c r="E19" s="6"/>
    </row>
    <row r="20" spans="1:11">
      <c r="C20" t="s">
        <v>550</v>
      </c>
      <c r="D20" t="s">
        <v>556</v>
      </c>
      <c r="E20" s="6"/>
    </row>
    <row r="21" spans="1:11">
      <c r="C21" t="s">
        <v>553</v>
      </c>
      <c r="D21" t="s">
        <v>554</v>
      </c>
      <c r="E21" s="6"/>
    </row>
    <row r="22" spans="1:11">
      <c r="C22" t="s">
        <v>557</v>
      </c>
      <c r="D22" t="s">
        <v>555</v>
      </c>
      <c r="E22" s="6"/>
    </row>
    <row r="23" spans="1:11">
      <c r="C23" t="s">
        <v>559</v>
      </c>
      <c r="D23" t="s">
        <v>560</v>
      </c>
    </row>
    <row r="24" spans="1:11">
      <c r="C24" t="s">
        <v>561</v>
      </c>
      <c r="D24" t="s">
        <v>562</v>
      </c>
    </row>
    <row r="25" spans="1:11">
      <c r="C25" t="s">
        <v>666</v>
      </c>
      <c r="D25" t="s">
        <v>554</v>
      </c>
      <c r="E25" s="6"/>
    </row>
    <row r="26" spans="1:11">
      <c r="C26" t="s">
        <v>665</v>
      </c>
      <c r="D26" t="s">
        <v>667</v>
      </c>
      <c r="E26" s="6"/>
    </row>
    <row r="27" spans="1:11">
      <c r="C27" t="s">
        <v>748</v>
      </c>
      <c r="D27" s="9">
        <f ca="1">NOW()</f>
        <v>44871.502438773146</v>
      </c>
      <c r="E27" s="6"/>
      <c r="J27" t="s">
        <v>817</v>
      </c>
    </row>
    <row r="28" spans="1:11">
      <c r="C28" t="s">
        <v>745</v>
      </c>
      <c r="D28" s="9">
        <f ca="1">TODAY()</f>
        <v>44871</v>
      </c>
      <c r="E28" t="s">
        <v>742</v>
      </c>
      <c r="F28" t="s">
        <v>743</v>
      </c>
      <c r="G28" t="s">
        <v>744</v>
      </c>
      <c r="H28" t="s">
        <v>830</v>
      </c>
      <c r="I28" t="s">
        <v>816</v>
      </c>
      <c r="J28" t="s">
        <v>818</v>
      </c>
      <c r="K28" t="s">
        <v>819</v>
      </c>
    </row>
    <row r="29" spans="1:11">
      <c r="C29" t="s">
        <v>867</v>
      </c>
      <c r="D29" t="b">
        <f ca="1">AND(OR(NOT(G29&gt;$D$28),I29),NOT(H29))</f>
        <v>1</v>
      </c>
      <c r="E29" t="str">
        <f ca="1">D28&amp;"\iCristalReport.pdf"</f>
        <v>44871\iCristalReport.pdf</v>
      </c>
      <c r="F29" t="b" cm="1">
        <f t="array" aca="1" ref="F29" ca="1">FileExists(E29,NOW())</f>
        <v>0</v>
      </c>
      <c r="G29" s="10" cm="1">
        <f t="array" aca="1" ref="G29" ca="1">IF(F29,fileModifiedDate(E29, NOW()),0)</f>
        <v>0</v>
      </c>
      <c r="H29" t="b">
        <v>0</v>
      </c>
      <c r="I29" t="b">
        <v>1</v>
      </c>
    </row>
    <row r="31" spans="1:11">
      <c r="B31" s="3"/>
      <c r="E31" s="3"/>
    </row>
    <row r="32" spans="1:11">
      <c r="A32" t="s">
        <v>16</v>
      </c>
      <c r="B32" t="s">
        <v>524</v>
      </c>
      <c r="C32" t="s">
        <v>530</v>
      </c>
      <c r="E32" t="s">
        <v>522</v>
      </c>
    </row>
    <row r="33" spans="1:11">
      <c r="C33" t="s">
        <v>523</v>
      </c>
      <c r="E33" t="s">
        <v>523</v>
      </c>
    </row>
    <row r="34" spans="1:11">
      <c r="C34" t="s">
        <v>532</v>
      </c>
    </row>
    <row r="35" spans="1:11">
      <c r="C35" t="s">
        <v>525</v>
      </c>
      <c r="E35" t="s">
        <v>526</v>
      </c>
    </row>
    <row r="36" spans="1:11">
      <c r="C36" t="s">
        <v>528</v>
      </c>
      <c r="E36" t="s">
        <v>529</v>
      </c>
    </row>
    <row r="37" spans="1:11">
      <c r="C37" t="s">
        <v>527</v>
      </c>
      <c r="E37" t="s">
        <v>531</v>
      </c>
    </row>
    <row r="38" spans="1:11">
      <c r="A38" t="s">
        <v>16</v>
      </c>
      <c r="B38" t="s">
        <v>466</v>
      </c>
      <c r="C38" t="s">
        <v>464</v>
      </c>
      <c r="E38" t="s">
        <v>465</v>
      </c>
    </row>
    <row r="40" spans="1:11">
      <c r="A40" t="s">
        <v>16</v>
      </c>
      <c r="B40" t="s">
        <v>431</v>
      </c>
      <c r="C40" t="s">
        <v>427</v>
      </c>
    </row>
    <row r="41" spans="1:11">
      <c r="C41" t="s">
        <v>430</v>
      </c>
    </row>
    <row r="42" spans="1:11">
      <c r="C42" t="s">
        <v>129</v>
      </c>
    </row>
    <row r="43" spans="1:11">
      <c r="C43" t="s">
        <v>429</v>
      </c>
    </row>
    <row r="44" spans="1:11">
      <c r="C44" t="s">
        <v>428</v>
      </c>
    </row>
    <row r="45" spans="1:11">
      <c r="K45" s="4"/>
    </row>
    <row r="46" spans="1:11">
      <c r="A46" t="s">
        <v>15</v>
      </c>
      <c r="B46" t="s">
        <v>9</v>
      </c>
      <c r="C46" t="s">
        <v>19</v>
      </c>
      <c r="D46" t="s">
        <v>20</v>
      </c>
      <c r="E46" s="3" t="s">
        <v>435</v>
      </c>
    </row>
    <row r="47" spans="1:11">
      <c r="A47" t="s">
        <v>16</v>
      </c>
      <c r="B47" s="3" t="s">
        <v>0</v>
      </c>
      <c r="C47" t="s">
        <v>21</v>
      </c>
      <c r="D47" s="2"/>
      <c r="E47" t="s">
        <v>398</v>
      </c>
    </row>
    <row r="48" spans="1:11">
      <c r="B48" s="3"/>
      <c r="C48" t="s">
        <v>717</v>
      </c>
      <c r="D48" s="2"/>
    </row>
    <row r="49" spans="1:5">
      <c r="B49" s="3"/>
      <c r="C49" t="s">
        <v>339</v>
      </c>
      <c r="D49" s="2"/>
      <c r="E49" t="s">
        <v>341</v>
      </c>
    </row>
    <row r="50" spans="1:5">
      <c r="C50" t="s">
        <v>699</v>
      </c>
    </row>
    <row r="51" spans="1:5">
      <c r="C51" t="s">
        <v>339</v>
      </c>
      <c r="E51" t="s">
        <v>104</v>
      </c>
    </row>
    <row r="52" spans="1:5">
      <c r="C52" t="s">
        <v>754</v>
      </c>
      <c r="E52" t="s">
        <v>108</v>
      </c>
    </row>
    <row r="53" spans="1:5">
      <c r="A53" t="s">
        <v>16</v>
      </c>
      <c r="B53" s="1" t="s">
        <v>107</v>
      </c>
      <c r="C53" t="s">
        <v>341</v>
      </c>
      <c r="E53" s="1"/>
    </row>
    <row r="54" spans="1:5">
      <c r="B54" s="1"/>
      <c r="C54" t="s">
        <v>930</v>
      </c>
      <c r="E54" s="1" t="s">
        <v>344</v>
      </c>
    </row>
    <row r="55" spans="1:5">
      <c r="B55" s="1"/>
      <c r="C55" t="s">
        <v>22</v>
      </c>
      <c r="E55" s="1" t="s">
        <v>105</v>
      </c>
    </row>
    <row r="56" spans="1:5">
      <c r="C56" t="s">
        <v>34</v>
      </c>
      <c r="E56" t="s">
        <v>106</v>
      </c>
    </row>
    <row r="57" spans="1:5">
      <c r="C57" t="s">
        <v>413</v>
      </c>
      <c r="E57" t="s">
        <v>38</v>
      </c>
    </row>
    <row r="58" spans="1:5">
      <c r="C58" t="s">
        <v>7</v>
      </c>
      <c r="E58" t="s">
        <v>110</v>
      </c>
    </row>
    <row r="59" spans="1:5">
      <c r="C59" t="s">
        <v>451</v>
      </c>
      <c r="E59" t="s">
        <v>452</v>
      </c>
    </row>
    <row r="60" spans="1:5">
      <c r="C60" t="s">
        <v>454</v>
      </c>
      <c r="E60" t="s">
        <v>455</v>
      </c>
    </row>
    <row r="61" spans="1:5">
      <c r="C61" t="s">
        <v>931</v>
      </c>
      <c r="E61" t="s">
        <v>111</v>
      </c>
    </row>
    <row r="63" spans="1:5">
      <c r="A63" t="s">
        <v>16</v>
      </c>
      <c r="B63" t="s">
        <v>412</v>
      </c>
      <c r="C63" t="s">
        <v>37</v>
      </c>
    </row>
    <row r="64" spans="1:5">
      <c r="C64" t="s">
        <v>458</v>
      </c>
      <c r="E64" t="s">
        <v>457</v>
      </c>
    </row>
    <row r="65" spans="1:5">
      <c r="C65" t="s">
        <v>752</v>
      </c>
      <c r="E65" t="s">
        <v>753</v>
      </c>
    </row>
    <row r="66" spans="1:5">
      <c r="C66" t="s">
        <v>27</v>
      </c>
    </row>
    <row r="68" spans="1:5">
      <c r="A68" t="s">
        <v>16</v>
      </c>
      <c r="B68" t="s">
        <v>453</v>
      </c>
      <c r="C68" t="s">
        <v>456</v>
      </c>
      <c r="E68" t="s">
        <v>457</v>
      </c>
    </row>
    <row r="69" spans="1:5">
      <c r="C69" t="s">
        <v>752</v>
      </c>
      <c r="E69" t="s">
        <v>753</v>
      </c>
    </row>
    <row r="70" spans="1:5">
      <c r="C70" t="s">
        <v>27</v>
      </c>
    </row>
    <row r="71" spans="1:5">
      <c r="B71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99749-5344-4521-9DE6-1610C16E83AB}">
  <sheetPr codeName="Sheet13"/>
  <dimension ref="A1:K99"/>
  <sheetViews>
    <sheetView topLeftCell="A82" workbookViewId="0">
      <selection activeCell="C19" sqref="C19"/>
    </sheetView>
  </sheetViews>
  <sheetFormatPr defaultRowHeight="15"/>
  <cols>
    <col min="2" max="2" width="21.85546875" customWidth="1"/>
    <col min="3" max="3" width="139.710937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6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6">
      <c r="A2" t="s">
        <v>16</v>
      </c>
      <c r="B2" t="s">
        <v>25</v>
      </c>
      <c r="C2" t="s">
        <v>545</v>
      </c>
    </row>
    <row r="3" spans="1:6">
      <c r="C3" t="s">
        <v>848</v>
      </c>
      <c r="E3" t="s">
        <v>541</v>
      </c>
    </row>
    <row r="4" spans="1:6">
      <c r="C4" t="s">
        <v>551</v>
      </c>
      <c r="E4" t="s">
        <v>542</v>
      </c>
    </row>
    <row r="5" spans="1:6">
      <c r="C5" t="s">
        <v>847</v>
      </c>
      <c r="E5" t="s">
        <v>546</v>
      </c>
    </row>
    <row r="6" spans="1:6">
      <c r="C6" t="s">
        <v>719</v>
      </c>
    </row>
    <row r="7" spans="1:6">
      <c r="C7" t="s">
        <v>431</v>
      </c>
    </row>
    <row r="8" spans="1:6">
      <c r="C8" t="s">
        <v>746</v>
      </c>
    </row>
    <row r="9" spans="1:6">
      <c r="C9" t="s">
        <v>750</v>
      </c>
    </row>
    <row r="10" spans="1:6">
      <c r="C10" t="s">
        <v>747</v>
      </c>
      <c r="E10" t="s">
        <v>38</v>
      </c>
      <c r="F10" t="s">
        <v>413</v>
      </c>
    </row>
    <row r="11" spans="1:6">
      <c r="C11" t="s">
        <v>540</v>
      </c>
      <c r="E11" t="s">
        <v>543</v>
      </c>
    </row>
    <row r="12" spans="1:6">
      <c r="C12" t="s">
        <v>563</v>
      </c>
      <c r="E12" t="s">
        <v>531</v>
      </c>
    </row>
    <row r="13" spans="1:6">
      <c r="C13" t="s">
        <v>558</v>
      </c>
    </row>
    <row r="15" spans="1:6">
      <c r="A15" t="s">
        <v>16</v>
      </c>
      <c r="B15" t="s">
        <v>814</v>
      </c>
      <c r="C15" t="s">
        <v>815</v>
      </c>
    </row>
    <row r="16" spans="1:6">
      <c r="A16" t="s">
        <v>16</v>
      </c>
      <c r="B16" t="s">
        <v>696</v>
      </c>
      <c r="C16" t="s">
        <v>734</v>
      </c>
    </row>
    <row r="17" spans="1:7">
      <c r="C17" t="s">
        <v>668</v>
      </c>
    </row>
    <row r="18" spans="1:7">
      <c r="C18" t="s">
        <v>551</v>
      </c>
      <c r="E18" t="s">
        <v>404</v>
      </c>
    </row>
    <row r="19" spans="1:7">
      <c r="C19" t="s">
        <v>733</v>
      </c>
      <c r="E19" t="s">
        <v>669</v>
      </c>
    </row>
    <row r="20" spans="1:7">
      <c r="C20" t="s">
        <v>540</v>
      </c>
    </row>
    <row r="22" spans="1:7">
      <c r="A22" t="s">
        <v>16</v>
      </c>
      <c r="B22" t="s">
        <v>739</v>
      </c>
      <c r="C22" t="s">
        <v>733</v>
      </c>
      <c r="E22" t="s">
        <v>153</v>
      </c>
    </row>
    <row r="23" spans="1:7">
      <c r="C23" t="s">
        <v>808</v>
      </c>
      <c r="E23" t="s">
        <v>547</v>
      </c>
    </row>
    <row r="24" spans="1:7">
      <c r="C24" t="s">
        <v>809</v>
      </c>
      <c r="E24" t="s">
        <v>552</v>
      </c>
    </row>
    <row r="25" spans="1:7">
      <c r="C25" t="s">
        <v>812</v>
      </c>
      <c r="E25" t="s">
        <v>546</v>
      </c>
    </row>
    <row r="27" spans="1:7">
      <c r="A27" t="s">
        <v>16</v>
      </c>
      <c r="B27" t="s">
        <v>740</v>
      </c>
      <c r="C27" t="s">
        <v>404</v>
      </c>
    </row>
    <row r="28" spans="1:7">
      <c r="C28" t="s">
        <v>810</v>
      </c>
      <c r="E28" t="s">
        <v>716</v>
      </c>
    </row>
    <row r="29" spans="1:7">
      <c r="C29" t="s">
        <v>811</v>
      </c>
      <c r="E29" t="s">
        <v>547</v>
      </c>
    </row>
    <row r="30" spans="1:7">
      <c r="C30" t="s">
        <v>812</v>
      </c>
      <c r="E30" t="s">
        <v>546</v>
      </c>
    </row>
    <row r="32" spans="1:7">
      <c r="A32" t="s">
        <v>16</v>
      </c>
      <c r="B32" t="s">
        <v>741</v>
      </c>
      <c r="C32" t="s">
        <v>749</v>
      </c>
      <c r="G32" t="s">
        <v>741</v>
      </c>
    </row>
    <row r="33" spans="1:9">
      <c r="C33" t="s">
        <v>796</v>
      </c>
    </row>
    <row r="34" spans="1:9">
      <c r="C34" t="s">
        <v>845</v>
      </c>
    </row>
    <row r="35" spans="1:9">
      <c r="C35" t="s">
        <v>846</v>
      </c>
    </row>
    <row r="37" spans="1:9">
      <c r="A37" t="s">
        <v>15</v>
      </c>
      <c r="B37" s="3" t="s">
        <v>358</v>
      </c>
      <c r="C37" t="s">
        <v>36</v>
      </c>
      <c r="D37" t="b">
        <v>0</v>
      </c>
      <c r="E37" t="s">
        <v>152</v>
      </c>
      <c r="I37" t="s">
        <v>35</v>
      </c>
    </row>
    <row r="38" spans="1:9">
      <c r="C38" t="s">
        <v>544</v>
      </c>
      <c r="D38">
        <v>1.1000000000000001</v>
      </c>
    </row>
    <row r="39" spans="1:9">
      <c r="C39" t="s">
        <v>461</v>
      </c>
      <c r="D39" t="s">
        <v>533</v>
      </c>
      <c r="E39" s="5" t="s">
        <v>459</v>
      </c>
    </row>
    <row r="40" spans="1:9">
      <c r="C40" t="s">
        <v>462</v>
      </c>
      <c r="D40" t="s">
        <v>463</v>
      </c>
      <c r="E40" s="6" t="s">
        <v>460</v>
      </c>
    </row>
    <row r="41" spans="1:9">
      <c r="C41" t="s">
        <v>721</v>
      </c>
      <c r="D41" t="s">
        <v>727</v>
      </c>
      <c r="E41" s="6"/>
    </row>
    <row r="42" spans="1:9">
      <c r="C42" t="s">
        <v>722</v>
      </c>
      <c r="D42" t="s">
        <v>538</v>
      </c>
      <c r="E42" s="6"/>
    </row>
    <row r="43" spans="1:9">
      <c r="C43" t="s">
        <v>723</v>
      </c>
      <c r="D43" t="s">
        <v>726</v>
      </c>
      <c r="E43" s="6"/>
    </row>
    <row r="44" spans="1:9">
      <c r="C44" t="s">
        <v>724</v>
      </c>
      <c r="D44" t="s">
        <v>725</v>
      </c>
      <c r="E44" s="6"/>
    </row>
    <row r="45" spans="1:9">
      <c r="C45" t="s">
        <v>549</v>
      </c>
      <c r="D45" t="s">
        <v>548</v>
      </c>
      <c r="E45" s="6"/>
    </row>
    <row r="46" spans="1:9">
      <c r="C46" t="s">
        <v>550</v>
      </c>
      <c r="D46" t="s">
        <v>556</v>
      </c>
      <c r="E46" s="6"/>
    </row>
    <row r="47" spans="1:9">
      <c r="C47" t="s">
        <v>553</v>
      </c>
      <c r="D47" t="s">
        <v>554</v>
      </c>
      <c r="E47" s="6"/>
    </row>
    <row r="48" spans="1:9">
      <c r="C48" t="s">
        <v>557</v>
      </c>
      <c r="D48" t="s">
        <v>555</v>
      </c>
      <c r="E48" s="6"/>
    </row>
    <row r="49" spans="1:11">
      <c r="C49" t="s">
        <v>559</v>
      </c>
      <c r="D49" t="s">
        <v>560</v>
      </c>
    </row>
    <row r="50" spans="1:11">
      <c r="C50" t="s">
        <v>561</v>
      </c>
      <c r="D50" t="s">
        <v>562</v>
      </c>
    </row>
    <row r="51" spans="1:11">
      <c r="C51" t="s">
        <v>666</v>
      </c>
      <c r="D51" t="s">
        <v>554</v>
      </c>
      <c r="E51" s="6"/>
    </row>
    <row r="52" spans="1:11">
      <c r="C52" t="s">
        <v>665</v>
      </c>
      <c r="D52" t="s">
        <v>667</v>
      </c>
      <c r="E52" s="6"/>
    </row>
    <row r="53" spans="1:11">
      <c r="C53" t="s">
        <v>748</v>
      </c>
      <c r="D53" s="9">
        <f ca="1">NOW()</f>
        <v>44871.502438773146</v>
      </c>
      <c r="E53" s="6"/>
      <c r="J53" t="s">
        <v>817</v>
      </c>
    </row>
    <row r="54" spans="1:11">
      <c r="C54" t="s">
        <v>745</v>
      </c>
      <c r="D54" s="9">
        <f ca="1">TODAY()</f>
        <v>44871</v>
      </c>
      <c r="E54" t="s">
        <v>742</v>
      </c>
      <c r="F54" t="s">
        <v>743</v>
      </c>
      <c r="G54" t="s">
        <v>744</v>
      </c>
      <c r="H54" t="s">
        <v>830</v>
      </c>
      <c r="I54" t="s">
        <v>816</v>
      </c>
      <c r="J54" t="s">
        <v>818</v>
      </c>
      <c r="K54" t="s">
        <v>819</v>
      </c>
    </row>
    <row r="55" spans="1:11">
      <c r="C55" t="s">
        <v>739</v>
      </c>
      <c r="D55" t="b">
        <f ca="1">AND(OR(NOT(G55&gt;$D$54),I55),NOT(H55))</f>
        <v>0</v>
      </c>
      <c r="E55" t="str">
        <f>D48&amp;"\APAC_Daily_Sales.pdf"</f>
        <v>D:\OneDrive-Sync\Christian Dior Couture\APAC Management - Reports - Reports\DClick\APAC_Daily_Sales.pdf</v>
      </c>
      <c r="F55" t="b" cm="1">
        <f t="array" aca="1" ref="F55" ca="1">FileExists(E55,NOW())</f>
        <v>1</v>
      </c>
      <c r="G55" s="10" cm="1">
        <f t="array" aca="1" ref="G55" ca="1">IF(F55,fileModifiedDate(E55, NOW()),0)</f>
        <v>44870.303726851853</v>
      </c>
      <c r="H55" t="b">
        <v>1</v>
      </c>
      <c r="I55" t="b">
        <f ca="1">AND(NOW()&gt;J55,NOW()&lt;K55)</f>
        <v>0</v>
      </c>
      <c r="J55" s="14">
        <f>TIME(4,0,)</f>
        <v>0.16666666666666666</v>
      </c>
      <c r="K55" s="14">
        <f>TIME(10,0,0)</f>
        <v>0.41666666666666669</v>
      </c>
    </row>
    <row r="56" spans="1:11">
      <c r="C56" t="s">
        <v>740</v>
      </c>
      <c r="D56" t="b">
        <f ca="1">AND(OR(NOT(G56&gt;$D$54),I56),NOT(H56))</f>
        <v>0</v>
      </c>
      <c r="E56" t="str">
        <f>D52&amp;"\iCristalReport.pdf"</f>
        <v>D:\OneDrive-Sync\Christian Dior Couture\APAC Management - Reports - Reports\iCristal\iCristalReport.pdf</v>
      </c>
      <c r="F56" t="b" cm="1">
        <f t="array" aca="1" ref="F56" ca="1">FileExists(E56,NOW())</f>
        <v>1</v>
      </c>
      <c r="G56" s="10" cm="1">
        <f t="array" aca="1" ref="G56" ca="1">IF(F56,fileModifiedDate(E56, NOW()),0)</f>
        <v>44868.527615740742</v>
      </c>
      <c r="H56" t="b">
        <v>1</v>
      </c>
      <c r="I56" t="b">
        <f ca="1">AND(NOW()&gt;J56,NOW()&lt;K56)</f>
        <v>0</v>
      </c>
      <c r="J56" s="14">
        <f>TIME(4,0,)</f>
        <v>0.16666666666666666</v>
      </c>
      <c r="K56" s="14">
        <f>TIME(10,0,0)</f>
        <v>0.41666666666666669</v>
      </c>
    </row>
    <row r="57" spans="1:11">
      <c r="C57" t="s">
        <v>741</v>
      </c>
      <c r="D57" t="b">
        <f ca="1">AND(OR(NOT(G57&gt;$D$54),I57),NOT(H57))</f>
        <v>1</v>
      </c>
      <c r="E57" t="str">
        <f ca="1">D54&amp;"\iCristalReport.pdf"</f>
        <v>44871\iCristalReport.pdf</v>
      </c>
      <c r="F57" t="b" cm="1">
        <f t="array" aca="1" ref="F57" ca="1">FileExists(E57,NOW())</f>
        <v>0</v>
      </c>
      <c r="G57" s="10" cm="1">
        <f t="array" aca="1" ref="G57" ca="1">IF(F57,fileModifiedDate(E57, NOW()),0)</f>
        <v>0</v>
      </c>
      <c r="H57" t="b">
        <v>0</v>
      </c>
      <c r="I57" t="b">
        <v>1</v>
      </c>
    </row>
    <row r="59" spans="1:11">
      <c r="A59" t="s">
        <v>16</v>
      </c>
      <c r="B59" s="3" t="s">
        <v>539</v>
      </c>
      <c r="C59" t="s">
        <v>537</v>
      </c>
      <c r="E59" s="3"/>
    </row>
    <row r="60" spans="1:11">
      <c r="A60" t="s">
        <v>16</v>
      </c>
      <c r="B60" t="s">
        <v>524</v>
      </c>
      <c r="C60" t="s">
        <v>530</v>
      </c>
      <c r="E60" t="s">
        <v>522</v>
      </c>
    </row>
    <row r="61" spans="1:11">
      <c r="C61" t="s">
        <v>523</v>
      </c>
      <c r="E61" t="s">
        <v>523</v>
      </c>
    </row>
    <row r="62" spans="1:11">
      <c r="C62" t="s">
        <v>532</v>
      </c>
    </row>
    <row r="63" spans="1:11">
      <c r="C63" t="s">
        <v>525</v>
      </c>
      <c r="E63" t="s">
        <v>526</v>
      </c>
    </row>
    <row r="64" spans="1:11">
      <c r="C64" t="s">
        <v>528</v>
      </c>
      <c r="E64" t="s">
        <v>529</v>
      </c>
    </row>
    <row r="65" spans="1:11">
      <c r="C65" t="s">
        <v>527</v>
      </c>
      <c r="E65" t="s">
        <v>531</v>
      </c>
    </row>
    <row r="66" spans="1:11">
      <c r="A66" t="s">
        <v>16</v>
      </c>
      <c r="B66" t="s">
        <v>466</v>
      </c>
      <c r="C66" t="s">
        <v>464</v>
      </c>
      <c r="E66" t="s">
        <v>465</v>
      </c>
    </row>
    <row r="68" spans="1:11">
      <c r="A68" t="s">
        <v>16</v>
      </c>
      <c r="B68" t="s">
        <v>431</v>
      </c>
      <c r="C68" t="s">
        <v>427</v>
      </c>
    </row>
    <row r="69" spans="1:11">
      <c r="C69" t="s">
        <v>430</v>
      </c>
    </row>
    <row r="70" spans="1:11">
      <c r="C70" t="s">
        <v>129</v>
      </c>
    </row>
    <row r="71" spans="1:11">
      <c r="C71" t="s">
        <v>429</v>
      </c>
    </row>
    <row r="72" spans="1:11">
      <c r="C72" t="s">
        <v>428</v>
      </c>
    </row>
    <row r="73" spans="1:11">
      <c r="K73" s="4"/>
    </row>
    <row r="74" spans="1:11">
      <c r="A74" t="s">
        <v>15</v>
      </c>
      <c r="B74" t="s">
        <v>9</v>
      </c>
      <c r="C74" t="s">
        <v>19</v>
      </c>
      <c r="D74" t="s">
        <v>20</v>
      </c>
      <c r="E74" s="3" t="s">
        <v>435</v>
      </c>
    </row>
    <row r="75" spans="1:11">
      <c r="A75" t="s">
        <v>16</v>
      </c>
      <c r="B75" s="3" t="s">
        <v>0</v>
      </c>
      <c r="C75" t="s">
        <v>21</v>
      </c>
      <c r="D75" s="2"/>
      <c r="E75" t="s">
        <v>398</v>
      </c>
    </row>
    <row r="76" spans="1:11">
      <c r="B76" s="3"/>
      <c r="C76" t="s">
        <v>717</v>
      </c>
      <c r="D76" s="2"/>
    </row>
    <row r="77" spans="1:11">
      <c r="B77" s="3"/>
      <c r="C77" t="s">
        <v>341</v>
      </c>
      <c r="D77" s="2"/>
    </row>
    <row r="78" spans="1:11">
      <c r="C78" t="s">
        <v>717</v>
      </c>
    </row>
    <row r="79" spans="1:11">
      <c r="C79" t="s">
        <v>341</v>
      </c>
      <c r="E79" t="s">
        <v>104</v>
      </c>
    </row>
    <row r="80" spans="1:11">
      <c r="C80" t="s">
        <v>754</v>
      </c>
      <c r="E80" t="s">
        <v>108</v>
      </c>
    </row>
    <row r="81" spans="1:5">
      <c r="A81" t="s">
        <v>16</v>
      </c>
      <c r="B81" s="1" t="s">
        <v>107</v>
      </c>
      <c r="C81" t="s">
        <v>341</v>
      </c>
      <c r="E81" s="1"/>
    </row>
    <row r="82" spans="1:5">
      <c r="B82" s="1"/>
      <c r="C82" t="s">
        <v>442</v>
      </c>
      <c r="E82" s="1" t="s">
        <v>344</v>
      </c>
    </row>
    <row r="83" spans="1:5">
      <c r="B83" s="1"/>
      <c r="C83" t="s">
        <v>22</v>
      </c>
      <c r="E83" s="1" t="s">
        <v>105</v>
      </c>
    </row>
    <row r="84" spans="1:5">
      <c r="C84" t="s">
        <v>34</v>
      </c>
      <c r="E84" t="s">
        <v>106</v>
      </c>
    </row>
    <row r="85" spans="1:5">
      <c r="C85" t="s">
        <v>413</v>
      </c>
      <c r="E85" t="s">
        <v>38</v>
      </c>
    </row>
    <row r="86" spans="1:5">
      <c r="C86" t="s">
        <v>7</v>
      </c>
      <c r="E86" t="s">
        <v>110</v>
      </c>
    </row>
    <row r="87" spans="1:5">
      <c r="C87" t="s">
        <v>451</v>
      </c>
      <c r="E87" t="s">
        <v>452</v>
      </c>
    </row>
    <row r="88" spans="1:5">
      <c r="C88" t="s">
        <v>454</v>
      </c>
      <c r="E88" t="s">
        <v>455</v>
      </c>
    </row>
    <row r="89" spans="1:5">
      <c r="C89" t="s">
        <v>345</v>
      </c>
      <c r="E89" t="s">
        <v>111</v>
      </c>
    </row>
    <row r="91" spans="1:5">
      <c r="A91" t="s">
        <v>16</v>
      </c>
      <c r="B91" t="s">
        <v>412</v>
      </c>
      <c r="C91" t="s">
        <v>37</v>
      </c>
    </row>
    <row r="92" spans="1:5">
      <c r="C92" t="s">
        <v>458</v>
      </c>
      <c r="E92" t="s">
        <v>457</v>
      </c>
    </row>
    <row r="93" spans="1:5">
      <c r="C93" t="s">
        <v>752</v>
      </c>
      <c r="E93" t="s">
        <v>753</v>
      </c>
    </row>
    <row r="94" spans="1:5">
      <c r="C94" t="s">
        <v>27</v>
      </c>
    </row>
    <row r="96" spans="1:5">
      <c r="A96" t="s">
        <v>16</v>
      </c>
      <c r="B96" t="s">
        <v>453</v>
      </c>
      <c r="C96" t="s">
        <v>456</v>
      </c>
      <c r="E96" t="s">
        <v>457</v>
      </c>
    </row>
    <row r="97" spans="2:5">
      <c r="C97" t="s">
        <v>752</v>
      </c>
      <c r="E97" t="s">
        <v>753</v>
      </c>
    </row>
    <row r="98" spans="2:5">
      <c r="C98" t="s">
        <v>27</v>
      </c>
    </row>
    <row r="99" spans="2:5">
      <c r="B99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4B790-E5F2-44AB-BA15-837895C43371}">
  <sheetPr codeName="Sheet14">
    <pageSetUpPr fitToPage="1"/>
  </sheetPr>
  <dimension ref="A1:E92"/>
  <sheetViews>
    <sheetView zoomScaleNormal="100" workbookViewId="0">
      <selection activeCell="D4" sqref="D4"/>
    </sheetView>
  </sheetViews>
  <sheetFormatPr defaultRowHeight="15"/>
  <cols>
    <col min="1" max="1" width="10.28515625" customWidth="1"/>
    <col min="2" max="2" width="20.42578125" bestFit="1" customWidth="1"/>
    <col min="3" max="3" width="58.42578125" customWidth="1"/>
    <col min="4" max="4" width="113.7109375" customWidth="1"/>
    <col min="5" max="5" width="73.570312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868</v>
      </c>
      <c r="D2" t="s">
        <v>869</v>
      </c>
      <c r="E2" t="s">
        <v>92</v>
      </c>
    </row>
    <row r="4" spans="1:5">
      <c r="A4" t="s">
        <v>15</v>
      </c>
      <c r="B4" t="s">
        <v>358</v>
      </c>
      <c r="C4" t="s">
        <v>360</v>
      </c>
      <c r="D4" t="s">
        <v>362</v>
      </c>
    </row>
    <row r="5" spans="1:5">
      <c r="C5" t="s">
        <v>253</v>
      </c>
      <c r="D5" t="s">
        <v>361</v>
      </c>
    </row>
    <row r="6" spans="1:5">
      <c r="C6" t="s">
        <v>365</v>
      </c>
      <c r="D6" t="s">
        <v>363</v>
      </c>
    </row>
    <row r="7" spans="1:5">
      <c r="C7" t="s">
        <v>870</v>
      </c>
      <c r="D7" t="s">
        <v>871</v>
      </c>
    </row>
    <row r="8" spans="1:5">
      <c r="C8" t="s">
        <v>367</v>
      </c>
      <c r="D8" t="s">
        <v>359</v>
      </c>
    </row>
    <row r="9" spans="1:5">
      <c r="C9" t="s">
        <v>888</v>
      </c>
      <c r="D9" t="s">
        <v>893</v>
      </c>
    </row>
    <row r="10" spans="1:5">
      <c r="C10" t="s">
        <v>462</v>
      </c>
      <c r="D10" s="1" t="s">
        <v>892</v>
      </c>
    </row>
    <row r="12" spans="1:5">
      <c r="A12" t="s">
        <v>15</v>
      </c>
      <c r="B12" t="s">
        <v>9</v>
      </c>
      <c r="C12" t="s">
        <v>19</v>
      </c>
      <c r="D12" t="s">
        <v>20</v>
      </c>
    </row>
    <row r="13" spans="1:5">
      <c r="C13" t="s">
        <v>93</v>
      </c>
      <c r="D13" t="s">
        <v>23</v>
      </c>
    </row>
    <row r="15" spans="1:5">
      <c r="A15" t="s">
        <v>16</v>
      </c>
      <c r="B15" t="s">
        <v>25</v>
      </c>
      <c r="C15" t="s">
        <v>30</v>
      </c>
      <c r="D15" t="s">
        <v>372</v>
      </c>
      <c r="E15" t="s">
        <v>148</v>
      </c>
    </row>
    <row r="16" spans="1:5">
      <c r="C16" t="s">
        <v>374</v>
      </c>
    </row>
    <row r="17" spans="1:5">
      <c r="C17" t="s">
        <v>375</v>
      </c>
      <c r="D17" t="s">
        <v>373</v>
      </c>
    </row>
    <row r="18" spans="1:5">
      <c r="C18" s="15" t="s">
        <v>719</v>
      </c>
    </row>
    <row r="19" spans="1:5">
      <c r="C19" s="15" t="s">
        <v>891</v>
      </c>
    </row>
    <row r="20" spans="1:5">
      <c r="C20" s="15" t="s">
        <v>890</v>
      </c>
      <c r="E20" t="s">
        <v>371</v>
      </c>
    </row>
    <row r="21" spans="1:5">
      <c r="C21" s="15" t="s">
        <v>832</v>
      </c>
    </row>
    <row r="22" spans="1:5">
      <c r="C22" t="s">
        <v>889</v>
      </c>
    </row>
    <row r="23" spans="1:5">
      <c r="C23" t="s">
        <v>872</v>
      </c>
      <c r="E23" t="s">
        <v>150</v>
      </c>
    </row>
    <row r="26" spans="1:5">
      <c r="A26" t="s">
        <v>16</v>
      </c>
      <c r="B26" t="s">
        <v>0</v>
      </c>
      <c r="C26" t="s">
        <v>21</v>
      </c>
      <c r="E26" t="s">
        <v>103</v>
      </c>
    </row>
    <row r="27" spans="1:5">
      <c r="C27" t="s">
        <v>780</v>
      </c>
    </row>
    <row r="28" spans="1:5">
      <c r="C28" t="s">
        <v>339</v>
      </c>
      <c r="E28" t="s">
        <v>104</v>
      </c>
    </row>
    <row r="29" spans="1:5">
      <c r="C29" t="s">
        <v>107</v>
      </c>
      <c r="E29" t="s">
        <v>108</v>
      </c>
    </row>
    <row r="30" spans="1:5">
      <c r="A30" t="s">
        <v>16</v>
      </c>
      <c r="B30" t="s">
        <v>107</v>
      </c>
      <c r="C30" t="s">
        <v>886</v>
      </c>
      <c r="E30" t="s">
        <v>344</v>
      </c>
    </row>
    <row r="31" spans="1:5">
      <c r="C31" t="s">
        <v>22</v>
      </c>
      <c r="E31" t="s">
        <v>105</v>
      </c>
    </row>
    <row r="32" spans="1:5">
      <c r="C32" t="s">
        <v>34</v>
      </c>
      <c r="E32" t="s">
        <v>106</v>
      </c>
    </row>
    <row r="33" spans="1:5">
      <c r="C33" t="s">
        <v>413</v>
      </c>
      <c r="E33" t="s">
        <v>38</v>
      </c>
    </row>
    <row r="34" spans="1:5">
      <c r="C34" t="s">
        <v>7</v>
      </c>
      <c r="E34" t="s">
        <v>110</v>
      </c>
    </row>
    <row r="35" spans="1:5">
      <c r="C35" t="s">
        <v>451</v>
      </c>
      <c r="E35" t="s">
        <v>111</v>
      </c>
    </row>
    <row r="36" spans="1:5">
      <c r="C36" t="s">
        <v>454</v>
      </c>
    </row>
    <row r="37" spans="1:5">
      <c r="C37" t="s">
        <v>345</v>
      </c>
    </row>
    <row r="39" spans="1:5">
      <c r="A39" t="s">
        <v>16</v>
      </c>
      <c r="B39" t="s">
        <v>26</v>
      </c>
      <c r="C39" t="s">
        <v>37</v>
      </c>
    </row>
    <row r="41" spans="1:5">
      <c r="A41" t="s">
        <v>16</v>
      </c>
      <c r="B41" t="s">
        <v>95</v>
      </c>
      <c r="C41" t="s">
        <v>94</v>
      </c>
    </row>
    <row r="42" spans="1:5">
      <c r="C42" t="s">
        <v>1</v>
      </c>
    </row>
    <row r="43" spans="1:5">
      <c r="C43" t="s">
        <v>339</v>
      </c>
      <c r="E43" t="s">
        <v>104</v>
      </c>
    </row>
    <row r="44" spans="1:5">
      <c r="C44" t="s">
        <v>114</v>
      </c>
    </row>
    <row r="45" spans="1:5">
      <c r="A45" t="s">
        <v>16</v>
      </c>
      <c r="B45" t="s">
        <v>114</v>
      </c>
      <c r="C45" t="s">
        <v>346</v>
      </c>
      <c r="E45" t="s">
        <v>115</v>
      </c>
    </row>
    <row r="47" spans="1:5">
      <c r="A47" t="s">
        <v>16</v>
      </c>
      <c r="B47" t="s">
        <v>32</v>
      </c>
      <c r="C47" t="s">
        <v>33</v>
      </c>
    </row>
    <row r="48" spans="1:5">
      <c r="C48" t="s">
        <v>29</v>
      </c>
      <c r="E48" t="s">
        <v>117</v>
      </c>
    </row>
    <row r="49" spans="1:5">
      <c r="C49" t="s">
        <v>118</v>
      </c>
    </row>
    <row r="50" spans="1:5">
      <c r="A50" t="s">
        <v>16</v>
      </c>
      <c r="B50" t="s">
        <v>118</v>
      </c>
      <c r="C50" t="s">
        <v>873</v>
      </c>
    </row>
    <row r="51" spans="1:5">
      <c r="C51" t="s">
        <v>122</v>
      </c>
    </row>
    <row r="52" spans="1:5">
      <c r="C52" t="s">
        <v>17</v>
      </c>
    </row>
    <row r="53" spans="1:5" s="16" customFormat="1">
      <c r="C53" s="16" t="s">
        <v>887</v>
      </c>
      <c r="E53" s="16" t="s">
        <v>64</v>
      </c>
    </row>
    <row r="54" spans="1:5">
      <c r="C54" t="s">
        <v>874</v>
      </c>
    </row>
    <row r="55" spans="1:5">
      <c r="C55" t="s">
        <v>875</v>
      </c>
    </row>
    <row r="56" spans="1:5">
      <c r="C56" t="s">
        <v>876</v>
      </c>
    </row>
    <row r="57" spans="1:5" s="16" customFormat="1"/>
    <row r="58" spans="1:5">
      <c r="A58" t="s">
        <v>16</v>
      </c>
      <c r="B58" t="s">
        <v>122</v>
      </c>
      <c r="C58" t="s">
        <v>348</v>
      </c>
      <c r="E58" t="s">
        <v>126</v>
      </c>
    </row>
    <row r="59" spans="1:5">
      <c r="C59" t="s">
        <v>349</v>
      </c>
      <c r="E59" t="s">
        <v>127</v>
      </c>
    </row>
    <row r="60" spans="1:5">
      <c r="A60" t="s">
        <v>16</v>
      </c>
      <c r="B60" t="s">
        <v>124</v>
      </c>
      <c r="C60" t="s">
        <v>350</v>
      </c>
      <c r="E60" t="s">
        <v>128</v>
      </c>
    </row>
    <row r="61" spans="1:5">
      <c r="C61" t="s">
        <v>2</v>
      </c>
    </row>
    <row r="62" spans="1:5">
      <c r="C62" t="s">
        <v>129</v>
      </c>
    </row>
    <row r="63" spans="1:5">
      <c r="C63" t="s">
        <v>120</v>
      </c>
      <c r="E63" t="s">
        <v>131</v>
      </c>
    </row>
    <row r="64" spans="1:5">
      <c r="C64" t="s">
        <v>121</v>
      </c>
      <c r="E64" t="s">
        <v>132</v>
      </c>
    </row>
    <row r="65" spans="1:5">
      <c r="C65" t="s">
        <v>351</v>
      </c>
      <c r="E65" t="s">
        <v>133</v>
      </c>
    </row>
    <row r="66" spans="1:5">
      <c r="A66" t="s">
        <v>16</v>
      </c>
      <c r="B66" t="s">
        <v>134</v>
      </c>
      <c r="C66" t="s">
        <v>27</v>
      </c>
    </row>
    <row r="68" spans="1:5">
      <c r="A68" t="s">
        <v>16</v>
      </c>
      <c r="B68" t="s">
        <v>877</v>
      </c>
      <c r="C68" t="s">
        <v>878</v>
      </c>
      <c r="E68" t="s">
        <v>879</v>
      </c>
    </row>
    <row r="69" spans="1:5">
      <c r="A69" t="s">
        <v>16</v>
      </c>
      <c r="B69" t="s">
        <v>56</v>
      </c>
      <c r="C69" t="s">
        <v>60</v>
      </c>
      <c r="E69" t="s">
        <v>100</v>
      </c>
    </row>
    <row r="70" spans="1:5">
      <c r="A70" t="s">
        <v>16</v>
      </c>
      <c r="B70" t="s">
        <v>58</v>
      </c>
      <c r="C70" t="s">
        <v>59</v>
      </c>
      <c r="E70" t="s">
        <v>101</v>
      </c>
    </row>
    <row r="71" spans="1:5">
      <c r="A71" t="s">
        <v>16</v>
      </c>
      <c r="B71" t="s">
        <v>63</v>
      </c>
      <c r="C71" t="s">
        <v>342</v>
      </c>
      <c r="E71" t="s">
        <v>102</v>
      </c>
    </row>
    <row r="73" spans="1:5">
      <c r="A73" t="s">
        <v>16</v>
      </c>
      <c r="B73" t="s">
        <v>17</v>
      </c>
      <c r="C73" t="s">
        <v>340</v>
      </c>
      <c r="E73" t="s">
        <v>143</v>
      </c>
    </row>
    <row r="74" spans="1:5">
      <c r="C74" t="s">
        <v>880</v>
      </c>
    </row>
    <row r="75" spans="1:5">
      <c r="C75" t="s">
        <v>877</v>
      </c>
      <c r="E75" t="s">
        <v>144</v>
      </c>
    </row>
    <row r="76" spans="1:5">
      <c r="C76" t="s">
        <v>138</v>
      </c>
    </row>
    <row r="77" spans="1:5">
      <c r="A77" t="s">
        <v>16</v>
      </c>
      <c r="B77" t="s">
        <v>138</v>
      </c>
      <c r="C77" t="s">
        <v>881</v>
      </c>
    </row>
    <row r="78" spans="1:5">
      <c r="C78" t="s">
        <v>3</v>
      </c>
      <c r="E78" t="s">
        <v>97</v>
      </c>
    </row>
    <row r="79" spans="1:5">
      <c r="C79" t="s">
        <v>882</v>
      </c>
      <c r="E79" t="s">
        <v>355</v>
      </c>
    </row>
    <row r="80" spans="1:5">
      <c r="C80" t="s">
        <v>883</v>
      </c>
      <c r="E80" t="s">
        <v>380</v>
      </c>
    </row>
    <row r="81" spans="1:5">
      <c r="C81" t="s">
        <v>884</v>
      </c>
    </row>
    <row r="82" spans="1:5">
      <c r="C82" t="s">
        <v>6</v>
      </c>
    </row>
    <row r="83" spans="1:5">
      <c r="C83" t="s">
        <v>24</v>
      </c>
      <c r="E83" t="s">
        <v>146</v>
      </c>
    </row>
    <row r="84" spans="1:5">
      <c r="C84" t="s">
        <v>341</v>
      </c>
      <c r="E84" t="s">
        <v>145</v>
      </c>
    </row>
    <row r="85" spans="1:5">
      <c r="C85" t="s">
        <v>885</v>
      </c>
      <c r="E85" t="s">
        <v>137</v>
      </c>
    </row>
    <row r="88" spans="1:5">
      <c r="A88" t="s">
        <v>16</v>
      </c>
      <c r="B88" t="s">
        <v>67</v>
      </c>
      <c r="C88" t="s">
        <v>68</v>
      </c>
    </row>
    <row r="89" spans="1:5">
      <c r="C89" t="s">
        <v>69</v>
      </c>
    </row>
    <row r="91" spans="1:5">
      <c r="A91" t="s">
        <v>15</v>
      </c>
      <c r="B91" t="s">
        <v>35</v>
      </c>
      <c r="C91" t="s">
        <v>36</v>
      </c>
      <c r="D91" t="b">
        <v>0</v>
      </c>
    </row>
    <row r="92" spans="1:5">
      <c r="A92" t="s">
        <v>16</v>
      </c>
      <c r="B92" t="s">
        <v>466</v>
      </c>
      <c r="C92" t="s">
        <v>464</v>
      </c>
      <c r="E92" t="s">
        <v>465</v>
      </c>
    </row>
  </sheetData>
  <pageMargins left="0.25" right="0.25" top="0.75" bottom="0.75" header="0.3" footer="0.3"/>
  <pageSetup paperSize="9" scale="51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J54"/>
  <sheetViews>
    <sheetView topLeftCell="A25" zoomScale="106" zoomScaleNormal="106" workbookViewId="0">
      <selection activeCell="C42" sqref="C42"/>
    </sheetView>
  </sheetViews>
  <sheetFormatPr defaultRowHeight="15"/>
  <cols>
    <col min="2" max="2" width="21.85546875" customWidth="1"/>
    <col min="3" max="3" width="79.85546875" customWidth="1"/>
    <col min="4" max="4" width="86.7109375" bestFit="1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417</v>
      </c>
      <c r="C2" t="s">
        <v>863</v>
      </c>
      <c r="D2" s="2" t="s">
        <v>844</v>
      </c>
    </row>
    <row r="4" spans="1:5">
      <c r="A4" t="s">
        <v>15</v>
      </c>
      <c r="B4" t="s">
        <v>682</v>
      </c>
      <c r="C4" t="s">
        <v>850</v>
      </c>
      <c r="D4">
        <v>0</v>
      </c>
      <c r="E4" t="s">
        <v>683</v>
      </c>
    </row>
    <row r="6" spans="1:5">
      <c r="A6" t="s">
        <v>15</v>
      </c>
      <c r="B6" t="s">
        <v>757</v>
      </c>
      <c r="C6" t="s">
        <v>866</v>
      </c>
    </row>
    <row r="8" spans="1:5">
      <c r="A8" t="s">
        <v>15</v>
      </c>
      <c r="B8" s="3" t="s">
        <v>358</v>
      </c>
      <c r="C8" t="s">
        <v>365</v>
      </c>
      <c r="D8" t="s">
        <v>864</v>
      </c>
    </row>
    <row r="9" spans="1:5">
      <c r="C9" t="s">
        <v>36</v>
      </c>
      <c r="D9" t="b">
        <v>0</v>
      </c>
    </row>
    <row r="11" spans="1:5">
      <c r="A11" t="s">
        <v>15</v>
      </c>
      <c r="B11" t="s">
        <v>9</v>
      </c>
      <c r="C11" t="s">
        <v>841</v>
      </c>
      <c r="D11" s="2" t="s">
        <v>842</v>
      </c>
      <c r="E11" s="3" t="s">
        <v>435</v>
      </c>
    </row>
    <row r="12" spans="1:5">
      <c r="E12" s="3"/>
    </row>
    <row r="13" spans="1:5">
      <c r="A13" t="s">
        <v>16</v>
      </c>
      <c r="B13" s="3" t="s">
        <v>25</v>
      </c>
      <c r="C13" t="s">
        <v>840</v>
      </c>
      <c r="E13" t="s">
        <v>148</v>
      </c>
    </row>
    <row r="14" spans="1:5">
      <c r="B14" s="3"/>
      <c r="C14" t="s">
        <v>681</v>
      </c>
      <c r="D14" s="3"/>
    </row>
    <row r="15" spans="1:5">
      <c r="C15" t="s">
        <v>674</v>
      </c>
    </row>
    <row r="16" spans="1:5">
      <c r="C16" t="s">
        <v>418</v>
      </c>
      <c r="E16" t="s">
        <v>371</v>
      </c>
    </row>
    <row r="18" spans="1:5">
      <c r="A18" t="s">
        <v>16</v>
      </c>
      <c r="B18" s="3" t="s">
        <v>674</v>
      </c>
      <c r="C18" t="s">
        <v>843</v>
      </c>
    </row>
    <row r="19" spans="1:5">
      <c r="B19" s="3"/>
      <c r="C19" t="s">
        <v>339</v>
      </c>
    </row>
    <row r="20" spans="1:5">
      <c r="C20" t="s">
        <v>675</v>
      </c>
    </row>
    <row r="21" spans="1:5">
      <c r="A21" t="s">
        <v>16</v>
      </c>
      <c r="B21" t="s">
        <v>675</v>
      </c>
      <c r="C21" t="s">
        <v>906</v>
      </c>
      <c r="E21" t="s">
        <v>673</v>
      </c>
    </row>
    <row r="23" spans="1:5">
      <c r="A23" t="s">
        <v>16</v>
      </c>
      <c r="B23" s="3" t="s">
        <v>32</v>
      </c>
      <c r="C23" t="s">
        <v>400</v>
      </c>
    </row>
    <row r="24" spans="1:5">
      <c r="B24" s="3"/>
      <c r="C24" t="s">
        <v>419</v>
      </c>
      <c r="E24" t="s">
        <v>117</v>
      </c>
    </row>
    <row r="25" spans="1:5">
      <c r="C25" t="s">
        <v>118</v>
      </c>
    </row>
    <row r="26" spans="1:5">
      <c r="A26" t="s">
        <v>16</v>
      </c>
      <c r="B26" t="s">
        <v>118</v>
      </c>
      <c r="C26" t="s">
        <v>424</v>
      </c>
    </row>
    <row r="27" spans="1:5">
      <c r="C27" t="s">
        <v>684</v>
      </c>
      <c r="E27" t="s">
        <v>759</v>
      </c>
    </row>
    <row r="28" spans="1:5">
      <c r="C28" t="s">
        <v>695</v>
      </c>
      <c r="E28" t="s">
        <v>760</v>
      </c>
    </row>
    <row r="29" spans="1:5">
      <c r="C29" t="s">
        <v>769</v>
      </c>
      <c r="E29" t="s">
        <v>770</v>
      </c>
    </row>
    <row r="31" spans="1:5">
      <c r="A31" t="s">
        <v>16</v>
      </c>
      <c r="B31" t="s">
        <v>849</v>
      </c>
      <c r="C31" t="s">
        <v>850</v>
      </c>
    </row>
    <row r="32" spans="1:5">
      <c r="C32" t="s">
        <v>851</v>
      </c>
    </row>
    <row r="33" spans="3:3">
      <c r="C33" t="s">
        <v>853</v>
      </c>
    </row>
    <row r="34" spans="3:3">
      <c r="C34" t="s">
        <v>854</v>
      </c>
    </row>
    <row r="35" spans="3:3">
      <c r="C35" t="s">
        <v>855</v>
      </c>
    </row>
    <row r="36" spans="3:3">
      <c r="C36" t="s">
        <v>339</v>
      </c>
    </row>
    <row r="37" spans="3:3">
      <c r="C37" t="s">
        <v>856</v>
      </c>
    </row>
    <row r="38" spans="3:3">
      <c r="C38" t="s">
        <v>854</v>
      </c>
    </row>
    <row r="39" spans="3:3">
      <c r="C39" t="s">
        <v>857</v>
      </c>
    </row>
    <row r="40" spans="3:3">
      <c r="C40" t="s">
        <v>339</v>
      </c>
    </row>
    <row r="41" spans="3:3">
      <c r="C41" t="s">
        <v>862</v>
      </c>
    </row>
    <row r="42" spans="3:3">
      <c r="C42" t="s">
        <v>854</v>
      </c>
    </row>
    <row r="43" spans="3:3">
      <c r="C43" t="s">
        <v>858</v>
      </c>
    </row>
    <row r="44" spans="3:3">
      <c r="C44" t="s">
        <v>339</v>
      </c>
    </row>
    <row r="45" spans="3:3">
      <c r="C45" t="s">
        <v>859</v>
      </c>
    </row>
    <row r="46" spans="3:3">
      <c r="C46" t="s">
        <v>24</v>
      </c>
    </row>
    <row r="47" spans="3:3">
      <c r="C47" t="s">
        <v>860</v>
      </c>
    </row>
    <row r="48" spans="3:3">
      <c r="C48" t="s">
        <v>861</v>
      </c>
    </row>
    <row r="49" spans="1:10">
      <c r="C49" t="s">
        <v>780</v>
      </c>
    </row>
    <row r="50" spans="1:10">
      <c r="C50" t="s">
        <v>865</v>
      </c>
    </row>
    <row r="52" spans="1:10">
      <c r="A52" t="s">
        <v>16</v>
      </c>
      <c r="B52" t="s">
        <v>790</v>
      </c>
      <c r="C52" t="s">
        <v>797</v>
      </c>
      <c r="E52" t="s">
        <v>835</v>
      </c>
      <c r="J52" t="s">
        <v>793</v>
      </c>
    </row>
    <row r="53" spans="1:10">
      <c r="C53" t="s">
        <v>839</v>
      </c>
      <c r="E53" t="s">
        <v>837</v>
      </c>
    </row>
    <row r="54" spans="1:10">
      <c r="C54" t="s">
        <v>829</v>
      </c>
      <c r="E54" t="s">
        <v>836</v>
      </c>
    </row>
  </sheetData>
  <hyperlinks>
    <hyperlink ref="L24" r:id="rId1" display="url:URL_Dclick_Pages" xr:uid="{18CC2C60-2FCA-4D97-BF3D-91A1B64090E1}"/>
    <hyperlink ref="C24" r:id="rId2" display="url:URL_Dclick_Pages" xr:uid="{707A6D4C-8412-4452-AC65-D819935979F8}"/>
    <hyperlink ref="C18" r:id="rId3" display="url:DCLICK" xr:uid="{E0702C11-BD78-4B60-A4D6-C45653707986}"/>
    <hyperlink ref="D2" r:id="rId4" xr:uid="{71B0E120-049E-40DB-BAEA-F76798092C5D}"/>
    <hyperlink ref="D11" r:id="rId5" xr:uid="{D4BBDF97-D476-4C17-AFAC-C3FA8F5853AC}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C7654-59CE-4A28-9C0C-9D93EC9FB392}">
  <sheetPr codeName="Sheet16"/>
  <dimension ref="A1:J59"/>
  <sheetViews>
    <sheetView workbookViewId="0">
      <selection activeCell="C6" sqref="C6"/>
    </sheetView>
  </sheetViews>
  <sheetFormatPr defaultRowHeight="15"/>
  <cols>
    <col min="2" max="2" width="21.85546875" customWidth="1"/>
    <col min="3" max="3" width="73.140625" customWidth="1"/>
    <col min="4" max="4" width="90.42578125" bestFit="1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417</v>
      </c>
      <c r="C2" t="s">
        <v>928</v>
      </c>
      <c r="D2" s="2" t="s">
        <v>904</v>
      </c>
      <c r="E2" t="s">
        <v>926</v>
      </c>
    </row>
    <row r="4" spans="1:5">
      <c r="A4" t="s">
        <v>15</v>
      </c>
      <c r="B4" t="s">
        <v>682</v>
      </c>
      <c r="C4" t="s">
        <v>850</v>
      </c>
      <c r="D4">
        <v>0</v>
      </c>
      <c r="E4" t="s">
        <v>683</v>
      </c>
    </row>
    <row r="6" spans="1:5">
      <c r="A6" t="s">
        <v>15</v>
      </c>
      <c r="B6" t="s">
        <v>757</v>
      </c>
      <c r="C6" t="s">
        <v>866</v>
      </c>
    </row>
    <row r="8" spans="1:5">
      <c r="A8" t="s">
        <v>15</v>
      </c>
      <c r="B8" s="3" t="s">
        <v>358</v>
      </c>
      <c r="C8" t="s">
        <v>360</v>
      </c>
      <c r="D8" t="s">
        <v>921</v>
      </c>
    </row>
    <row r="9" spans="1:5">
      <c r="B9" s="3"/>
      <c r="C9" t="s">
        <v>912</v>
      </c>
      <c r="D9" t="s">
        <v>913</v>
      </c>
    </row>
    <row r="10" spans="1:5">
      <c r="C10" t="s">
        <v>36</v>
      </c>
      <c r="D10" t="b">
        <v>0</v>
      </c>
    </row>
    <row r="12" spans="1:5">
      <c r="A12" t="s">
        <v>15</v>
      </c>
      <c r="B12" t="s">
        <v>9</v>
      </c>
      <c r="C12" t="s">
        <v>841</v>
      </c>
      <c r="D12" s="2" t="s">
        <v>842</v>
      </c>
      <c r="E12" s="3" t="s">
        <v>435</v>
      </c>
    </row>
    <row r="13" spans="1:5">
      <c r="E13" s="3"/>
    </row>
    <row r="14" spans="1:5">
      <c r="A14" t="s">
        <v>16</v>
      </c>
      <c r="B14" s="3" t="s">
        <v>25</v>
      </c>
      <c r="C14" t="s">
        <v>840</v>
      </c>
      <c r="E14" t="s">
        <v>148</v>
      </c>
    </row>
    <row r="15" spans="1:5">
      <c r="B15" s="3"/>
      <c r="C15" t="s">
        <v>681</v>
      </c>
      <c r="D15" s="3"/>
    </row>
    <row r="16" spans="1:5">
      <c r="C16" t="s">
        <v>674</v>
      </c>
    </row>
    <row r="17" spans="1:5">
      <c r="C17" t="s">
        <v>418</v>
      </c>
      <c r="E17" t="s">
        <v>371</v>
      </c>
    </row>
    <row r="19" spans="1:5">
      <c r="A19" t="s">
        <v>16</v>
      </c>
      <c r="B19" s="3" t="s">
        <v>674</v>
      </c>
      <c r="C19" t="s">
        <v>843</v>
      </c>
    </row>
    <row r="20" spans="1:5">
      <c r="B20" s="3"/>
      <c r="C20" t="s">
        <v>885</v>
      </c>
    </row>
    <row r="21" spans="1:5">
      <c r="B21" s="3"/>
      <c r="C21" t="s">
        <v>339</v>
      </c>
    </row>
    <row r="22" spans="1:5">
      <c r="C22" t="s">
        <v>675</v>
      </c>
    </row>
    <row r="23" spans="1:5">
      <c r="A23" t="s">
        <v>16</v>
      </c>
      <c r="B23" t="s">
        <v>675</v>
      </c>
      <c r="C23" t="s">
        <v>852</v>
      </c>
      <c r="E23" t="s">
        <v>673</v>
      </c>
    </row>
    <row r="25" spans="1:5">
      <c r="A25" t="s">
        <v>16</v>
      </c>
      <c r="B25" s="3" t="s">
        <v>32</v>
      </c>
      <c r="C25" t="s">
        <v>400</v>
      </c>
    </row>
    <row r="26" spans="1:5">
      <c r="B26" s="3"/>
      <c r="C26" t="s">
        <v>419</v>
      </c>
      <c r="E26" t="s">
        <v>117</v>
      </c>
    </row>
    <row r="27" spans="1:5">
      <c r="C27" t="s">
        <v>118</v>
      </c>
    </row>
    <row r="28" spans="1:5">
      <c r="A28" t="s">
        <v>16</v>
      </c>
      <c r="B28" t="s">
        <v>118</v>
      </c>
      <c r="C28" t="s">
        <v>424</v>
      </c>
    </row>
    <row r="29" spans="1:5">
      <c r="C29" t="s">
        <v>684</v>
      </c>
      <c r="E29" t="s">
        <v>759</v>
      </c>
    </row>
    <row r="30" spans="1:5">
      <c r="C30" t="s">
        <v>910</v>
      </c>
      <c r="E30" t="s">
        <v>760</v>
      </c>
    </row>
    <row r="31" spans="1:5">
      <c r="C31" t="s">
        <v>769</v>
      </c>
      <c r="E31" t="s">
        <v>770</v>
      </c>
    </row>
    <row r="33" spans="1:5">
      <c r="A33" t="s">
        <v>16</v>
      </c>
      <c r="B33" t="s">
        <v>849</v>
      </c>
      <c r="C33" t="s">
        <v>850</v>
      </c>
    </row>
    <row r="34" spans="1:5">
      <c r="C34" t="s">
        <v>905</v>
      </c>
    </row>
    <row r="35" spans="1:5">
      <c r="C35" t="s">
        <v>856</v>
      </c>
    </row>
    <row r="36" spans="1:5">
      <c r="C36" t="s">
        <v>854</v>
      </c>
    </row>
    <row r="37" spans="1:5">
      <c r="C37" t="s">
        <v>907</v>
      </c>
    </row>
    <row r="38" spans="1:5">
      <c r="C38" t="s">
        <v>908</v>
      </c>
    </row>
    <row r="39" spans="1:5">
      <c r="C39" t="s">
        <v>909</v>
      </c>
    </row>
    <row r="40" spans="1:5">
      <c r="C40" t="s">
        <v>339</v>
      </c>
    </row>
    <row r="41" spans="1:5">
      <c r="C41" t="s">
        <v>916</v>
      </c>
    </row>
    <row r="42" spans="1:5">
      <c r="C42" t="s">
        <v>917</v>
      </c>
    </row>
    <row r="43" spans="1:5">
      <c r="C43" t="s">
        <v>918</v>
      </c>
    </row>
    <row r="44" spans="1:5">
      <c r="C44" t="s">
        <v>919</v>
      </c>
    </row>
    <row r="45" spans="1:5">
      <c r="C45" t="s">
        <v>339</v>
      </c>
    </row>
    <row r="46" spans="1:5">
      <c r="C46" t="s">
        <v>1</v>
      </c>
    </row>
    <row r="47" spans="1:5">
      <c r="C47" t="s">
        <v>859</v>
      </c>
    </row>
    <row r="48" spans="1:5">
      <c r="C48" t="s">
        <v>922</v>
      </c>
      <c r="E48" t="s">
        <v>923</v>
      </c>
    </row>
    <row r="49" spans="1:10">
      <c r="C49" t="s">
        <v>860</v>
      </c>
    </row>
    <row r="50" spans="1:10">
      <c r="C50" t="s">
        <v>861</v>
      </c>
    </row>
    <row r="51" spans="1:10">
      <c r="C51" t="s">
        <v>925</v>
      </c>
      <c r="F51" t="s">
        <v>911</v>
      </c>
      <c r="G51" t="s">
        <v>924</v>
      </c>
    </row>
    <row r="52" spans="1:10">
      <c r="C52" t="s">
        <v>920</v>
      </c>
      <c r="E52" t="s">
        <v>927</v>
      </c>
    </row>
    <row r="53" spans="1:10">
      <c r="C53" t="s">
        <v>914</v>
      </c>
    </row>
    <row r="54" spans="1:10">
      <c r="C54" t="s">
        <v>915</v>
      </c>
    </row>
    <row r="57" spans="1:10">
      <c r="A57" t="s">
        <v>16</v>
      </c>
      <c r="B57" t="s">
        <v>790</v>
      </c>
      <c r="C57" t="s">
        <v>797</v>
      </c>
      <c r="E57" t="s">
        <v>835</v>
      </c>
      <c r="J57" t="s">
        <v>793</v>
      </c>
    </row>
    <row r="58" spans="1:10">
      <c r="C58" t="s">
        <v>839</v>
      </c>
      <c r="E58" t="s">
        <v>837</v>
      </c>
    </row>
    <row r="59" spans="1:10">
      <c r="C59" t="s">
        <v>829</v>
      </c>
      <c r="E59" t="s">
        <v>836</v>
      </c>
    </row>
  </sheetData>
  <hyperlinks>
    <hyperlink ref="L26" r:id="rId1" display="url:URL_Dclick_Pages" xr:uid="{FDA2DFBB-1667-4F93-9558-80CE047FC6BA}"/>
    <hyperlink ref="C26" r:id="rId2" display="url:URL_Dclick_Pages" xr:uid="{AAE84E4A-2218-40C6-99A7-C3C24003999A}"/>
    <hyperlink ref="C19" r:id="rId3" display="url:DCLICK" xr:uid="{28970F34-B856-4FCC-B6C5-7A712EB15712}"/>
    <hyperlink ref="D12" r:id="rId4" xr:uid="{D07381AF-8C2F-4468-97D6-74395B50689E}"/>
    <hyperlink ref="D2" r:id="rId5" xr:uid="{2337D96E-180B-479C-9AEC-2625B438BB8A}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AA17-7E64-4DAB-89D2-115418B4A8FC}">
  <sheetPr codeName="Sheet15"/>
  <dimension ref="A1:J69"/>
  <sheetViews>
    <sheetView workbookViewId="0">
      <selection activeCell="C104" sqref="C104"/>
    </sheetView>
  </sheetViews>
  <sheetFormatPr defaultRowHeight="15"/>
  <cols>
    <col min="2" max="2" width="21.85546875" customWidth="1"/>
    <col min="3" max="3" width="115.5703125" customWidth="1"/>
    <col min="4" max="4" width="86.7109375" bestFit="1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417</v>
      </c>
      <c r="C2" t="s">
        <v>894</v>
      </c>
      <c r="D2" s="2" t="s">
        <v>895</v>
      </c>
    </row>
    <row r="4" spans="1:5">
      <c r="A4" t="s">
        <v>15</v>
      </c>
      <c r="B4" t="s">
        <v>682</v>
      </c>
      <c r="C4" t="s">
        <v>850</v>
      </c>
      <c r="D4">
        <v>0</v>
      </c>
      <c r="E4" t="s">
        <v>683</v>
      </c>
    </row>
    <row r="6" spans="1:5">
      <c r="A6" t="s">
        <v>15</v>
      </c>
      <c r="B6" t="s">
        <v>757</v>
      </c>
      <c r="C6" t="s">
        <v>866</v>
      </c>
    </row>
    <row r="8" spans="1:5">
      <c r="A8" t="s">
        <v>15</v>
      </c>
      <c r="B8" s="3" t="s">
        <v>358</v>
      </c>
      <c r="C8" t="s">
        <v>365</v>
      </c>
      <c r="D8" t="s">
        <v>864</v>
      </c>
    </row>
    <row r="9" spans="1:5">
      <c r="C9" t="s">
        <v>36</v>
      </c>
      <c r="D9" t="b">
        <v>0</v>
      </c>
    </row>
    <row r="11" spans="1:5">
      <c r="A11" t="s">
        <v>15</v>
      </c>
      <c r="B11" t="s">
        <v>9</v>
      </c>
      <c r="C11" t="s">
        <v>894</v>
      </c>
      <c r="D11" s="2" t="s">
        <v>842</v>
      </c>
      <c r="E11" s="3" t="s">
        <v>435</v>
      </c>
    </row>
    <row r="12" spans="1:5">
      <c r="E12" s="3"/>
    </row>
    <row r="13" spans="1:5">
      <c r="A13" t="s">
        <v>16</v>
      </c>
      <c r="B13" s="3" t="s">
        <v>25</v>
      </c>
      <c r="C13" t="s">
        <v>903</v>
      </c>
      <c r="E13" t="s">
        <v>148</v>
      </c>
    </row>
    <row r="14" spans="1:5">
      <c r="B14" s="3"/>
      <c r="C14" t="s">
        <v>681</v>
      </c>
      <c r="D14" s="3"/>
    </row>
    <row r="15" spans="1:5">
      <c r="C15" t="s">
        <v>898</v>
      </c>
    </row>
    <row r="16" spans="1:5">
      <c r="C16" t="s">
        <v>418</v>
      </c>
      <c r="E16" t="s">
        <v>371</v>
      </c>
    </row>
    <row r="18" spans="1:5">
      <c r="A18" t="s">
        <v>16</v>
      </c>
      <c r="B18" s="3" t="s">
        <v>674</v>
      </c>
      <c r="C18" t="s">
        <v>896</v>
      </c>
    </row>
    <row r="19" spans="1:5">
      <c r="B19" s="3"/>
      <c r="C19" t="s">
        <v>339</v>
      </c>
    </row>
    <row r="20" spans="1:5">
      <c r="C20" t="s">
        <v>675</v>
      </c>
    </row>
    <row r="21" spans="1:5">
      <c r="A21" t="s">
        <v>16</v>
      </c>
      <c r="B21" t="s">
        <v>675</v>
      </c>
      <c r="C21" t="s">
        <v>897</v>
      </c>
      <c r="E21" t="s">
        <v>673</v>
      </c>
    </row>
    <row r="23" spans="1:5">
      <c r="A23" t="s">
        <v>16</v>
      </c>
      <c r="B23" s="3" t="s">
        <v>32</v>
      </c>
      <c r="C23" t="s">
        <v>400</v>
      </c>
    </row>
    <row r="24" spans="1:5">
      <c r="B24" s="3"/>
      <c r="C24" s="2" t="s">
        <v>419</v>
      </c>
      <c r="E24" t="s">
        <v>117</v>
      </c>
    </row>
    <row r="25" spans="1:5">
      <c r="C25" t="s">
        <v>118</v>
      </c>
    </row>
    <row r="26" spans="1:5">
      <c r="A26" t="s">
        <v>16</v>
      </c>
      <c r="B26" t="s">
        <v>118</v>
      </c>
      <c r="C26" t="s">
        <v>424</v>
      </c>
    </row>
    <row r="27" spans="1:5">
      <c r="C27" t="s">
        <v>900</v>
      </c>
      <c r="E27" t="s">
        <v>759</v>
      </c>
    </row>
    <row r="28" spans="1:5">
      <c r="E28" t="s">
        <v>760</v>
      </c>
    </row>
    <row r="29" spans="1:5">
      <c r="C29" t="s">
        <v>769</v>
      </c>
      <c r="E29" t="s">
        <v>770</v>
      </c>
    </row>
    <row r="31" spans="1:5">
      <c r="A31" t="s">
        <v>16</v>
      </c>
      <c r="B31" t="s">
        <v>849</v>
      </c>
      <c r="C31" t="s">
        <v>850</v>
      </c>
    </row>
    <row r="32" spans="1:5">
      <c r="C32" t="s">
        <v>851</v>
      </c>
    </row>
    <row r="33" spans="3:3">
      <c r="C33" t="s">
        <v>853</v>
      </c>
    </row>
    <row r="34" spans="3:3">
      <c r="C34" t="s">
        <v>854</v>
      </c>
    </row>
    <row r="35" spans="3:3">
      <c r="C35" t="s">
        <v>855</v>
      </c>
    </row>
    <row r="36" spans="3:3">
      <c r="C36" t="s">
        <v>339</v>
      </c>
    </row>
    <row r="37" spans="3:3">
      <c r="C37" t="s">
        <v>856</v>
      </c>
    </row>
    <row r="38" spans="3:3">
      <c r="C38" t="s">
        <v>854</v>
      </c>
    </row>
    <row r="39" spans="3:3">
      <c r="C39" t="s">
        <v>857</v>
      </c>
    </row>
    <row r="40" spans="3:3">
      <c r="C40" t="s">
        <v>339</v>
      </c>
    </row>
    <row r="41" spans="3:3">
      <c r="C41" t="s">
        <v>862</v>
      </c>
    </row>
    <row r="42" spans="3:3">
      <c r="C42" t="s">
        <v>854</v>
      </c>
    </row>
    <row r="43" spans="3:3">
      <c r="C43" t="s">
        <v>858</v>
      </c>
    </row>
    <row r="44" spans="3:3">
      <c r="C44" t="s">
        <v>339</v>
      </c>
    </row>
    <row r="45" spans="3:3">
      <c r="C45" t="s">
        <v>859</v>
      </c>
    </row>
    <row r="46" spans="3:3">
      <c r="C46" t="s">
        <v>24</v>
      </c>
    </row>
    <row r="47" spans="3:3">
      <c r="C47" t="s">
        <v>860</v>
      </c>
    </row>
    <row r="48" spans="3:3">
      <c r="C48" t="s">
        <v>861</v>
      </c>
    </row>
    <row r="49" spans="1:10">
      <c r="C49" t="s">
        <v>780</v>
      </c>
    </row>
    <row r="50" spans="1:10">
      <c r="C50" t="s">
        <v>865</v>
      </c>
    </row>
    <row r="52" spans="1:10">
      <c r="A52" t="s">
        <v>16</v>
      </c>
      <c r="B52" t="s">
        <v>790</v>
      </c>
      <c r="C52" t="s">
        <v>797</v>
      </c>
      <c r="E52" t="s">
        <v>835</v>
      </c>
      <c r="J52" t="s">
        <v>793</v>
      </c>
    </row>
    <row r="53" spans="1:10">
      <c r="C53" t="s">
        <v>839</v>
      </c>
      <c r="E53" t="s">
        <v>837</v>
      </c>
    </row>
    <row r="54" spans="1:10">
      <c r="C54" t="s">
        <v>829</v>
      </c>
      <c r="E54" t="s">
        <v>836</v>
      </c>
    </row>
    <row r="57" spans="1:10">
      <c r="A57" t="s">
        <v>16</v>
      </c>
      <c r="B57" t="s">
        <v>17</v>
      </c>
      <c r="C57" t="s">
        <v>901</v>
      </c>
      <c r="E57" t="s">
        <v>143</v>
      </c>
    </row>
    <row r="58" spans="1:10">
      <c r="C58" t="s">
        <v>902</v>
      </c>
    </row>
    <row r="59" spans="1:10">
      <c r="C59" t="s">
        <v>877</v>
      </c>
      <c r="E59" t="s">
        <v>144</v>
      </c>
    </row>
    <row r="60" spans="1:10">
      <c r="C60" t="s">
        <v>138</v>
      </c>
    </row>
    <row r="61" spans="1:10">
      <c r="A61" t="s">
        <v>16</v>
      </c>
      <c r="B61" t="s">
        <v>138</v>
      </c>
      <c r="C61" t="s">
        <v>881</v>
      </c>
    </row>
    <row r="62" spans="1:10">
      <c r="C62" t="s">
        <v>3</v>
      </c>
      <c r="E62" t="s">
        <v>97</v>
      </c>
    </row>
    <row r="63" spans="1:10">
      <c r="C63" t="s">
        <v>882</v>
      </c>
      <c r="E63" t="s">
        <v>355</v>
      </c>
    </row>
    <row r="64" spans="1:10">
      <c r="C64" t="s">
        <v>883</v>
      </c>
      <c r="E64" t="s">
        <v>380</v>
      </c>
    </row>
    <row r="65" spans="3:5">
      <c r="C65" t="s">
        <v>884</v>
      </c>
    </row>
    <row r="66" spans="3:5">
      <c r="C66" t="s">
        <v>6</v>
      </c>
    </row>
    <row r="67" spans="3:5">
      <c r="C67" t="s">
        <v>454</v>
      </c>
      <c r="E67" t="s">
        <v>146</v>
      </c>
    </row>
    <row r="68" spans="3:5">
      <c r="C68" t="s">
        <v>341</v>
      </c>
      <c r="E68" t="s">
        <v>145</v>
      </c>
    </row>
    <row r="69" spans="3:5">
      <c r="C69" t="s">
        <v>885</v>
      </c>
      <c r="E69" t="s">
        <v>137</v>
      </c>
    </row>
  </sheetData>
  <hyperlinks>
    <hyperlink ref="L24" r:id="rId1" display="url:URL_Dclick_Pages" xr:uid="{904A4BD4-87F3-4464-8115-332A485683C4}"/>
    <hyperlink ref="C24" r:id="rId2" xr:uid="{6BFAB96A-5CAC-4960-8EE3-1535E877C178}"/>
    <hyperlink ref="D11" r:id="rId3" xr:uid="{2970C931-F37C-4A63-825F-25AC948E90C8}"/>
    <hyperlink ref="C18" r:id="rId4" display="url:DCLICK" xr:uid="{CEA5BB3D-245A-4D42-8280-71F1AC389E55}"/>
  </hyperlink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>
    <tabColor theme="0" tint="-0.499984740745262"/>
  </sheetPr>
  <dimension ref="A1:R128"/>
  <sheetViews>
    <sheetView topLeftCell="A83" workbookViewId="0">
      <selection activeCell="C104" sqref="C104"/>
    </sheetView>
  </sheetViews>
  <sheetFormatPr defaultRowHeight="15"/>
  <cols>
    <col min="2" max="2" width="21.85546875" customWidth="1"/>
    <col min="3" max="3" width="122.5703125" bestFit="1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417</v>
      </c>
      <c r="C2" t="s">
        <v>824</v>
      </c>
      <c r="D2" t="s">
        <v>823</v>
      </c>
      <c r="I2" t="s">
        <v>677</v>
      </c>
    </row>
    <row r="3" spans="1:18">
      <c r="C3" t="s">
        <v>825</v>
      </c>
      <c r="D3" t="s">
        <v>822</v>
      </c>
      <c r="E3" t="s">
        <v>92</v>
      </c>
      <c r="I3" t="s">
        <v>678</v>
      </c>
    </row>
    <row r="6" spans="1:18">
      <c r="A6" t="s">
        <v>15</v>
      </c>
      <c r="B6" t="s">
        <v>682</v>
      </c>
      <c r="C6" t="s">
        <v>772</v>
      </c>
      <c r="D6">
        <v>0</v>
      </c>
      <c r="E6" t="s">
        <v>683</v>
      </c>
      <c r="I6" t="s">
        <v>685</v>
      </c>
      <c r="J6" t="s">
        <v>686</v>
      </c>
    </row>
    <row r="7" spans="1:18">
      <c r="C7" t="s">
        <v>772</v>
      </c>
      <c r="E7" t="s">
        <v>756</v>
      </c>
      <c r="Q7" t="s">
        <v>680</v>
      </c>
      <c r="R7" t="s">
        <v>692</v>
      </c>
    </row>
    <row r="8" spans="1:18">
      <c r="Q8" t="s">
        <v>690</v>
      </c>
      <c r="R8" t="s">
        <v>689</v>
      </c>
    </row>
    <row r="9" spans="1:18">
      <c r="E9" t="s">
        <v>768</v>
      </c>
      <c r="Q9" t="s">
        <v>679</v>
      </c>
      <c r="R9" t="s">
        <v>691</v>
      </c>
    </row>
    <row r="10" spans="1:18">
      <c r="A10" t="s">
        <v>15</v>
      </c>
      <c r="B10" t="s">
        <v>757</v>
      </c>
      <c r="C10" t="s">
        <v>791</v>
      </c>
      <c r="L10" t="s">
        <v>758</v>
      </c>
    </row>
    <row r="11" spans="1:18">
      <c r="C11" t="s">
        <v>791</v>
      </c>
    </row>
    <row r="12" spans="1:18">
      <c r="I12" t="b">
        <f>D2=J12</f>
        <v>1</v>
      </c>
      <c r="J12" t="s">
        <v>823</v>
      </c>
    </row>
    <row r="13" spans="1:18">
      <c r="I13" t="b">
        <f>D3=J13</f>
        <v>1</v>
      </c>
      <c r="J13" t="s">
        <v>822</v>
      </c>
    </row>
    <row r="14" spans="1:18">
      <c r="A14" t="s">
        <v>15</v>
      </c>
      <c r="B14" s="3" t="s">
        <v>358</v>
      </c>
      <c r="C14" t="s">
        <v>360</v>
      </c>
      <c r="D14" t="s">
        <v>362</v>
      </c>
      <c r="E14" s="3" t="s">
        <v>434</v>
      </c>
    </row>
    <row r="15" spans="1:18">
      <c r="C15" t="s">
        <v>253</v>
      </c>
      <c r="D15" t="s">
        <v>664</v>
      </c>
    </row>
    <row r="16" spans="1:18">
      <c r="C16" t="s">
        <v>365</v>
      </c>
      <c r="D16" t="s">
        <v>802</v>
      </c>
      <c r="H16" t="s">
        <v>363</v>
      </c>
    </row>
    <row r="17" spans="1:8">
      <c r="C17" t="s">
        <v>367</v>
      </c>
      <c r="D17" t="s">
        <v>359</v>
      </c>
      <c r="H17" t="s">
        <v>800</v>
      </c>
    </row>
    <row r="18" spans="1:8">
      <c r="C18" t="s">
        <v>36</v>
      </c>
      <c r="D18" t="b">
        <v>0</v>
      </c>
      <c r="H18" t="s">
        <v>801</v>
      </c>
    </row>
    <row r="19" spans="1:8">
      <c r="C19" t="s">
        <v>461</v>
      </c>
      <c r="D19" t="s">
        <v>533</v>
      </c>
      <c r="H19" t="s">
        <v>789</v>
      </c>
    </row>
    <row r="20" spans="1:8">
      <c r="C20" t="s">
        <v>462</v>
      </c>
      <c r="D20" t="s">
        <v>463</v>
      </c>
    </row>
    <row r="21" spans="1:8">
      <c r="C21" t="s">
        <v>534</v>
      </c>
      <c r="D21" t="s">
        <v>536</v>
      </c>
      <c r="E21" s="6"/>
    </row>
    <row r="22" spans="1:8">
      <c r="C22" t="s">
        <v>535</v>
      </c>
      <c r="D22" t="s">
        <v>538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435</v>
      </c>
    </row>
    <row r="26" spans="1:8">
      <c r="C26" t="s">
        <v>671</v>
      </c>
      <c r="D26" t="s">
        <v>670</v>
      </c>
    </row>
    <row r="28" spans="1:8">
      <c r="A28" t="s">
        <v>16</v>
      </c>
      <c r="B28" t="s">
        <v>66</v>
      </c>
      <c r="C28" t="s">
        <v>679</v>
      </c>
      <c r="E28" t="s">
        <v>136</v>
      </c>
    </row>
    <row r="29" spans="1:8">
      <c r="C29" t="s">
        <v>680</v>
      </c>
    </row>
    <row r="30" spans="1:8">
      <c r="C30" t="s">
        <v>690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406</v>
      </c>
      <c r="C35" t="s">
        <v>407</v>
      </c>
      <c r="E35" s="3" t="s">
        <v>438</v>
      </c>
    </row>
    <row r="36" spans="1:11">
      <c r="E36" s="3"/>
    </row>
    <row r="37" spans="1:11">
      <c r="A37" t="s">
        <v>16</v>
      </c>
      <c r="B37" s="3" t="s">
        <v>25</v>
      </c>
      <c r="C37" t="s">
        <v>821</v>
      </c>
      <c r="E37" t="s">
        <v>148</v>
      </c>
    </row>
    <row r="38" spans="1:11">
      <c r="B38" s="3"/>
      <c r="C38" t="s">
        <v>681</v>
      </c>
      <c r="D38" s="3"/>
    </row>
    <row r="39" spans="1:11">
      <c r="C39" t="s">
        <v>719</v>
      </c>
      <c r="E39" t="s">
        <v>751</v>
      </c>
    </row>
    <row r="40" spans="1:11">
      <c r="C40" t="s">
        <v>674</v>
      </c>
    </row>
    <row r="41" spans="1:11">
      <c r="C41" t="s">
        <v>731</v>
      </c>
      <c r="E41" t="s">
        <v>751</v>
      </c>
    </row>
    <row r="42" spans="1:11">
      <c r="C42" t="s">
        <v>418</v>
      </c>
      <c r="E42" t="s">
        <v>371</v>
      </c>
    </row>
    <row r="43" spans="1:11">
      <c r="C43" t="s">
        <v>832</v>
      </c>
    </row>
    <row r="44" spans="1:11">
      <c r="C44" t="s">
        <v>831</v>
      </c>
      <c r="K44" t="str">
        <f ca="1">_xlfn.CONCAT("createPDF:imagelist,./Output/Images/,./Output/APAC_Daily_Sales_",K48,".pdf")</f>
        <v>createPDF:imagelist,./Output/Images/,./Output/APAC_Daily_Sales_20221106120331.pdf</v>
      </c>
    </row>
    <row r="45" spans="1:11">
      <c r="C45" t="s">
        <v>440</v>
      </c>
      <c r="E45" t="s">
        <v>439</v>
      </c>
    </row>
    <row r="48" spans="1:11">
      <c r="A48" t="s">
        <v>16</v>
      </c>
      <c r="B48" t="s">
        <v>147</v>
      </c>
      <c r="C48" t="s">
        <v>366</v>
      </c>
      <c r="E48" t="s">
        <v>71</v>
      </c>
      <c r="K48" s="4" t="str">
        <f ca="1">TEXT(NOW(),"YYYYMMDDHHMMSS")</f>
        <v>20221106120331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398</v>
      </c>
    </row>
    <row r="52" spans="1:5">
      <c r="C52" t="s">
        <v>1</v>
      </c>
    </row>
    <row r="53" spans="1:5">
      <c r="C53" t="s">
        <v>339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442</v>
      </c>
      <c r="E55" s="1" t="s">
        <v>344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413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451</v>
      </c>
      <c r="E60" t="s">
        <v>452</v>
      </c>
    </row>
    <row r="61" spans="1:5">
      <c r="C61" t="s">
        <v>454</v>
      </c>
      <c r="E61" t="s">
        <v>455</v>
      </c>
    </row>
    <row r="62" spans="1:5">
      <c r="C62" t="s">
        <v>345</v>
      </c>
      <c r="E62" t="s">
        <v>111</v>
      </c>
    </row>
    <row r="63" spans="1:5">
      <c r="A63" t="s">
        <v>16</v>
      </c>
      <c r="B63" t="s">
        <v>412</v>
      </c>
      <c r="C63" t="s">
        <v>37</v>
      </c>
    </row>
    <row r="64" spans="1:5">
      <c r="C64" t="s">
        <v>458</v>
      </c>
      <c r="E64" t="s">
        <v>457</v>
      </c>
    </row>
    <row r="65" spans="1:5">
      <c r="C65" t="s">
        <v>27</v>
      </c>
    </row>
    <row r="66" spans="1:5">
      <c r="A66" t="s">
        <v>16</v>
      </c>
      <c r="B66" t="s">
        <v>453</v>
      </c>
      <c r="C66" t="s">
        <v>456</v>
      </c>
      <c r="E66" t="s">
        <v>457</v>
      </c>
    </row>
    <row r="67" spans="1:5">
      <c r="C67" t="s">
        <v>454</v>
      </c>
    </row>
    <row r="69" spans="1:5">
      <c r="A69" t="s">
        <v>16</v>
      </c>
      <c r="B69" s="3" t="s">
        <v>674</v>
      </c>
      <c r="C69" t="s">
        <v>672</v>
      </c>
    </row>
    <row r="70" spans="1:5">
      <c r="C70" t="s">
        <v>675</v>
      </c>
    </row>
    <row r="71" spans="1:5">
      <c r="A71" t="s">
        <v>16</v>
      </c>
      <c r="B71" t="s">
        <v>675</v>
      </c>
      <c r="C71" t="s">
        <v>676</v>
      </c>
      <c r="E71" t="s">
        <v>673</v>
      </c>
    </row>
    <row r="73" spans="1:5">
      <c r="A73" t="s">
        <v>16</v>
      </c>
      <c r="B73" s="3" t="s">
        <v>32</v>
      </c>
      <c r="C73" t="s">
        <v>400</v>
      </c>
    </row>
    <row r="74" spans="1:5">
      <c r="B74" s="3"/>
      <c r="C74" t="s">
        <v>419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693</v>
      </c>
    </row>
    <row r="77" spans="1:5">
      <c r="C77" t="s">
        <v>694</v>
      </c>
    </row>
    <row r="78" spans="1:5">
      <c r="C78" t="s">
        <v>424</v>
      </c>
    </row>
    <row r="79" spans="1:5">
      <c r="C79" t="s">
        <v>684</v>
      </c>
      <c r="E79" t="s">
        <v>759</v>
      </c>
    </row>
    <row r="80" spans="1:5">
      <c r="C80" t="s">
        <v>695</v>
      </c>
      <c r="E80" t="s">
        <v>760</v>
      </c>
    </row>
    <row r="81" spans="1:5">
      <c r="C81" t="s">
        <v>780</v>
      </c>
    </row>
    <row r="82" spans="1:5">
      <c r="C82" t="s">
        <v>769</v>
      </c>
      <c r="E82" t="s">
        <v>770</v>
      </c>
    </row>
    <row r="83" spans="1:5">
      <c r="C83" t="s">
        <v>588</v>
      </c>
    </row>
    <row r="85" spans="1:5">
      <c r="A85" t="s">
        <v>16</v>
      </c>
      <c r="B85" t="s">
        <v>431</v>
      </c>
      <c r="C85" t="s">
        <v>427</v>
      </c>
    </row>
    <row r="86" spans="1:5">
      <c r="C86" t="s">
        <v>430</v>
      </c>
    </row>
    <row r="87" spans="1:5">
      <c r="C87" t="s">
        <v>129</v>
      </c>
    </row>
    <row r="88" spans="1:5">
      <c r="C88" t="s">
        <v>429</v>
      </c>
    </row>
    <row r="89" spans="1:5">
      <c r="C89" t="s">
        <v>428</v>
      </c>
    </row>
    <row r="91" spans="1:5">
      <c r="A91" t="s">
        <v>16</v>
      </c>
      <c r="B91" t="s">
        <v>687</v>
      </c>
      <c r="C91" t="s">
        <v>688</v>
      </c>
    </row>
    <row r="93" spans="1:5">
      <c r="A93" t="s">
        <v>16</v>
      </c>
      <c r="B93" t="s">
        <v>761</v>
      </c>
      <c r="C93" t="s">
        <v>433</v>
      </c>
    </row>
    <row r="95" spans="1:5">
      <c r="A95" t="s">
        <v>16</v>
      </c>
      <c r="B95" t="s">
        <v>762</v>
      </c>
      <c r="C95" t="s">
        <v>24</v>
      </c>
    </row>
    <row r="96" spans="1:5">
      <c r="C96" t="s">
        <v>833</v>
      </c>
      <c r="E96" t="s">
        <v>766</v>
      </c>
    </row>
    <row r="97" spans="1:10">
      <c r="C97" t="s">
        <v>834</v>
      </c>
      <c r="E97" t="s">
        <v>765</v>
      </c>
    </row>
    <row r="98" spans="1:10">
      <c r="C98" t="s">
        <v>775</v>
      </c>
      <c r="E98" t="s">
        <v>764</v>
      </c>
    </row>
    <row r="99" spans="1:10">
      <c r="C99" t="s">
        <v>776</v>
      </c>
      <c r="E99" t="s">
        <v>5</v>
      </c>
    </row>
    <row r="100" spans="1:10">
      <c r="C100" t="s">
        <v>777</v>
      </c>
      <c r="E100" t="s">
        <v>767</v>
      </c>
    </row>
    <row r="101" spans="1:10">
      <c r="C101" t="s">
        <v>24</v>
      </c>
    </row>
    <row r="102" spans="1:10">
      <c r="C102" t="s">
        <v>779</v>
      </c>
      <c r="E102" t="s">
        <v>774</v>
      </c>
    </row>
    <row r="103" spans="1:10">
      <c r="C103" t="s">
        <v>778</v>
      </c>
    </row>
    <row r="104" spans="1:10">
      <c r="C104" t="s">
        <v>1</v>
      </c>
      <c r="E104" t="s">
        <v>781</v>
      </c>
    </row>
    <row r="105" spans="1:10">
      <c r="C105" t="s">
        <v>826</v>
      </c>
      <c r="E105" t="s">
        <v>64</v>
      </c>
    </row>
    <row r="107" spans="1:10">
      <c r="A107" t="s">
        <v>16</v>
      </c>
      <c r="B107" t="s">
        <v>790</v>
      </c>
      <c r="C107" t="s">
        <v>797</v>
      </c>
      <c r="E107" t="s">
        <v>835</v>
      </c>
      <c r="J107" t="s">
        <v>793</v>
      </c>
    </row>
    <row r="108" spans="1:10">
      <c r="C108" t="s">
        <v>839</v>
      </c>
      <c r="E108" t="s">
        <v>837</v>
      </c>
    </row>
    <row r="109" spans="1:10">
      <c r="C109" t="s">
        <v>829</v>
      </c>
      <c r="E109" t="s">
        <v>836</v>
      </c>
    </row>
    <row r="112" spans="1:10">
      <c r="A112" t="s">
        <v>16</v>
      </c>
      <c r="B112" t="s">
        <v>763</v>
      </c>
      <c r="C112" t="s">
        <v>771</v>
      </c>
      <c r="F112" t="s">
        <v>758</v>
      </c>
    </row>
    <row r="114" spans="1:10">
      <c r="A114" t="s">
        <v>16</v>
      </c>
      <c r="B114" t="s">
        <v>820</v>
      </c>
      <c r="C114" t="s">
        <v>793</v>
      </c>
      <c r="E114" t="s">
        <v>792</v>
      </c>
      <c r="J114" t="s">
        <v>793</v>
      </c>
    </row>
    <row r="115" spans="1:10">
      <c r="E115" s="11" t="s">
        <v>782</v>
      </c>
      <c r="J115" t="s">
        <v>794</v>
      </c>
    </row>
    <row r="116" spans="1:10">
      <c r="A116" t="s">
        <v>16</v>
      </c>
      <c r="B116" t="s">
        <v>795</v>
      </c>
      <c r="C116" t="s">
        <v>827</v>
      </c>
      <c r="E116" s="11" t="s">
        <v>783</v>
      </c>
    </row>
    <row r="117" spans="1:10">
      <c r="C117" t="s">
        <v>828</v>
      </c>
    </row>
    <row r="118" spans="1:10">
      <c r="E118" s="12" t="s">
        <v>784</v>
      </c>
    </row>
    <row r="120" spans="1:10">
      <c r="A120" t="s">
        <v>16</v>
      </c>
      <c r="B120" t="s">
        <v>798</v>
      </c>
      <c r="C120" t="s">
        <v>799</v>
      </c>
      <c r="E120" s="13" t="s">
        <v>785</v>
      </c>
    </row>
    <row r="121" spans="1:10">
      <c r="E121" s="12"/>
    </row>
    <row r="122" spans="1:10">
      <c r="E122" s="12" t="s">
        <v>786</v>
      </c>
    </row>
    <row r="125" spans="1:10">
      <c r="E125" t="s">
        <v>787</v>
      </c>
    </row>
    <row r="128" spans="1:10">
      <c r="E128" t="s">
        <v>788</v>
      </c>
    </row>
  </sheetData>
  <hyperlinks>
    <hyperlink ref="C69" r:id="rId1" display="url:DCLICK" xr:uid="{11524327-24B7-4F40-B5C7-075E0D45EFC7}"/>
    <hyperlink ref="L74" r:id="rId2" display="url:URL_Dclick_Pages" xr:uid="{BD2A25AC-DFF1-4DD8-A8C2-D312570AD9F1}"/>
    <hyperlink ref="C74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>
    <tabColor theme="0" tint="-0.499984740745262"/>
  </sheetPr>
  <dimension ref="A1:R128"/>
  <sheetViews>
    <sheetView topLeftCell="A42" workbookViewId="0">
      <selection activeCell="C104" sqref="C10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417</v>
      </c>
      <c r="C2" t="s">
        <v>824</v>
      </c>
      <c r="D2" t="s">
        <v>823</v>
      </c>
      <c r="I2" t="s">
        <v>677</v>
      </c>
    </row>
    <row r="3" spans="1:18">
      <c r="C3" t="s">
        <v>825</v>
      </c>
      <c r="D3" t="s">
        <v>822</v>
      </c>
      <c r="E3" t="s">
        <v>92</v>
      </c>
      <c r="I3" t="s">
        <v>678</v>
      </c>
    </row>
    <row r="4" spans="1:18">
      <c r="C4" t="s">
        <v>690</v>
      </c>
      <c r="D4" t="s">
        <v>689</v>
      </c>
    </row>
    <row r="5" spans="1:18">
      <c r="C5" t="s">
        <v>679</v>
      </c>
      <c r="D5" t="s">
        <v>691</v>
      </c>
      <c r="E5" t="s">
        <v>755</v>
      </c>
    </row>
    <row r="6" spans="1:18">
      <c r="A6" t="s">
        <v>15</v>
      </c>
      <c r="B6" t="s">
        <v>682</v>
      </c>
      <c r="C6" t="s">
        <v>772</v>
      </c>
      <c r="D6">
        <v>0</v>
      </c>
      <c r="E6" t="s">
        <v>683</v>
      </c>
      <c r="I6" t="s">
        <v>685</v>
      </c>
      <c r="J6" t="s">
        <v>686</v>
      </c>
    </row>
    <row r="7" spans="1:18">
      <c r="C7" t="s">
        <v>772</v>
      </c>
      <c r="E7" t="s">
        <v>756</v>
      </c>
      <c r="Q7" t="s">
        <v>680</v>
      </c>
      <c r="R7" t="s">
        <v>692</v>
      </c>
    </row>
    <row r="8" spans="1:18">
      <c r="C8" t="s">
        <v>686</v>
      </c>
      <c r="D8">
        <v>-1</v>
      </c>
      <c r="Q8" t="s">
        <v>690</v>
      </c>
      <c r="R8" t="s">
        <v>689</v>
      </c>
    </row>
    <row r="9" spans="1:18">
      <c r="C9" t="s">
        <v>686</v>
      </c>
      <c r="E9" t="s">
        <v>768</v>
      </c>
      <c r="Q9" t="s">
        <v>679</v>
      </c>
      <c r="R9" t="s">
        <v>691</v>
      </c>
    </row>
    <row r="10" spans="1:18">
      <c r="A10" t="s">
        <v>15</v>
      </c>
      <c r="B10" t="s">
        <v>757</v>
      </c>
      <c r="C10" t="s">
        <v>791</v>
      </c>
      <c r="L10" t="s">
        <v>758</v>
      </c>
    </row>
    <row r="11" spans="1:18">
      <c r="C11" t="s">
        <v>791</v>
      </c>
    </row>
    <row r="12" spans="1:18">
      <c r="C12" t="s">
        <v>761</v>
      </c>
      <c r="I12" t="b">
        <f>D2=J12</f>
        <v>1</v>
      </c>
      <c r="J12" t="s">
        <v>823</v>
      </c>
    </row>
    <row r="13" spans="1:18">
      <c r="C13" t="s">
        <v>761</v>
      </c>
      <c r="I13" t="b">
        <f>D3=J13</f>
        <v>1</v>
      </c>
      <c r="J13" t="s">
        <v>822</v>
      </c>
    </row>
    <row r="14" spans="1:18">
      <c r="A14" t="s">
        <v>15</v>
      </c>
      <c r="B14" s="3" t="s">
        <v>358</v>
      </c>
      <c r="C14" t="s">
        <v>360</v>
      </c>
      <c r="D14" t="s">
        <v>362</v>
      </c>
      <c r="E14" s="3" t="s">
        <v>434</v>
      </c>
    </row>
    <row r="15" spans="1:18">
      <c r="C15" t="s">
        <v>253</v>
      </c>
      <c r="D15" t="s">
        <v>664</v>
      </c>
    </row>
    <row r="16" spans="1:18">
      <c r="C16" t="s">
        <v>365</v>
      </c>
      <c r="D16" t="s">
        <v>802</v>
      </c>
      <c r="H16" t="s">
        <v>363</v>
      </c>
    </row>
    <row r="17" spans="1:8">
      <c r="C17" t="s">
        <v>367</v>
      </c>
      <c r="D17" t="s">
        <v>359</v>
      </c>
      <c r="H17" t="s">
        <v>800</v>
      </c>
    </row>
    <row r="18" spans="1:8">
      <c r="C18" t="s">
        <v>36</v>
      </c>
      <c r="D18" t="b">
        <v>0</v>
      </c>
      <c r="H18" t="s">
        <v>801</v>
      </c>
    </row>
    <row r="19" spans="1:8">
      <c r="C19" t="s">
        <v>461</v>
      </c>
      <c r="D19" t="s">
        <v>533</v>
      </c>
      <c r="H19" t="s">
        <v>789</v>
      </c>
    </row>
    <row r="20" spans="1:8">
      <c r="C20" t="s">
        <v>462</v>
      </c>
      <c r="D20" t="s">
        <v>463</v>
      </c>
    </row>
    <row r="21" spans="1:8">
      <c r="C21" t="s">
        <v>534</v>
      </c>
      <c r="D21" t="s">
        <v>536</v>
      </c>
      <c r="E21" s="6"/>
    </row>
    <row r="22" spans="1:8">
      <c r="C22" t="s">
        <v>535</v>
      </c>
      <c r="D22" t="s">
        <v>538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435</v>
      </c>
    </row>
    <row r="26" spans="1:8">
      <c r="C26" t="s">
        <v>671</v>
      </c>
      <c r="D26" t="s">
        <v>670</v>
      </c>
    </row>
    <row r="28" spans="1:8">
      <c r="A28" t="s">
        <v>16</v>
      </c>
      <c r="B28" t="s">
        <v>66</v>
      </c>
      <c r="C28" t="s">
        <v>679</v>
      </c>
      <c r="E28" t="s">
        <v>136</v>
      </c>
    </row>
    <row r="29" spans="1:8">
      <c r="C29" t="s">
        <v>680</v>
      </c>
    </row>
    <row r="30" spans="1:8">
      <c r="C30" t="s">
        <v>690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406</v>
      </c>
      <c r="C35" t="s">
        <v>407</v>
      </c>
      <c r="E35" s="3" t="s">
        <v>438</v>
      </c>
    </row>
    <row r="36" spans="1:11">
      <c r="E36" s="3"/>
    </row>
    <row r="37" spans="1:11">
      <c r="A37" t="s">
        <v>16</v>
      </c>
      <c r="B37" s="3" t="s">
        <v>25</v>
      </c>
      <c r="C37" t="s">
        <v>821</v>
      </c>
      <c r="E37" t="s">
        <v>148</v>
      </c>
    </row>
    <row r="38" spans="1:11">
      <c r="B38" s="3"/>
      <c r="C38" t="s">
        <v>681</v>
      </c>
      <c r="D38" s="3"/>
    </row>
    <row r="39" spans="1:11">
      <c r="C39" t="s">
        <v>719</v>
      </c>
      <c r="E39" t="s">
        <v>751</v>
      </c>
    </row>
    <row r="40" spans="1:11">
      <c r="C40" t="s">
        <v>674</v>
      </c>
    </row>
    <row r="41" spans="1:11">
      <c r="C41" t="s">
        <v>731</v>
      </c>
      <c r="E41" t="s">
        <v>751</v>
      </c>
    </row>
    <row r="42" spans="1:11">
      <c r="C42" t="s">
        <v>418</v>
      </c>
      <c r="E42" t="s">
        <v>371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createPDF:imagelist,./Output/Images/,./Output/APAC_Daily_Sales_20221106120331.pdf</v>
      </c>
    </row>
    <row r="45" spans="1:11">
      <c r="C45" t="s">
        <v>440</v>
      </c>
      <c r="E45" t="s">
        <v>439</v>
      </c>
    </row>
    <row r="48" spans="1:11">
      <c r="A48" t="s">
        <v>16</v>
      </c>
      <c r="B48" t="s">
        <v>147</v>
      </c>
      <c r="C48" t="s">
        <v>366</v>
      </c>
      <c r="E48" t="s">
        <v>71</v>
      </c>
      <c r="K48" s="4" t="str">
        <f ca="1">TEXT(NOW(),"YYYYMMDDHHMMSS")</f>
        <v>20221106120331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398</v>
      </c>
    </row>
    <row r="52" spans="1:5">
      <c r="C52" t="s">
        <v>1</v>
      </c>
    </row>
    <row r="53" spans="1:5">
      <c r="C53" t="s">
        <v>339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442</v>
      </c>
      <c r="E55" s="1" t="s">
        <v>344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413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451</v>
      </c>
      <c r="E60" t="s">
        <v>452</v>
      </c>
    </row>
    <row r="61" spans="1:5">
      <c r="C61" t="s">
        <v>454</v>
      </c>
      <c r="E61" t="s">
        <v>455</v>
      </c>
    </row>
    <row r="62" spans="1:5">
      <c r="C62" t="s">
        <v>345</v>
      </c>
      <c r="E62" t="s">
        <v>111</v>
      </c>
    </row>
    <row r="63" spans="1:5">
      <c r="A63" t="s">
        <v>16</v>
      </c>
      <c r="B63" t="s">
        <v>412</v>
      </c>
      <c r="C63" t="s">
        <v>37</v>
      </c>
    </row>
    <row r="64" spans="1:5">
      <c r="C64" t="s">
        <v>458</v>
      </c>
      <c r="E64" t="s">
        <v>457</v>
      </c>
    </row>
    <row r="65" spans="1:5">
      <c r="C65" t="s">
        <v>27</v>
      </c>
    </row>
    <row r="66" spans="1:5">
      <c r="A66" t="s">
        <v>16</v>
      </c>
      <c r="B66" t="s">
        <v>453</v>
      </c>
      <c r="C66" t="s">
        <v>456</v>
      </c>
      <c r="E66" t="s">
        <v>457</v>
      </c>
    </row>
    <row r="67" spans="1:5">
      <c r="C67" t="s">
        <v>454</v>
      </c>
    </row>
    <row r="69" spans="1:5">
      <c r="A69" t="s">
        <v>16</v>
      </c>
      <c r="B69" s="3" t="s">
        <v>674</v>
      </c>
      <c r="C69" t="s">
        <v>672</v>
      </c>
    </row>
    <row r="70" spans="1:5">
      <c r="C70" t="s">
        <v>675</v>
      </c>
    </row>
    <row r="71" spans="1:5">
      <c r="A71" t="s">
        <v>16</v>
      </c>
      <c r="B71" t="s">
        <v>675</v>
      </c>
      <c r="C71" t="s">
        <v>676</v>
      </c>
      <c r="E71" t="s">
        <v>673</v>
      </c>
    </row>
    <row r="73" spans="1:5">
      <c r="A73" t="s">
        <v>16</v>
      </c>
      <c r="B73" s="3" t="s">
        <v>32</v>
      </c>
      <c r="C73" t="s">
        <v>400</v>
      </c>
    </row>
    <row r="74" spans="1:5">
      <c r="B74" s="3"/>
      <c r="C74" t="s">
        <v>419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693</v>
      </c>
    </row>
    <row r="77" spans="1:5">
      <c r="C77" t="s">
        <v>694</v>
      </c>
    </row>
    <row r="78" spans="1:5">
      <c r="C78" t="s">
        <v>424</v>
      </c>
    </row>
    <row r="79" spans="1:5">
      <c r="C79" t="s">
        <v>684</v>
      </c>
      <c r="E79" t="s">
        <v>759</v>
      </c>
    </row>
    <row r="80" spans="1:5">
      <c r="C80" t="s">
        <v>695</v>
      </c>
      <c r="E80" t="s">
        <v>760</v>
      </c>
    </row>
    <row r="81" spans="1:5">
      <c r="C81" t="s">
        <v>780</v>
      </c>
    </row>
    <row r="82" spans="1:5">
      <c r="C82" t="s">
        <v>769</v>
      </c>
      <c r="E82" t="s">
        <v>770</v>
      </c>
    </row>
    <row r="83" spans="1:5">
      <c r="C83" t="s">
        <v>588</v>
      </c>
    </row>
    <row r="85" spans="1:5">
      <c r="A85" t="s">
        <v>16</v>
      </c>
      <c r="B85" t="s">
        <v>431</v>
      </c>
      <c r="C85" t="s">
        <v>427</v>
      </c>
    </row>
    <row r="86" spans="1:5">
      <c r="C86" t="s">
        <v>430</v>
      </c>
    </row>
    <row r="87" spans="1:5">
      <c r="C87" t="s">
        <v>129</v>
      </c>
    </row>
    <row r="88" spans="1:5">
      <c r="C88" t="s">
        <v>429</v>
      </c>
    </row>
    <row r="89" spans="1:5">
      <c r="C89" t="s">
        <v>428</v>
      </c>
    </row>
    <row r="91" spans="1:5">
      <c r="A91" t="s">
        <v>16</v>
      </c>
      <c r="B91" t="s">
        <v>687</v>
      </c>
      <c r="C91" t="s">
        <v>688</v>
      </c>
    </row>
    <row r="93" spans="1:5">
      <c r="A93" t="s">
        <v>16</v>
      </c>
      <c r="B93" t="s">
        <v>761</v>
      </c>
      <c r="C93" t="s">
        <v>433</v>
      </c>
    </row>
    <row r="95" spans="1:5">
      <c r="A95" t="s">
        <v>16</v>
      </c>
      <c r="B95" t="s">
        <v>762</v>
      </c>
      <c r="C95" t="s">
        <v>24</v>
      </c>
    </row>
    <row r="96" spans="1:5">
      <c r="C96" t="s">
        <v>773</v>
      </c>
      <c r="E96" t="s">
        <v>766</v>
      </c>
    </row>
    <row r="97" spans="1:10">
      <c r="C97" t="s">
        <v>341</v>
      </c>
      <c r="E97" t="s">
        <v>765</v>
      </c>
    </row>
    <row r="98" spans="1:10">
      <c r="C98" t="s">
        <v>775</v>
      </c>
      <c r="E98" t="s">
        <v>764</v>
      </c>
    </row>
    <row r="99" spans="1:10">
      <c r="C99" t="s">
        <v>776</v>
      </c>
      <c r="E99" t="s">
        <v>5</v>
      </c>
    </row>
    <row r="100" spans="1:10">
      <c r="C100" t="s">
        <v>777</v>
      </c>
      <c r="E100" t="s">
        <v>767</v>
      </c>
    </row>
    <row r="101" spans="1:10">
      <c r="C101" t="s">
        <v>24</v>
      </c>
    </row>
    <row r="102" spans="1:10">
      <c r="C102" t="s">
        <v>779</v>
      </c>
      <c r="E102" t="s">
        <v>774</v>
      </c>
    </row>
    <row r="103" spans="1:10">
      <c r="C103" t="s">
        <v>778</v>
      </c>
    </row>
    <row r="104" spans="1:10">
      <c r="C104" t="s">
        <v>1</v>
      </c>
      <c r="E104" t="s">
        <v>781</v>
      </c>
    </row>
    <row r="105" spans="1:10">
      <c r="C105" t="s">
        <v>826</v>
      </c>
      <c r="E105" t="s">
        <v>64</v>
      </c>
    </row>
    <row r="107" spans="1:10">
      <c r="A107" t="s">
        <v>16</v>
      </c>
      <c r="B107" t="s">
        <v>790</v>
      </c>
      <c r="C107" t="s">
        <v>797</v>
      </c>
      <c r="J107" t="s">
        <v>793</v>
      </c>
    </row>
    <row r="108" spans="1:10">
      <c r="C108" t="s">
        <v>829</v>
      </c>
    </row>
    <row r="112" spans="1:10">
      <c r="A112" t="s">
        <v>16</v>
      </c>
      <c r="B112" t="s">
        <v>763</v>
      </c>
      <c r="C112" t="s">
        <v>771</v>
      </c>
      <c r="F112" t="s">
        <v>758</v>
      </c>
    </row>
    <row r="114" spans="1:10">
      <c r="A114" t="s">
        <v>16</v>
      </c>
      <c r="B114" t="s">
        <v>820</v>
      </c>
      <c r="C114" t="s">
        <v>793</v>
      </c>
      <c r="E114" t="s">
        <v>792</v>
      </c>
      <c r="J114" t="s">
        <v>793</v>
      </c>
    </row>
    <row r="115" spans="1:10">
      <c r="E115" s="11" t="s">
        <v>782</v>
      </c>
      <c r="J115" t="s">
        <v>794</v>
      </c>
    </row>
    <row r="116" spans="1:10">
      <c r="A116" t="s">
        <v>16</v>
      </c>
      <c r="B116" t="s">
        <v>795</v>
      </c>
      <c r="C116" t="s">
        <v>827</v>
      </c>
      <c r="E116" s="11" t="s">
        <v>783</v>
      </c>
    </row>
    <row r="117" spans="1:10">
      <c r="C117" t="s">
        <v>828</v>
      </c>
    </row>
    <row r="118" spans="1:10">
      <c r="E118" s="12" t="s">
        <v>784</v>
      </c>
    </row>
    <row r="120" spans="1:10">
      <c r="A120" t="s">
        <v>16</v>
      </c>
      <c r="B120" t="s">
        <v>798</v>
      </c>
      <c r="C120" t="s">
        <v>799</v>
      </c>
      <c r="E120" s="13" t="s">
        <v>785</v>
      </c>
    </row>
    <row r="121" spans="1:10">
      <c r="E121" s="12"/>
    </row>
    <row r="122" spans="1:10">
      <c r="E122" s="12" t="s">
        <v>786</v>
      </c>
    </row>
    <row r="125" spans="1:10">
      <c r="E125" t="s">
        <v>787</v>
      </c>
    </row>
    <row r="128" spans="1:10">
      <c r="E128" t="s">
        <v>788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>
    <tabColor theme="0" tint="-0.499984740745262"/>
  </sheetPr>
  <dimension ref="A1:P154"/>
  <sheetViews>
    <sheetView topLeftCell="A65" workbookViewId="0">
      <selection activeCell="C104" sqref="C10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468</v>
      </c>
      <c r="D2" t="s">
        <v>467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469</v>
      </c>
      <c r="D3" t="s">
        <v>470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476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477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478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479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480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481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482</v>
      </c>
    </row>
    <row r="11" spans="1:16">
      <c r="C11" t="s">
        <v>564</v>
      </c>
      <c r="D11" s="2" t="s">
        <v>565</v>
      </c>
    </row>
    <row r="12" spans="1:16">
      <c r="C12" t="s">
        <v>55</v>
      </c>
      <c r="D12" t="s">
        <v>467</v>
      </c>
    </row>
    <row r="13" spans="1:16">
      <c r="C13" t="s">
        <v>569</v>
      </c>
      <c r="D13" s="2" t="s">
        <v>568</v>
      </c>
    </row>
    <row r="14" spans="1:16">
      <c r="C14" t="s">
        <v>573</v>
      </c>
      <c r="D14" t="s">
        <v>572</v>
      </c>
    </row>
    <row r="15" spans="1:16">
      <c r="C15" t="s">
        <v>577</v>
      </c>
      <c r="D15" t="s">
        <v>576</v>
      </c>
    </row>
    <row r="17" spans="1:15">
      <c r="A17" t="s">
        <v>15</v>
      </c>
      <c r="B17" s="3" t="s">
        <v>358</v>
      </c>
      <c r="C17" t="s">
        <v>360</v>
      </c>
      <c r="D17" t="s">
        <v>363</v>
      </c>
      <c r="E17" s="3" t="s">
        <v>434</v>
      </c>
      <c r="H17" t="s">
        <v>362</v>
      </c>
    </row>
    <row r="18" spans="1:15">
      <c r="C18" t="s">
        <v>253</v>
      </c>
      <c r="D18" t="s">
        <v>361</v>
      </c>
    </row>
    <row r="19" spans="1:15">
      <c r="C19" t="s">
        <v>365</v>
      </c>
      <c r="D19" t="s">
        <v>363</v>
      </c>
    </row>
    <row r="20" spans="1:15">
      <c r="C20" t="s">
        <v>367</v>
      </c>
      <c r="D20" t="s">
        <v>813</v>
      </c>
      <c r="E20" t="s">
        <v>729</v>
      </c>
      <c r="H20" t="s">
        <v>728</v>
      </c>
    </row>
    <row r="21" spans="1:15">
      <c r="C21" t="s">
        <v>36</v>
      </c>
      <c r="D21" t="b">
        <v>0</v>
      </c>
    </row>
    <row r="22" spans="1:15">
      <c r="C22" t="s">
        <v>461</v>
      </c>
      <c r="D22" t="s">
        <v>533</v>
      </c>
      <c r="E22" s="5" t="s">
        <v>459</v>
      </c>
    </row>
    <row r="23" spans="1:15">
      <c r="C23" t="s">
        <v>462</v>
      </c>
      <c r="D23" t="s">
        <v>463</v>
      </c>
      <c r="E23" s="6" t="s">
        <v>460</v>
      </c>
    </row>
    <row r="24" spans="1:15">
      <c r="C24" t="s">
        <v>534</v>
      </c>
      <c r="D24" t="s">
        <v>727</v>
      </c>
      <c r="E24" s="6"/>
    </row>
    <row r="25" spans="1:15">
      <c r="C25" t="s">
        <v>535</v>
      </c>
      <c r="D25" t="s">
        <v>538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435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471</v>
      </c>
      <c r="E30" t="s">
        <v>136</v>
      </c>
      <c r="J30" t="s">
        <v>76</v>
      </c>
      <c r="O30" t="s">
        <v>84</v>
      </c>
    </row>
    <row r="31" spans="1:15">
      <c r="C31" t="s">
        <v>472</v>
      </c>
      <c r="J31" t="s">
        <v>77</v>
      </c>
      <c r="O31" t="s">
        <v>91</v>
      </c>
    </row>
    <row r="32" spans="1:15">
      <c r="C32" t="s">
        <v>473</v>
      </c>
      <c r="J32" t="s">
        <v>78</v>
      </c>
      <c r="O32" t="s">
        <v>76</v>
      </c>
    </row>
    <row r="33" spans="3:15">
      <c r="C33" t="s">
        <v>474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566</v>
      </c>
      <c r="O38" t="s">
        <v>80</v>
      </c>
    </row>
    <row r="39" spans="3:15">
      <c r="C39" t="s">
        <v>567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571</v>
      </c>
    </row>
    <row r="47" spans="3:15">
      <c r="C47" t="s">
        <v>570</v>
      </c>
    </row>
    <row r="48" spans="3:15">
      <c r="C48" t="s">
        <v>575</v>
      </c>
    </row>
    <row r="49" spans="1:5">
      <c r="C49" t="s">
        <v>574</v>
      </c>
    </row>
    <row r="50" spans="1:5">
      <c r="C50" t="s">
        <v>579</v>
      </c>
    </row>
    <row r="51" spans="1:5">
      <c r="C51" t="s">
        <v>578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406</v>
      </c>
      <c r="C60" t="s">
        <v>407</v>
      </c>
      <c r="E60" s="3" t="s">
        <v>438</v>
      </c>
    </row>
    <row r="61" spans="1:5">
      <c r="E61" s="3"/>
    </row>
    <row r="62" spans="1:5">
      <c r="A62" t="s">
        <v>16</v>
      </c>
      <c r="B62" s="3" t="s">
        <v>25</v>
      </c>
      <c r="C62" t="s">
        <v>803</v>
      </c>
      <c r="E62" t="s">
        <v>148</v>
      </c>
    </row>
    <row r="63" spans="1:5">
      <c r="B63" s="3"/>
      <c r="C63" t="s">
        <v>437</v>
      </c>
      <c r="D63" s="3"/>
    </row>
    <row r="64" spans="1:5">
      <c r="C64" t="s">
        <v>719</v>
      </c>
      <c r="E64" t="s">
        <v>720</v>
      </c>
    </row>
    <row r="65" spans="1:11">
      <c r="C65" t="s">
        <v>95</v>
      </c>
    </row>
    <row r="66" spans="1:11">
      <c r="C66" t="s">
        <v>370</v>
      </c>
      <c r="E66" t="s">
        <v>371</v>
      </c>
    </row>
    <row r="67" spans="1:11">
      <c r="C67" t="s">
        <v>454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createPDF:imagelist,./Output/Images/,./Output/APAC_Daily_Sales_20221106120331.pdf</v>
      </c>
    </row>
    <row r="69" spans="1:11">
      <c r="B69" s="3"/>
      <c r="C69" t="s">
        <v>737</v>
      </c>
      <c r="E69" t="s">
        <v>439</v>
      </c>
      <c r="K69" t="s">
        <v>440</v>
      </c>
    </row>
    <row r="70" spans="1:11">
      <c r="A70" t="s">
        <v>16</v>
      </c>
      <c r="B70" t="s">
        <v>147</v>
      </c>
      <c r="C70" t="s">
        <v>715</v>
      </c>
      <c r="E70" t="s">
        <v>71</v>
      </c>
      <c r="K70" s="4" t="str">
        <f ca="1">TEXT(NOW(),"YYYYMMDDHHMMSS")</f>
        <v>20221106120331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398</v>
      </c>
    </row>
    <row r="75" spans="1:11">
      <c r="C75" t="s">
        <v>1</v>
      </c>
    </row>
    <row r="76" spans="1:11">
      <c r="C76" t="s">
        <v>339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442</v>
      </c>
      <c r="E78" s="1" t="s">
        <v>344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413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451</v>
      </c>
      <c r="E83" t="s">
        <v>452</v>
      </c>
    </row>
    <row r="84" spans="1:5">
      <c r="C84" t="s">
        <v>454</v>
      </c>
      <c r="E84" t="s">
        <v>455</v>
      </c>
    </row>
    <row r="85" spans="1:5">
      <c r="C85" t="s">
        <v>345</v>
      </c>
      <c r="E85" t="s">
        <v>111</v>
      </c>
    </row>
    <row r="87" spans="1:5">
      <c r="A87" t="s">
        <v>16</v>
      </c>
      <c r="B87" t="s">
        <v>412</v>
      </c>
      <c r="C87" t="s">
        <v>37</v>
      </c>
    </row>
    <row r="88" spans="1:5">
      <c r="C88" t="s">
        <v>458</v>
      </c>
      <c r="E88" t="s">
        <v>457</v>
      </c>
    </row>
    <row r="89" spans="1:5">
      <c r="C89" t="s">
        <v>27</v>
      </c>
    </row>
    <row r="91" spans="1:5">
      <c r="A91" t="s">
        <v>16</v>
      </c>
      <c r="B91" t="s">
        <v>453</v>
      </c>
      <c r="C91" t="s">
        <v>456</v>
      </c>
      <c r="E91" t="s">
        <v>457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339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450</v>
      </c>
      <c r="E98" t="s">
        <v>115</v>
      </c>
    </row>
    <row r="100" spans="1:12">
      <c r="A100" t="s">
        <v>16</v>
      </c>
      <c r="B100" s="3" t="s">
        <v>32</v>
      </c>
      <c r="C100" t="s">
        <v>804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377</v>
      </c>
    </row>
    <row r="106" spans="1:12">
      <c r="C106" t="s">
        <v>805</v>
      </c>
    </row>
    <row r="107" spans="1:12">
      <c r="C107" t="s">
        <v>401</v>
      </c>
      <c r="E107" t="s">
        <v>64</v>
      </c>
      <c r="L107" t="s">
        <v>401</v>
      </c>
    </row>
    <row r="108" spans="1:12">
      <c r="C108" t="s">
        <v>58</v>
      </c>
    </row>
    <row r="109" spans="1:12">
      <c r="C109" t="s">
        <v>377</v>
      </c>
    </row>
    <row r="110" spans="1:12">
      <c r="C110" t="s">
        <v>402</v>
      </c>
      <c r="D110" t="s">
        <v>402</v>
      </c>
    </row>
    <row r="111" spans="1:12">
      <c r="A111" t="s">
        <v>16</v>
      </c>
      <c r="B111" t="s">
        <v>118</v>
      </c>
      <c r="C111" t="s">
        <v>399</v>
      </c>
      <c r="D111" t="s">
        <v>29</v>
      </c>
      <c r="E111" t="s">
        <v>117</v>
      </c>
    </row>
    <row r="112" spans="1:12">
      <c r="C112" t="s">
        <v>443</v>
      </c>
    </row>
    <row r="113" spans="1:5">
      <c r="A113" t="s">
        <v>16</v>
      </c>
      <c r="B113" t="s">
        <v>443</v>
      </c>
      <c r="C113" t="s">
        <v>444</v>
      </c>
    </row>
    <row r="114" spans="1:5">
      <c r="A114" t="s">
        <v>16</v>
      </c>
      <c r="B114" t="s">
        <v>122</v>
      </c>
      <c r="C114" t="s">
        <v>348</v>
      </c>
      <c r="E114" t="s">
        <v>126</v>
      </c>
    </row>
    <row r="115" spans="1:5">
      <c r="C115" t="s">
        <v>349</v>
      </c>
      <c r="E115" t="s">
        <v>127</v>
      </c>
    </row>
    <row r="116" spans="1:5">
      <c r="A116" t="s">
        <v>16</v>
      </c>
      <c r="B116" t="s">
        <v>124</v>
      </c>
      <c r="C116" t="s">
        <v>350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351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342</v>
      </c>
      <c r="E127" t="s">
        <v>102</v>
      </c>
    </row>
    <row r="129" spans="1:5">
      <c r="A129" t="s">
        <v>16</v>
      </c>
      <c r="B129" t="s">
        <v>377</v>
      </c>
      <c r="C129" t="s">
        <v>340</v>
      </c>
      <c r="E129" t="s">
        <v>143</v>
      </c>
    </row>
    <row r="130" spans="1:5">
      <c r="C130" t="s">
        <v>449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441</v>
      </c>
    </row>
    <row r="133" spans="1:5">
      <c r="A133" t="s">
        <v>16</v>
      </c>
      <c r="B133" t="s">
        <v>17</v>
      </c>
      <c r="C133" t="s">
        <v>445</v>
      </c>
    </row>
    <row r="134" spans="1:5">
      <c r="C134" t="s">
        <v>3</v>
      </c>
      <c r="E134" t="s">
        <v>97</v>
      </c>
    </row>
    <row r="135" spans="1:5">
      <c r="C135" t="s">
        <v>446</v>
      </c>
      <c r="E135" t="s">
        <v>355</v>
      </c>
    </row>
    <row r="136" spans="1:5">
      <c r="C136" t="s">
        <v>4</v>
      </c>
      <c r="E136" t="s">
        <v>96</v>
      </c>
    </row>
    <row r="137" spans="1:5">
      <c r="C137" t="s">
        <v>447</v>
      </c>
    </row>
    <row r="138" spans="1:5">
      <c r="C138" t="s">
        <v>5</v>
      </c>
    </row>
    <row r="139" spans="1:5">
      <c r="C139" t="s">
        <v>448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341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378</v>
      </c>
      <c r="C144" t="s">
        <v>382</v>
      </c>
    </row>
    <row r="145" spans="3:7">
      <c r="C145" t="s">
        <v>3</v>
      </c>
      <c r="E145" t="s">
        <v>97</v>
      </c>
    </row>
    <row r="146" spans="3:7">
      <c r="C146" t="s">
        <v>383</v>
      </c>
      <c r="E146" t="s">
        <v>355</v>
      </c>
    </row>
    <row r="147" spans="3:7">
      <c r="C147" t="s">
        <v>379</v>
      </c>
      <c r="E147" t="s">
        <v>380</v>
      </c>
      <c r="G147" t="s">
        <v>381</v>
      </c>
    </row>
    <row r="148" spans="3:7">
      <c r="C148" t="s">
        <v>384</v>
      </c>
    </row>
    <row r="149" spans="3:7">
      <c r="C149" t="s">
        <v>5</v>
      </c>
    </row>
    <row r="150" spans="3:7">
      <c r="C150" t="s">
        <v>385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341</v>
      </c>
      <c r="E153" t="s">
        <v>386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>
    <tabColor theme="0" tint="-0.499984740745262"/>
  </sheetPr>
  <dimension ref="A1:H502"/>
  <sheetViews>
    <sheetView topLeftCell="A49" workbookViewId="0">
      <selection activeCell="C104" sqref="C104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417</v>
      </c>
      <c r="C2" t="s">
        <v>205</v>
      </c>
      <c r="D2" t="s">
        <v>254</v>
      </c>
      <c r="E2" t="s">
        <v>652</v>
      </c>
    </row>
    <row r="3" spans="1:5">
      <c r="C3" t="s">
        <v>206</v>
      </c>
      <c r="D3" t="s">
        <v>255</v>
      </c>
      <c r="E3" t="s">
        <v>653</v>
      </c>
    </row>
    <row r="4" spans="1:5">
      <c r="C4" t="s">
        <v>207</v>
      </c>
    </row>
    <row r="5" spans="1:5">
      <c r="C5" t="s">
        <v>208</v>
      </c>
    </row>
    <row r="6" spans="1:5">
      <c r="C6" t="s">
        <v>209</v>
      </c>
    </row>
    <row r="7" spans="1:5">
      <c r="C7" t="s">
        <v>210</v>
      </c>
    </row>
    <row r="8" spans="1:5">
      <c r="C8" t="s">
        <v>211</v>
      </c>
    </row>
    <row r="9" spans="1:5">
      <c r="C9" t="s">
        <v>212</v>
      </c>
    </row>
    <row r="10" spans="1:5">
      <c r="C10" t="s">
        <v>213</v>
      </c>
    </row>
    <row r="11" spans="1:5">
      <c r="C11" t="s">
        <v>214</v>
      </c>
    </row>
    <row r="12" spans="1:5">
      <c r="C12" t="s">
        <v>215</v>
      </c>
    </row>
    <row r="13" spans="1:5">
      <c r="C13" t="s">
        <v>216</v>
      </c>
    </row>
    <row r="14" spans="1:5">
      <c r="C14" t="s">
        <v>217</v>
      </c>
    </row>
    <row r="15" spans="1:5">
      <c r="C15" t="s">
        <v>218</v>
      </c>
    </row>
    <row r="16" spans="1:5">
      <c r="C16" t="s">
        <v>219</v>
      </c>
    </row>
    <row r="17" spans="3:3">
      <c r="C17" t="s">
        <v>220</v>
      </c>
    </row>
    <row r="18" spans="3:3">
      <c r="C18" t="s">
        <v>221</v>
      </c>
    </row>
    <row r="19" spans="3:3">
      <c r="C19" t="s">
        <v>222</v>
      </c>
    </row>
    <row r="20" spans="3:3">
      <c r="C20" t="s">
        <v>223</v>
      </c>
    </row>
    <row r="21" spans="3:3">
      <c r="C21" t="s">
        <v>224</v>
      </c>
    </row>
    <row r="22" spans="3:3">
      <c r="C22" t="s">
        <v>225</v>
      </c>
    </row>
    <row r="23" spans="3:3">
      <c r="C23" t="s">
        <v>226</v>
      </c>
    </row>
    <row r="24" spans="3:3">
      <c r="C24" t="s">
        <v>227</v>
      </c>
    </row>
    <row r="25" spans="3:3">
      <c r="C25" t="s">
        <v>228</v>
      </c>
    </row>
    <row r="26" spans="3:3">
      <c r="C26" t="s">
        <v>229</v>
      </c>
    </row>
    <row r="27" spans="3:3">
      <c r="C27" t="s">
        <v>582</v>
      </c>
    </row>
    <row r="28" spans="3:3">
      <c r="C28" t="s">
        <v>583</v>
      </c>
    </row>
    <row r="29" spans="3:3">
      <c r="C29" t="s">
        <v>584</v>
      </c>
    </row>
    <row r="30" spans="3:3">
      <c r="C30" t="s">
        <v>585</v>
      </c>
    </row>
    <row r="31" spans="3:3">
      <c r="C31" t="s">
        <v>230</v>
      </c>
    </row>
    <row r="32" spans="3:3">
      <c r="C32" t="s">
        <v>231</v>
      </c>
    </row>
    <row r="33" spans="3:3">
      <c r="C33" t="s">
        <v>232</v>
      </c>
    </row>
    <row r="34" spans="3:3">
      <c r="C34" t="s">
        <v>233</v>
      </c>
    </row>
    <row r="35" spans="3:3">
      <c r="C35" t="s">
        <v>595</v>
      </c>
    </row>
    <row r="36" spans="3:3">
      <c r="C36" t="s">
        <v>596</v>
      </c>
    </row>
    <row r="37" spans="3:3">
      <c r="C37" t="s">
        <v>597</v>
      </c>
    </row>
    <row r="38" spans="3:3">
      <c r="C38" t="s">
        <v>598</v>
      </c>
    </row>
    <row r="39" spans="3:3">
      <c r="C39" t="s">
        <v>599</v>
      </c>
    </row>
    <row r="40" spans="3:3">
      <c r="C40" t="s">
        <v>600</v>
      </c>
    </row>
    <row r="41" spans="3:3">
      <c r="C41" t="s">
        <v>601</v>
      </c>
    </row>
    <row r="42" spans="3:3">
      <c r="C42" t="s">
        <v>602</v>
      </c>
    </row>
    <row r="43" spans="3:3">
      <c r="C43" t="s">
        <v>603</v>
      </c>
    </row>
    <row r="44" spans="3:3">
      <c r="C44" t="s">
        <v>604</v>
      </c>
    </row>
    <row r="45" spans="3:3">
      <c r="C45" t="s">
        <v>605</v>
      </c>
    </row>
    <row r="46" spans="3:3">
      <c r="C46" t="s">
        <v>606</v>
      </c>
    </row>
    <row r="47" spans="3:3">
      <c r="C47" t="s">
        <v>607</v>
      </c>
    </row>
    <row r="48" spans="3:3">
      <c r="C48" t="s">
        <v>608</v>
      </c>
    </row>
    <row r="49" spans="3:3">
      <c r="C49" t="s">
        <v>609</v>
      </c>
    </row>
    <row r="50" spans="3:3">
      <c r="C50" t="s">
        <v>610</v>
      </c>
    </row>
    <row r="51" spans="3:3">
      <c r="C51" t="s">
        <v>611</v>
      </c>
    </row>
    <row r="52" spans="3:3">
      <c r="C52" t="s">
        <v>612</v>
      </c>
    </row>
    <row r="53" spans="3:3">
      <c r="C53" t="s">
        <v>613</v>
      </c>
    </row>
    <row r="54" spans="3:3">
      <c r="C54" t="s">
        <v>614</v>
      </c>
    </row>
    <row r="55" spans="3:3">
      <c r="C55" t="s">
        <v>615</v>
      </c>
    </row>
    <row r="56" spans="3:3">
      <c r="C56" t="s">
        <v>616</v>
      </c>
    </row>
    <row r="57" spans="3:3">
      <c r="C57" t="s">
        <v>617</v>
      </c>
    </row>
    <row r="58" spans="3:3">
      <c r="C58" t="s">
        <v>618</v>
      </c>
    </row>
    <row r="59" spans="3:3">
      <c r="C59" t="s">
        <v>234</v>
      </c>
    </row>
    <row r="60" spans="3:3">
      <c r="C60" t="s">
        <v>235</v>
      </c>
    </row>
    <row r="61" spans="3:3">
      <c r="C61" t="s">
        <v>236</v>
      </c>
    </row>
    <row r="62" spans="3:3">
      <c r="C62" t="s">
        <v>237</v>
      </c>
    </row>
    <row r="63" spans="3:3">
      <c r="C63" t="s">
        <v>238</v>
      </c>
    </row>
    <row r="64" spans="3:3">
      <c r="C64" t="s">
        <v>239</v>
      </c>
    </row>
    <row r="65" spans="1:4">
      <c r="C65" t="s">
        <v>240</v>
      </c>
    </row>
    <row r="66" spans="1:4">
      <c r="C66" t="s">
        <v>241</v>
      </c>
    </row>
    <row r="67" spans="1:4">
      <c r="C67" t="s">
        <v>454</v>
      </c>
    </row>
    <row r="68" spans="1:4">
      <c r="C68" t="s">
        <v>243</v>
      </c>
    </row>
    <row r="69" spans="1:4">
      <c r="C69" t="s">
        <v>244</v>
      </c>
    </row>
    <row r="70" spans="1:4">
      <c r="C70" t="s">
        <v>245</v>
      </c>
    </row>
    <row r="71" spans="1:4">
      <c r="C71" t="s">
        <v>246</v>
      </c>
      <c r="D71" t="s">
        <v>270</v>
      </c>
    </row>
    <row r="72" spans="1:4">
      <c r="C72" t="s">
        <v>247</v>
      </c>
    </row>
    <row r="73" spans="1:4">
      <c r="C73" t="s">
        <v>248</v>
      </c>
    </row>
    <row r="74" spans="1:4">
      <c r="C74" t="s">
        <v>249</v>
      </c>
    </row>
    <row r="75" spans="1:4">
      <c r="C75" t="s">
        <v>250</v>
      </c>
      <c r="D75" t="s">
        <v>272</v>
      </c>
    </row>
    <row r="76" spans="1:4">
      <c r="C76" t="s">
        <v>251</v>
      </c>
    </row>
    <row r="77" spans="1:4">
      <c r="C77" t="s">
        <v>252</v>
      </c>
    </row>
    <row r="79" spans="1:4">
      <c r="A79" t="s">
        <v>15</v>
      </c>
      <c r="B79" t="s">
        <v>421</v>
      </c>
      <c r="C79" t="s">
        <v>205</v>
      </c>
      <c r="D79">
        <v>3</v>
      </c>
    </row>
    <row r="80" spans="1:4">
      <c r="C80" t="s">
        <v>206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waitDisappear:5,Send push automatically,pushRequired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422</v>
      </c>
      <c r="C156" t="s">
        <v>425</v>
      </c>
      <c r="D156" s="1" t="s">
        <v>699</v>
      </c>
    </row>
    <row r="157" spans="1:8">
      <c r="C157" t="str">
        <f>LEFT(C80,LEN(C80)-4)</f>
        <v>grid_country_Day</v>
      </c>
      <c r="D157" s="1" t="s">
        <v>698</v>
      </c>
      <c r="G157" t="s">
        <v>581</v>
      </c>
      <c r="H157" s="1"/>
    </row>
    <row r="158" spans="1:8">
      <c r="C158" t="str">
        <f t="shared" ref="C158:C221" si="2">LEFT(C81,LEN(C81)-4)</f>
        <v>grid_country_WTD</v>
      </c>
      <c r="D158" t="s">
        <v>259</v>
      </c>
      <c r="G158" t="s">
        <v>586</v>
      </c>
    </row>
    <row r="159" spans="1:8">
      <c r="C159" t="str">
        <f t="shared" si="2"/>
        <v>grid_country_MTD</v>
      </c>
      <c r="D159" t="s">
        <v>260</v>
      </c>
      <c r="G159" t="s">
        <v>587</v>
      </c>
    </row>
    <row r="160" spans="1:8">
      <c r="C160" t="str">
        <f t="shared" si="2"/>
        <v>grid_country_YTD</v>
      </c>
      <c r="D160" t="s">
        <v>261</v>
      </c>
    </row>
    <row r="161" spans="3:4">
      <c r="C161" t="str">
        <f t="shared" si="2"/>
        <v>grid_Day_WHB</v>
      </c>
      <c r="D161" t="s">
        <v>590</v>
      </c>
    </row>
    <row r="162" spans="3:4">
      <c r="C162" t="str">
        <f t="shared" si="2"/>
        <v>grid_WTD_WHB</v>
      </c>
      <c r="D162" t="s">
        <v>259</v>
      </c>
    </row>
    <row r="163" spans="3:4">
      <c r="C163" t="str">
        <f t="shared" si="2"/>
        <v>grid_MTD_WHB</v>
      </c>
      <c r="D163" t="s">
        <v>260</v>
      </c>
    </row>
    <row r="164" spans="3:4">
      <c r="C164" t="str">
        <f t="shared" si="2"/>
        <v>grid_YTD_WHB</v>
      </c>
      <c r="D164" t="s">
        <v>261</v>
      </c>
    </row>
    <row r="165" spans="3:4">
      <c r="C165" t="str">
        <f t="shared" si="2"/>
        <v>grid_Day_WSLG</v>
      </c>
      <c r="D165" t="s">
        <v>643</v>
      </c>
    </row>
    <row r="166" spans="3:4">
      <c r="C166" t="str">
        <f t="shared" si="2"/>
        <v>grid_WTD_WSLG</v>
      </c>
      <c r="D166" t="s">
        <v>259</v>
      </c>
    </row>
    <row r="167" spans="3:4">
      <c r="C167" t="str">
        <f t="shared" si="2"/>
        <v>grid_MTD_WSLG</v>
      </c>
      <c r="D167" t="s">
        <v>260</v>
      </c>
    </row>
    <row r="168" spans="3:4">
      <c r="C168" t="str">
        <f t="shared" si="2"/>
        <v>grid_YTD_WSLG</v>
      </c>
      <c r="D168" t="s">
        <v>261</v>
      </c>
    </row>
    <row r="169" spans="3:4">
      <c r="C169" t="str">
        <f t="shared" si="2"/>
        <v>grid_Day_WRTW</v>
      </c>
      <c r="D169" t="s">
        <v>735</v>
      </c>
    </row>
    <row r="170" spans="3:4">
      <c r="C170" t="str">
        <f t="shared" si="2"/>
        <v>grid_WTD_WRTW</v>
      </c>
      <c r="D170" t="s">
        <v>259</v>
      </c>
    </row>
    <row r="171" spans="3:4">
      <c r="C171" t="str">
        <f t="shared" si="2"/>
        <v>grid_MTD_WRTW</v>
      </c>
      <c r="D171" t="s">
        <v>260</v>
      </c>
    </row>
    <row r="172" spans="3:4">
      <c r="C172" t="str">
        <f t="shared" si="2"/>
        <v>grid_YTD_WRTW</v>
      </c>
      <c r="D172" t="s">
        <v>261</v>
      </c>
    </row>
    <row r="173" spans="3:4">
      <c r="C173" t="str">
        <f t="shared" si="2"/>
        <v>grid_Day_WSHOES</v>
      </c>
      <c r="D173" t="s">
        <v>591</v>
      </c>
    </row>
    <row r="174" spans="3:4">
      <c r="C174" t="str">
        <f t="shared" si="2"/>
        <v>grid_WTD_WSHOES</v>
      </c>
      <c r="D174" t="s">
        <v>259</v>
      </c>
    </row>
    <row r="175" spans="3:4">
      <c r="C175" t="str">
        <f t="shared" si="2"/>
        <v>grid_MTD_WSHOES</v>
      </c>
      <c r="D175" t="s">
        <v>260</v>
      </c>
    </row>
    <row r="176" spans="3:4">
      <c r="C176" t="str">
        <f t="shared" si="2"/>
        <v>grid_YTD_WSHOES</v>
      </c>
      <c r="D176" t="s">
        <v>261</v>
      </c>
    </row>
    <row r="177" spans="3:4">
      <c r="C177" t="str">
        <f t="shared" si="2"/>
        <v>grid_Day_WACC</v>
      </c>
      <c r="D177" t="s">
        <v>592</v>
      </c>
    </row>
    <row r="178" spans="3:4">
      <c r="C178" t="str">
        <f t="shared" si="2"/>
        <v>grid_WTD_WACC</v>
      </c>
      <c r="D178" t="s">
        <v>259</v>
      </c>
    </row>
    <row r="179" spans="3:4">
      <c r="C179" t="str">
        <f t="shared" si="2"/>
        <v>grid_MTD_WACC</v>
      </c>
      <c r="D179" t="s">
        <v>260</v>
      </c>
    </row>
    <row r="180" spans="3:4">
      <c r="C180" t="str">
        <f t="shared" si="2"/>
        <v>grid_YTD_WACC</v>
      </c>
      <c r="D180" t="s">
        <v>261</v>
      </c>
    </row>
    <row r="181" spans="3:4">
      <c r="C181" t="str">
        <f t="shared" si="2"/>
        <v>grid_Day_WnJ</v>
      </c>
      <c r="D181" t="s">
        <v>593</v>
      </c>
    </row>
    <row r="182" spans="3:4">
      <c r="C182" t="str">
        <f t="shared" si="2"/>
        <v>grid_WTD_WnJ</v>
      </c>
      <c r="D182" t="s">
        <v>259</v>
      </c>
    </row>
    <row r="183" spans="3:4">
      <c r="C183" t="str">
        <f t="shared" si="2"/>
        <v>grid_MTD_WnJ</v>
      </c>
      <c r="D183" t="s">
        <v>260</v>
      </c>
    </row>
    <row r="184" spans="3:4">
      <c r="C184" t="str">
        <f t="shared" si="2"/>
        <v>grid_YTD_WnJ</v>
      </c>
      <c r="D184" t="s">
        <v>261</v>
      </c>
    </row>
    <row r="185" spans="3:4">
      <c r="C185" t="str">
        <f t="shared" si="2"/>
        <v>grid_Day_MENS</v>
      </c>
      <c r="D185" t="s">
        <v>594</v>
      </c>
    </row>
    <row r="186" spans="3:4">
      <c r="C186" t="str">
        <f t="shared" si="2"/>
        <v>grid_WTD_MENS</v>
      </c>
      <c r="D186" t="s">
        <v>259</v>
      </c>
    </row>
    <row r="187" spans="3:4">
      <c r="C187" t="str">
        <f t="shared" si="2"/>
        <v>grid_MTD_MENS</v>
      </c>
      <c r="D187" t="s">
        <v>260</v>
      </c>
    </row>
    <row r="188" spans="3:4">
      <c r="C188" t="str">
        <f t="shared" si="2"/>
        <v>grid_YTD_MENS</v>
      </c>
      <c r="D188" t="s">
        <v>261</v>
      </c>
    </row>
    <row r="189" spans="3:4">
      <c r="C189" t="str">
        <f t="shared" si="2"/>
        <v>grid_Day_MBAGS</v>
      </c>
      <c r="D189" t="s">
        <v>644</v>
      </c>
    </row>
    <row r="190" spans="3:4">
      <c r="C190" t="str">
        <f t="shared" si="2"/>
        <v>grid_WTD_MBAGS</v>
      </c>
      <c r="D190" t="s">
        <v>259</v>
      </c>
    </row>
    <row r="191" spans="3:4">
      <c r="C191" t="str">
        <f t="shared" si="2"/>
        <v>grid_MTD_MBAGS</v>
      </c>
      <c r="D191" t="s">
        <v>260</v>
      </c>
    </row>
    <row r="192" spans="3:4">
      <c r="C192" t="str">
        <f t="shared" si="2"/>
        <v>grid_YTD_MBAGS</v>
      </c>
      <c r="D192" t="s">
        <v>261</v>
      </c>
    </row>
    <row r="193" spans="3:4">
      <c r="C193" t="str">
        <f t="shared" si="2"/>
        <v>grid_Day_MSLG</v>
      </c>
      <c r="D193" t="s">
        <v>619</v>
      </c>
    </row>
    <row r="194" spans="3:4">
      <c r="C194" t="str">
        <f t="shared" si="2"/>
        <v>grid_WTD_MSLG</v>
      </c>
      <c r="D194" t="s">
        <v>259</v>
      </c>
    </row>
    <row r="195" spans="3:4">
      <c r="C195" t="str">
        <f t="shared" si="2"/>
        <v>grid_MTD_MSLG</v>
      </c>
      <c r="D195" t="s">
        <v>260</v>
      </c>
    </row>
    <row r="196" spans="3:4">
      <c r="C196" t="str">
        <f t="shared" si="2"/>
        <v>grid_YTD_MSLG</v>
      </c>
      <c r="D196" t="s">
        <v>261</v>
      </c>
    </row>
    <row r="197" spans="3:4">
      <c r="C197" t="str">
        <f t="shared" si="2"/>
        <v>grid_Day_MRTW</v>
      </c>
      <c r="D197" t="s">
        <v>649</v>
      </c>
    </row>
    <row r="198" spans="3:4">
      <c r="C198" t="str">
        <f t="shared" si="2"/>
        <v>grid_WTD_MRTW</v>
      </c>
      <c r="D198" t="s">
        <v>259</v>
      </c>
    </row>
    <row r="199" spans="3:4">
      <c r="C199" t="str">
        <f t="shared" si="2"/>
        <v>grid_MTD_MRTW</v>
      </c>
      <c r="D199" t="s">
        <v>260</v>
      </c>
    </row>
    <row r="200" spans="3:4">
      <c r="C200" t="str">
        <f t="shared" si="2"/>
        <v>grid_YTD_MRTW</v>
      </c>
      <c r="D200" t="s">
        <v>261</v>
      </c>
    </row>
    <row r="201" spans="3:4">
      <c r="C201" t="str">
        <f t="shared" si="2"/>
        <v>grid_Day_MSHOES</v>
      </c>
      <c r="D201" t="s">
        <v>620</v>
      </c>
    </row>
    <row r="202" spans="3:4">
      <c r="C202" t="str">
        <f t="shared" si="2"/>
        <v>grid_WTD_MSHOES</v>
      </c>
      <c r="D202" t="s">
        <v>259</v>
      </c>
    </row>
    <row r="203" spans="3:4">
      <c r="C203" t="str">
        <f t="shared" si="2"/>
        <v>grid_MTD_MSHOES</v>
      </c>
      <c r="D203" t="s">
        <v>260</v>
      </c>
    </row>
    <row r="204" spans="3:4">
      <c r="C204" t="str">
        <f t="shared" si="2"/>
        <v>grid_YTD_MSHOES</v>
      </c>
      <c r="D204" t="s">
        <v>261</v>
      </c>
    </row>
    <row r="205" spans="3:4">
      <c r="C205" t="str">
        <f t="shared" si="2"/>
        <v>grid_Day_MACC</v>
      </c>
      <c r="D205" t="s">
        <v>621</v>
      </c>
    </row>
    <row r="206" spans="3:4">
      <c r="C206" t="str">
        <f t="shared" si="2"/>
        <v>grid_WTD_MACC</v>
      </c>
      <c r="D206" t="s">
        <v>259</v>
      </c>
    </row>
    <row r="207" spans="3:4">
      <c r="C207" t="str">
        <f t="shared" si="2"/>
        <v>grid_MTD_MACC</v>
      </c>
      <c r="D207" t="s">
        <v>260</v>
      </c>
    </row>
    <row r="208" spans="3:4">
      <c r="C208" t="str">
        <f t="shared" si="2"/>
        <v>grid_YTD_MACC</v>
      </c>
      <c r="D208" t="s">
        <v>261</v>
      </c>
    </row>
    <row r="209" spans="3:4">
      <c r="C209" t="str">
        <f t="shared" si="2"/>
        <v>grid_Day_MSPECIAL</v>
      </c>
      <c r="D209" t="s">
        <v>622</v>
      </c>
    </row>
    <row r="210" spans="3:4">
      <c r="C210" t="str">
        <f t="shared" si="2"/>
        <v>grid_WTD_MSPECIAL</v>
      </c>
      <c r="D210" t="s">
        <v>259</v>
      </c>
    </row>
    <row r="211" spans="3:4">
      <c r="C211" t="str">
        <f t="shared" si="2"/>
        <v>grid_MTD_MSPECIAL</v>
      </c>
      <c r="D211" t="s">
        <v>260</v>
      </c>
    </row>
    <row r="212" spans="3:4">
      <c r="C212" t="str">
        <f t="shared" si="2"/>
        <v>grid_YTD_MSPECIAL</v>
      </c>
      <c r="D212" t="s">
        <v>261</v>
      </c>
    </row>
    <row r="213" spans="3:4">
      <c r="C213" t="str">
        <f t="shared" si="2"/>
        <v>grid_Day_BABY</v>
      </c>
      <c r="D213" t="s">
        <v>806</v>
      </c>
    </row>
    <row r="214" spans="3:4">
      <c r="C214" t="str">
        <f t="shared" si="2"/>
        <v>grid_WTD_BABY</v>
      </c>
      <c r="D214" t="s">
        <v>259</v>
      </c>
    </row>
    <row r="215" spans="3:4">
      <c r="C215" t="str">
        <f t="shared" si="2"/>
        <v>grid_MTD_BABY</v>
      </c>
      <c r="D215" t="s">
        <v>260</v>
      </c>
    </row>
    <row r="216" spans="3:4">
      <c r="C216" t="str">
        <f t="shared" si="2"/>
        <v>grid_YTD_BABY</v>
      </c>
      <c r="D216" t="s">
        <v>261</v>
      </c>
    </row>
    <row r="217" spans="3:4">
      <c r="C217" t="str">
        <f t="shared" si="2"/>
        <v>grid_Day_STORE</v>
      </c>
      <c r="D217" t="s">
        <v>589</v>
      </c>
    </row>
    <row r="218" spans="3:4">
      <c r="C218" t="str">
        <f t="shared" si="2"/>
        <v>grid_WTD_STORE</v>
      </c>
      <c r="D218" t="s">
        <v>259</v>
      </c>
    </row>
    <row r="219" spans="3:4">
      <c r="C219" t="str">
        <f t="shared" si="2"/>
        <v>grid_MTD_STORE</v>
      </c>
      <c r="D219" t="s">
        <v>260</v>
      </c>
    </row>
    <row r="220" spans="3:4">
      <c r="C220" t="str">
        <f t="shared" si="2"/>
        <v>grid_YTD_STORE</v>
      </c>
      <c r="D220" t="s">
        <v>261</v>
      </c>
    </row>
    <row r="221" spans="3:4">
      <c r="C221" t="str">
        <f t="shared" si="2"/>
        <v>waitDisappear:5,Send push automatically,pushRequ</v>
      </c>
      <c r="D221" t="s">
        <v>654</v>
      </c>
    </row>
    <row r="222" spans="3:4">
      <c r="C222" t="str">
        <f t="shared" ref="C222:C231" si="3">LEFT(C145,LEN(C145)-4)</f>
        <v>grid_WTD_BusinessUnit</v>
      </c>
      <c r="D222" t="s">
        <v>259</v>
      </c>
    </row>
    <row r="223" spans="3:4">
      <c r="C223" t="str">
        <f t="shared" si="3"/>
        <v>grid_MTD_BusinessUnit</v>
      </c>
      <c r="D223" t="s">
        <v>260</v>
      </c>
    </row>
    <row r="224" spans="3:4">
      <c r="C224" t="str">
        <f t="shared" si="3"/>
        <v>grid_YTD_BusinessUnit</v>
      </c>
      <c r="D224" t="s">
        <v>261</v>
      </c>
    </row>
    <row r="225" spans="1:4">
      <c r="C225" t="str">
        <f t="shared" si="3"/>
        <v>grid_Day_TopProducts</v>
      </c>
      <c r="D225" t="s">
        <v>258</v>
      </c>
    </row>
    <row r="226" spans="1:4">
      <c r="C226" t="str">
        <f t="shared" si="3"/>
        <v>grid_WTD_TopProducts</v>
      </c>
      <c r="D226" t="s">
        <v>259</v>
      </c>
    </row>
    <row r="227" spans="1:4">
      <c r="C227" t="str">
        <f t="shared" si="3"/>
        <v>grid_MTD_TopProducts</v>
      </c>
      <c r="D227" t="s">
        <v>260</v>
      </c>
    </row>
    <row r="228" spans="1:4">
      <c r="C228" t="str">
        <f t="shared" si="3"/>
        <v>grid_YTD_TopProducts</v>
      </c>
      <c r="D228" t="s">
        <v>261</v>
      </c>
    </row>
    <row r="229" spans="1:4">
      <c r="C229" t="str">
        <f t="shared" si="3"/>
        <v>histogram_YTD</v>
      </c>
      <c r="D229" t="s">
        <v>655</v>
      </c>
    </row>
    <row r="230" spans="1:4">
      <c r="C230" t="str">
        <f t="shared" si="3"/>
        <v>histogram_Nationality_YTD</v>
      </c>
      <c r="D230" t="s">
        <v>656</v>
      </c>
    </row>
    <row r="231" spans="1:4">
      <c r="C231" t="str">
        <f t="shared" si="3"/>
        <v>histogram_BU_YTD</v>
      </c>
      <c r="D231" t="s">
        <v>657</v>
      </c>
    </row>
    <row r="233" spans="1:4">
      <c r="A233" t="s">
        <v>16</v>
      </c>
      <c r="B233" t="s">
        <v>66</v>
      </c>
      <c r="C233" t="s">
        <v>205</v>
      </c>
      <c r="D233" t="s">
        <v>68</v>
      </c>
    </row>
    <row r="234" spans="1:4">
      <c r="C234" t="s">
        <v>206</v>
      </c>
      <c r="D234" t="s">
        <v>158</v>
      </c>
    </row>
    <row r="235" spans="1:4">
      <c r="C235" t="s">
        <v>207</v>
      </c>
      <c r="D235" t="s">
        <v>159</v>
      </c>
    </row>
    <row r="236" spans="1:4">
      <c r="C236" t="s">
        <v>208</v>
      </c>
      <c r="D236" t="s">
        <v>160</v>
      </c>
    </row>
    <row r="237" spans="1:4">
      <c r="C237" t="s">
        <v>209</v>
      </c>
      <c r="D237" t="s">
        <v>161</v>
      </c>
    </row>
    <row r="238" spans="1:4">
      <c r="C238" t="s">
        <v>210</v>
      </c>
      <c r="D238" t="s">
        <v>162</v>
      </c>
    </row>
    <row r="239" spans="1:4">
      <c r="C239" t="s">
        <v>211</v>
      </c>
      <c r="D239" t="s">
        <v>163</v>
      </c>
    </row>
    <row r="240" spans="1:4">
      <c r="C240" t="s">
        <v>212</v>
      </c>
      <c r="D240" t="s">
        <v>164</v>
      </c>
    </row>
    <row r="241" spans="3:4">
      <c r="C241" t="s">
        <v>213</v>
      </c>
      <c r="D241" t="s">
        <v>165</v>
      </c>
    </row>
    <row r="242" spans="3:4">
      <c r="C242" t="s">
        <v>214</v>
      </c>
      <c r="D242" t="s">
        <v>166</v>
      </c>
    </row>
    <row r="243" spans="3:4">
      <c r="C243" t="s">
        <v>215</v>
      </c>
      <c r="D243" t="s">
        <v>167</v>
      </c>
    </row>
    <row r="244" spans="3:4">
      <c r="C244" t="s">
        <v>216</v>
      </c>
      <c r="D244" t="s">
        <v>168</v>
      </c>
    </row>
    <row r="245" spans="3:4">
      <c r="C245" t="s">
        <v>217</v>
      </c>
      <c r="D245" t="s">
        <v>169</v>
      </c>
    </row>
    <row r="246" spans="3:4">
      <c r="C246" t="s">
        <v>218</v>
      </c>
      <c r="D246" t="s">
        <v>170</v>
      </c>
    </row>
    <row r="247" spans="3:4">
      <c r="C247" t="s">
        <v>219</v>
      </c>
      <c r="D247" t="s">
        <v>171</v>
      </c>
    </row>
    <row r="248" spans="3:4">
      <c r="C248" t="s">
        <v>220</v>
      </c>
      <c r="D248" t="s">
        <v>172</v>
      </c>
    </row>
    <row r="249" spans="3:4">
      <c r="C249" t="s">
        <v>221</v>
      </c>
      <c r="D249" t="s">
        <v>173</v>
      </c>
    </row>
    <row r="250" spans="3:4">
      <c r="C250" t="s">
        <v>222</v>
      </c>
      <c r="D250" t="s">
        <v>174</v>
      </c>
    </row>
    <row r="251" spans="3:4">
      <c r="C251" t="s">
        <v>223</v>
      </c>
      <c r="D251" t="s">
        <v>175</v>
      </c>
    </row>
    <row r="252" spans="3:4">
      <c r="C252" t="s">
        <v>224</v>
      </c>
      <c r="D252" t="s">
        <v>176</v>
      </c>
    </row>
    <row r="253" spans="3:4">
      <c r="C253" t="s">
        <v>225</v>
      </c>
      <c r="D253" t="s">
        <v>177</v>
      </c>
    </row>
    <row r="254" spans="3:4">
      <c r="C254" t="s">
        <v>226</v>
      </c>
      <c r="D254" t="s">
        <v>178</v>
      </c>
    </row>
    <row r="255" spans="3:4">
      <c r="C255" t="s">
        <v>227</v>
      </c>
      <c r="D255" t="s">
        <v>179</v>
      </c>
    </row>
    <row r="256" spans="3:4">
      <c r="C256" t="s">
        <v>228</v>
      </c>
      <c r="D256" t="s">
        <v>180</v>
      </c>
    </row>
    <row r="257" spans="3:6">
      <c r="C257" t="s">
        <v>229</v>
      </c>
      <c r="D257" t="s">
        <v>181</v>
      </c>
    </row>
    <row r="258" spans="3:6">
      <c r="C258" t="s">
        <v>582</v>
      </c>
      <c r="D258" t="s">
        <v>700</v>
      </c>
    </row>
    <row r="259" spans="3:6">
      <c r="C259" t="s">
        <v>583</v>
      </c>
      <c r="D259" t="s">
        <v>702</v>
      </c>
    </row>
    <row r="260" spans="3:6">
      <c r="C260" t="s">
        <v>584</v>
      </c>
      <c r="D260" t="s">
        <v>703</v>
      </c>
    </row>
    <row r="261" spans="3:6">
      <c r="C261" t="s">
        <v>585</v>
      </c>
      <c r="D261" t="s">
        <v>701</v>
      </c>
    </row>
    <row r="262" spans="3:6">
      <c r="C262" t="s">
        <v>230</v>
      </c>
      <c r="D262" t="s">
        <v>182</v>
      </c>
    </row>
    <row r="263" spans="3:6">
      <c r="C263" t="s">
        <v>231</v>
      </c>
      <c r="D263" t="s">
        <v>183</v>
      </c>
    </row>
    <row r="264" spans="3:6">
      <c r="C264" t="s">
        <v>232</v>
      </c>
      <c r="D264" t="s">
        <v>184</v>
      </c>
    </row>
    <row r="265" spans="3:6">
      <c r="C265" t="s">
        <v>233</v>
      </c>
      <c r="D265" t="s">
        <v>185</v>
      </c>
    </row>
    <row r="266" spans="3:6">
      <c r="C266" t="s">
        <v>595</v>
      </c>
      <c r="D266" t="str">
        <f>"Grid ("&amp;E266&amp;") - "&amp;F266</f>
        <v>Grid (M BAGS) - DAY</v>
      </c>
      <c r="E266" t="s">
        <v>710</v>
      </c>
      <c r="F266" t="s">
        <v>708</v>
      </c>
    </row>
    <row r="267" spans="3:6">
      <c r="C267" t="s">
        <v>596</v>
      </c>
      <c r="D267" t="str">
        <f t="shared" ref="D267:D269" si="4">"Grid ("&amp;E267&amp;") - "&amp;F267</f>
        <v>Grid (M BAGS) - WTD</v>
      </c>
      <c r="E267" t="s">
        <v>710</v>
      </c>
      <c r="F267" t="s">
        <v>259</v>
      </c>
    </row>
    <row r="268" spans="3:6">
      <c r="C268" t="s">
        <v>597</v>
      </c>
      <c r="D268" t="str">
        <f t="shared" si="4"/>
        <v>Grid (M BAGS) - MTD</v>
      </c>
      <c r="E268" t="s">
        <v>710</v>
      </c>
      <c r="F268" t="s">
        <v>260</v>
      </c>
    </row>
    <row r="269" spans="3:6">
      <c r="C269" t="s">
        <v>598</v>
      </c>
      <c r="D269" t="str">
        <f t="shared" si="4"/>
        <v>Grid (M BAGS) - YTD</v>
      </c>
      <c r="E269" t="s">
        <v>710</v>
      </c>
      <c r="F269" t="s">
        <v>261</v>
      </c>
    </row>
    <row r="270" spans="3:6">
      <c r="C270" t="s">
        <v>599</v>
      </c>
      <c r="D270" t="str">
        <f>"Grid ("&amp;E270&amp;") - "&amp;F270</f>
        <v>Grid (M SLG) - DAY</v>
      </c>
      <c r="E270" t="s">
        <v>709</v>
      </c>
      <c r="F270" t="s">
        <v>708</v>
      </c>
    </row>
    <row r="271" spans="3:6">
      <c r="C271" t="s">
        <v>600</v>
      </c>
      <c r="D271" t="str">
        <f t="shared" ref="D271:D273" si="5">"Grid ("&amp;E271&amp;") - "&amp;F271</f>
        <v>Grid (M SLG) - WTD</v>
      </c>
      <c r="E271" t="s">
        <v>709</v>
      </c>
      <c r="F271" t="s">
        <v>259</v>
      </c>
    </row>
    <row r="272" spans="3:6">
      <c r="C272" t="s">
        <v>601</v>
      </c>
      <c r="D272" t="str">
        <f t="shared" si="5"/>
        <v>Grid (M SLG) - MTD</v>
      </c>
      <c r="E272" t="s">
        <v>709</v>
      </c>
      <c r="F272" t="s">
        <v>260</v>
      </c>
    </row>
    <row r="273" spans="3:6">
      <c r="C273" t="s">
        <v>602</v>
      </c>
      <c r="D273" t="str">
        <f t="shared" si="5"/>
        <v>Grid (M SLG) - YTD</v>
      </c>
      <c r="E273" t="s">
        <v>709</v>
      </c>
      <c r="F273" t="s">
        <v>261</v>
      </c>
    </row>
    <row r="274" spans="3:6">
      <c r="C274" t="s">
        <v>603</v>
      </c>
      <c r="D274" t="s">
        <v>704</v>
      </c>
    </row>
    <row r="275" spans="3:6">
      <c r="C275" t="s">
        <v>604</v>
      </c>
      <c r="D275" t="s">
        <v>705</v>
      </c>
    </row>
    <row r="276" spans="3:6">
      <c r="C276" t="s">
        <v>605</v>
      </c>
      <c r="D276" t="s">
        <v>706</v>
      </c>
    </row>
    <row r="277" spans="3:6">
      <c r="C277" t="s">
        <v>606</v>
      </c>
      <c r="D277" t="s">
        <v>707</v>
      </c>
    </row>
    <row r="278" spans="3:6">
      <c r="C278" t="s">
        <v>607</v>
      </c>
      <c r="D278" t="str">
        <f>"Grid ("&amp;E278&amp;") - "&amp;F278</f>
        <v>Grid (M SHOES) - DAY</v>
      </c>
      <c r="E278" t="s">
        <v>711</v>
      </c>
      <c r="F278" t="s">
        <v>708</v>
      </c>
    </row>
    <row r="279" spans="3:6">
      <c r="C279" t="s">
        <v>608</v>
      </c>
      <c r="D279" t="str">
        <f t="shared" ref="D279:D281" si="6">"Grid ("&amp;E279&amp;") - "&amp;F279</f>
        <v>Grid (M SHOES) - WTD</v>
      </c>
      <c r="E279" t="s">
        <v>711</v>
      </c>
      <c r="F279" t="s">
        <v>259</v>
      </c>
    </row>
    <row r="280" spans="3:6">
      <c r="C280" t="s">
        <v>609</v>
      </c>
      <c r="D280" t="str">
        <f t="shared" si="6"/>
        <v>Grid (M SHOES) - MTD</v>
      </c>
      <c r="E280" t="s">
        <v>711</v>
      </c>
      <c r="F280" t="s">
        <v>260</v>
      </c>
    </row>
    <row r="281" spans="3:6">
      <c r="C281" t="s">
        <v>610</v>
      </c>
      <c r="D281" t="str">
        <f t="shared" si="6"/>
        <v>Grid (M SHOES) - YTD</v>
      </c>
      <c r="E281" t="s">
        <v>711</v>
      </c>
      <c r="F281" t="s">
        <v>261</v>
      </c>
    </row>
    <row r="282" spans="3:6">
      <c r="C282" t="s">
        <v>611</v>
      </c>
      <c r="D282" t="str">
        <f>"Grid ("&amp;E282&amp;") - "&amp;F282</f>
        <v>Grid (M Accessories) - DAY</v>
      </c>
      <c r="E282" t="s">
        <v>712</v>
      </c>
      <c r="F282" t="s">
        <v>708</v>
      </c>
    </row>
    <row r="283" spans="3:6">
      <c r="C283" t="s">
        <v>612</v>
      </c>
      <c r="D283" t="str">
        <f t="shared" ref="D283:D285" si="7">"Grid ("&amp;E283&amp;") - "&amp;F283</f>
        <v>Grid (M Accessories) - WTD</v>
      </c>
      <c r="E283" t="s">
        <v>712</v>
      </c>
      <c r="F283" t="s">
        <v>259</v>
      </c>
    </row>
    <row r="284" spans="3:6">
      <c r="C284" t="s">
        <v>613</v>
      </c>
      <c r="D284" t="str">
        <f t="shared" si="7"/>
        <v>Grid (M Accessories) - MTD</v>
      </c>
      <c r="E284" t="s">
        <v>712</v>
      </c>
      <c r="F284" t="s">
        <v>260</v>
      </c>
    </row>
    <row r="285" spans="3:6">
      <c r="C285" t="s">
        <v>614</v>
      </c>
      <c r="D285" t="str">
        <f t="shared" si="7"/>
        <v>Grid (M Accessories) - YTD</v>
      </c>
      <c r="E285" t="s">
        <v>712</v>
      </c>
      <c r="F285" t="s">
        <v>261</v>
      </c>
    </row>
    <row r="286" spans="3:6">
      <c r="C286" t="s">
        <v>615</v>
      </c>
      <c r="D286" t="str">
        <f>"Grid ("&amp;E286&amp;") - "&amp;F286</f>
        <v>Grid (M Special) - DAY</v>
      </c>
      <c r="E286" t="s">
        <v>713</v>
      </c>
      <c r="F286" t="s">
        <v>708</v>
      </c>
    </row>
    <row r="287" spans="3:6">
      <c r="C287" t="s">
        <v>616</v>
      </c>
      <c r="D287" t="str">
        <f t="shared" ref="D287:D289" si="8">"Grid ("&amp;E287&amp;") - "&amp;F287</f>
        <v>Grid (M Special) - WTD</v>
      </c>
      <c r="E287" t="s">
        <v>713</v>
      </c>
      <c r="F287" t="s">
        <v>259</v>
      </c>
    </row>
    <row r="288" spans="3:6">
      <c r="C288" t="s">
        <v>617</v>
      </c>
      <c r="D288" t="str">
        <f t="shared" si="8"/>
        <v>Grid (M Special) - MTD</v>
      </c>
      <c r="E288" t="s">
        <v>713</v>
      </c>
      <c r="F288" t="s">
        <v>260</v>
      </c>
    </row>
    <row r="289" spans="3:6">
      <c r="C289" t="s">
        <v>618</v>
      </c>
      <c r="D289" t="str">
        <f t="shared" si="8"/>
        <v>Grid (M Special) - YTD</v>
      </c>
      <c r="E289" t="s">
        <v>713</v>
      </c>
      <c r="F289" t="s">
        <v>261</v>
      </c>
    </row>
    <row r="290" spans="3:6">
      <c r="C290" t="s">
        <v>234</v>
      </c>
      <c r="D290" t="s">
        <v>186</v>
      </c>
    </row>
    <row r="291" spans="3:6">
      <c r="C291" t="s">
        <v>235</v>
      </c>
      <c r="D291" t="s">
        <v>187</v>
      </c>
    </row>
    <row r="292" spans="3:6">
      <c r="C292" t="s">
        <v>236</v>
      </c>
      <c r="D292" t="s">
        <v>188</v>
      </c>
    </row>
    <row r="293" spans="3:6">
      <c r="C293" t="s">
        <v>237</v>
      </c>
      <c r="D293" t="s">
        <v>189</v>
      </c>
    </row>
    <row r="294" spans="3:6">
      <c r="C294" t="s">
        <v>238</v>
      </c>
      <c r="D294" t="s">
        <v>190</v>
      </c>
    </row>
    <row r="295" spans="3:6">
      <c r="C295" t="s">
        <v>239</v>
      </c>
      <c r="D295" t="s">
        <v>191</v>
      </c>
    </row>
    <row r="296" spans="3:6">
      <c r="C296" t="s">
        <v>240</v>
      </c>
      <c r="D296" t="s">
        <v>192</v>
      </c>
    </row>
    <row r="297" spans="3:6">
      <c r="C297" t="s">
        <v>241</v>
      </c>
      <c r="D297" t="s">
        <v>193</v>
      </c>
    </row>
    <row r="298" spans="3:6">
      <c r="C298" t="s">
        <v>242</v>
      </c>
      <c r="D298" t="s">
        <v>194</v>
      </c>
    </row>
    <row r="299" spans="3:6">
      <c r="C299" t="s">
        <v>243</v>
      </c>
      <c r="D299" t="s">
        <v>195</v>
      </c>
    </row>
    <row r="300" spans="3:6">
      <c r="C300" t="s">
        <v>244</v>
      </c>
      <c r="D300" t="s">
        <v>196</v>
      </c>
    </row>
    <row r="301" spans="3:6">
      <c r="C301" t="s">
        <v>245</v>
      </c>
      <c r="D301" t="s">
        <v>197</v>
      </c>
    </row>
    <row r="302" spans="3:6">
      <c r="C302" t="s">
        <v>246</v>
      </c>
      <c r="D302" t="s">
        <v>198</v>
      </c>
    </row>
    <row r="303" spans="3:6">
      <c r="C303" t="s">
        <v>247</v>
      </c>
      <c r="D303" t="s">
        <v>199</v>
      </c>
    </row>
    <row r="304" spans="3:6">
      <c r="C304" t="s">
        <v>248</v>
      </c>
      <c r="D304" t="s">
        <v>200</v>
      </c>
    </row>
    <row r="305" spans="1:4">
      <c r="C305" t="s">
        <v>249</v>
      </c>
      <c r="D305" t="s">
        <v>201</v>
      </c>
    </row>
    <row r="306" spans="1:4">
      <c r="C306" t="s">
        <v>250</v>
      </c>
      <c r="D306" t="s">
        <v>202</v>
      </c>
    </row>
    <row r="307" spans="1:4">
      <c r="C307" t="s">
        <v>251</v>
      </c>
      <c r="D307" t="s">
        <v>203</v>
      </c>
    </row>
    <row r="308" spans="1:4">
      <c r="C308" t="s">
        <v>252</v>
      </c>
      <c r="D308" t="s">
        <v>204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719</v>
      </c>
      <c r="E388" t="s">
        <v>720</v>
      </c>
    </row>
    <row r="389" spans="1:7">
      <c r="C389" t="s">
        <v>156</v>
      </c>
    </row>
    <row r="390" spans="1:7">
      <c r="C390" t="s">
        <v>731</v>
      </c>
      <c r="E390" t="s">
        <v>732</v>
      </c>
    </row>
    <row r="391" spans="1:7">
      <c r="C391" t="s">
        <v>418</v>
      </c>
    </row>
    <row r="392" spans="1:7">
      <c r="B392" s="3"/>
      <c r="C392" t="s">
        <v>147</v>
      </c>
    </row>
    <row r="393" spans="1:7">
      <c r="B393" s="3"/>
      <c r="C393" t="s">
        <v>714</v>
      </c>
      <c r="E393" t="s">
        <v>736</v>
      </c>
      <c r="G393" t="s">
        <v>714</v>
      </c>
    </row>
    <row r="394" spans="1:7">
      <c r="C394" t="s">
        <v>738</v>
      </c>
    </row>
    <row r="395" spans="1:7">
      <c r="C395" t="s">
        <v>440</v>
      </c>
    </row>
    <row r="396" spans="1:7">
      <c r="A396" t="s">
        <v>16</v>
      </c>
      <c r="B396" t="s">
        <v>147</v>
      </c>
      <c r="C396" t="s">
        <v>715</v>
      </c>
      <c r="E396" t="s">
        <v>71</v>
      </c>
    </row>
    <row r="398" spans="1:7">
      <c r="A398" t="s">
        <v>16</v>
      </c>
      <c r="B398" s="3" t="s">
        <v>32</v>
      </c>
      <c r="C398" t="s">
        <v>400</v>
      </c>
    </row>
    <row r="399" spans="1:7">
      <c r="C399" t="s">
        <v>419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420</v>
      </c>
    </row>
    <row r="402" spans="1:7">
      <c r="C402" t="s">
        <v>697</v>
      </c>
      <c r="G402" t="s">
        <v>347</v>
      </c>
    </row>
    <row r="403" spans="1:7">
      <c r="C403" t="s">
        <v>423</v>
      </c>
    </row>
    <row r="404" spans="1:7">
      <c r="C404" t="s">
        <v>588</v>
      </c>
    </row>
    <row r="405" spans="1:7">
      <c r="C405" t="s">
        <v>426</v>
      </c>
    </row>
    <row r="406" spans="1:7">
      <c r="C406" t="s">
        <v>717</v>
      </c>
      <c r="E406" t="s">
        <v>718</v>
      </c>
    </row>
    <row r="407" spans="1:7">
      <c r="C407" t="s">
        <v>433</v>
      </c>
      <c r="E407" t="s">
        <v>314</v>
      </c>
    </row>
    <row r="408" spans="1:7">
      <c r="C408" t="s">
        <v>588</v>
      </c>
    </row>
    <row r="409" spans="1:7">
      <c r="A409" t="s">
        <v>16</v>
      </c>
      <c r="B409" t="s">
        <v>403</v>
      </c>
      <c r="C409" t="s">
        <v>310</v>
      </c>
    </row>
    <row r="410" spans="1:7">
      <c r="C410" t="s">
        <v>24</v>
      </c>
    </row>
    <row r="411" spans="1:7">
      <c r="C411" t="s">
        <v>312</v>
      </c>
    </row>
    <row r="412" spans="1:7">
      <c r="C412" t="s">
        <v>311</v>
      </c>
    </row>
    <row r="414" spans="1:7">
      <c r="B414" t="s">
        <v>311</v>
      </c>
      <c r="C414" t="s">
        <v>310</v>
      </c>
    </row>
    <row r="415" spans="1:7">
      <c r="C415" t="s">
        <v>24</v>
      </c>
    </row>
    <row r="416" spans="1:7">
      <c r="C416" t="s">
        <v>312</v>
      </c>
    </row>
    <row r="417" spans="1:7">
      <c r="C417" t="s">
        <v>313</v>
      </c>
    </row>
    <row r="418" spans="1:7">
      <c r="C418" t="s">
        <v>314</v>
      </c>
    </row>
    <row r="419" spans="1:7">
      <c r="B419" t="s">
        <v>317</v>
      </c>
      <c r="C419" t="s">
        <v>316</v>
      </c>
    </row>
    <row r="420" spans="1:7">
      <c r="C420" t="s">
        <v>315</v>
      </c>
    </row>
    <row r="421" spans="1:7">
      <c r="C421" t="s">
        <v>151</v>
      </c>
    </row>
    <row r="423" spans="1:7">
      <c r="A423" t="s">
        <v>15</v>
      </c>
      <c r="B423" t="s">
        <v>358</v>
      </c>
      <c r="C423" t="s">
        <v>360</v>
      </c>
      <c r="D423" t="s">
        <v>659</v>
      </c>
      <c r="G423" t="s">
        <v>362</v>
      </c>
    </row>
    <row r="424" spans="1:7">
      <c r="C424" t="s">
        <v>253</v>
      </c>
      <c r="D424" t="s">
        <v>658</v>
      </c>
    </row>
    <row r="425" spans="1:7">
      <c r="C425" t="s">
        <v>365</v>
      </c>
      <c r="D425" t="s">
        <v>659</v>
      </c>
    </row>
    <row r="426" spans="1:7">
      <c r="C426" t="s">
        <v>367</v>
      </c>
      <c r="D426" t="s">
        <v>807</v>
      </c>
      <c r="G426" t="s">
        <v>730</v>
      </c>
    </row>
    <row r="427" spans="1:7">
      <c r="G427" t="s">
        <v>807</v>
      </c>
    </row>
    <row r="428" spans="1:7">
      <c r="A428" t="s">
        <v>15</v>
      </c>
      <c r="B428" t="s">
        <v>406</v>
      </c>
      <c r="C428" t="s">
        <v>407</v>
      </c>
    </row>
    <row r="429" spans="1:7">
      <c r="C429" t="s">
        <v>408</v>
      </c>
    </row>
    <row r="430" spans="1:7">
      <c r="C430" t="s">
        <v>410</v>
      </c>
    </row>
    <row r="432" spans="1:7">
      <c r="A432" t="s">
        <v>16</v>
      </c>
      <c r="B432" t="s">
        <v>273</v>
      </c>
      <c r="C432" t="s">
        <v>580</v>
      </c>
      <c r="E432" t="s">
        <v>432</v>
      </c>
      <c r="G432" t="s">
        <v>288</v>
      </c>
    </row>
    <row r="433" spans="1:3">
      <c r="A433" t="s">
        <v>16</v>
      </c>
      <c r="B433" t="s">
        <v>274</v>
      </c>
      <c r="C433" t="s">
        <v>289</v>
      </c>
    </row>
    <row r="434" spans="1:3">
      <c r="A434" t="s">
        <v>16</v>
      </c>
      <c r="B434" t="s">
        <v>275</v>
      </c>
      <c r="C434" t="s">
        <v>290</v>
      </c>
    </row>
    <row r="435" spans="1:3">
      <c r="A435" t="s">
        <v>16</v>
      </c>
      <c r="B435" t="s">
        <v>276</v>
      </c>
      <c r="C435" t="s">
        <v>291</v>
      </c>
    </row>
    <row r="436" spans="1:3">
      <c r="A436" t="s">
        <v>16</v>
      </c>
      <c r="B436" t="s">
        <v>660</v>
      </c>
      <c r="C436" t="s">
        <v>661</v>
      </c>
    </row>
    <row r="437" spans="1:3">
      <c r="A437" t="s">
        <v>16</v>
      </c>
      <c r="B437" t="s">
        <v>662</v>
      </c>
      <c r="C437" t="s">
        <v>663</v>
      </c>
    </row>
    <row r="438" spans="1:3">
      <c r="A438" t="s">
        <v>16</v>
      </c>
      <c r="B438" t="s">
        <v>277</v>
      </c>
      <c r="C438" t="s">
        <v>292</v>
      </c>
    </row>
    <row r="439" spans="1:3">
      <c r="A439" t="s">
        <v>16</v>
      </c>
      <c r="B439" t="s">
        <v>278</v>
      </c>
      <c r="C439" t="s">
        <v>293</v>
      </c>
    </row>
    <row r="440" spans="1:3">
      <c r="A440" t="s">
        <v>16</v>
      </c>
      <c r="B440" t="s">
        <v>279</v>
      </c>
      <c r="C440" t="s">
        <v>294</v>
      </c>
    </row>
    <row r="441" spans="1:3">
      <c r="A441" t="s">
        <v>16</v>
      </c>
      <c r="B441" t="s">
        <v>280</v>
      </c>
      <c r="C441" t="s">
        <v>295</v>
      </c>
    </row>
    <row r="442" spans="1:3">
      <c r="A442" t="s">
        <v>16</v>
      </c>
      <c r="B442" t="s">
        <v>281</v>
      </c>
      <c r="C442" t="s">
        <v>296</v>
      </c>
    </row>
    <row r="443" spans="1:3">
      <c r="A443" t="s">
        <v>16</v>
      </c>
      <c r="B443" t="s">
        <v>282</v>
      </c>
      <c r="C443" t="s">
        <v>297</v>
      </c>
    </row>
    <row r="444" spans="1:3">
      <c r="A444" t="s">
        <v>16</v>
      </c>
      <c r="B444" t="s">
        <v>283</v>
      </c>
      <c r="C444" t="s">
        <v>298</v>
      </c>
    </row>
    <row r="445" spans="1:3">
      <c r="A445" t="s">
        <v>16</v>
      </c>
      <c r="B445" t="s">
        <v>284</v>
      </c>
      <c r="C445" t="s">
        <v>299</v>
      </c>
    </row>
    <row r="446" spans="1:3">
      <c r="A446" t="s">
        <v>16</v>
      </c>
      <c r="B446" t="s">
        <v>285</v>
      </c>
      <c r="C446" t="s">
        <v>300</v>
      </c>
    </row>
    <row r="447" spans="1:3">
      <c r="A447" t="s">
        <v>16</v>
      </c>
      <c r="B447" t="s">
        <v>623</v>
      </c>
      <c r="C447" t="s">
        <v>633</v>
      </c>
    </row>
    <row r="448" spans="1:3">
      <c r="A448" t="s">
        <v>16</v>
      </c>
      <c r="B448" t="s">
        <v>624</v>
      </c>
      <c r="C448" t="s">
        <v>638</v>
      </c>
    </row>
    <row r="449" spans="1:4">
      <c r="A449" t="s">
        <v>16</v>
      </c>
      <c r="B449" t="s">
        <v>625</v>
      </c>
      <c r="C449" t="s">
        <v>634</v>
      </c>
    </row>
    <row r="450" spans="1:4">
      <c r="A450" t="s">
        <v>16</v>
      </c>
      <c r="B450" t="s">
        <v>647</v>
      </c>
      <c r="C450" t="s">
        <v>645</v>
      </c>
    </row>
    <row r="451" spans="1:4">
      <c r="A451" t="s">
        <v>16</v>
      </c>
      <c r="B451" t="s">
        <v>648</v>
      </c>
      <c r="C451" t="s">
        <v>646</v>
      </c>
    </row>
    <row r="452" spans="1:4">
      <c r="A452" t="s">
        <v>16</v>
      </c>
      <c r="B452" t="s">
        <v>626</v>
      </c>
      <c r="C452" t="s">
        <v>635</v>
      </c>
    </row>
    <row r="453" spans="1:4">
      <c r="A453" t="s">
        <v>16</v>
      </c>
      <c r="B453" t="s">
        <v>627</v>
      </c>
      <c r="C453" t="s">
        <v>640</v>
      </c>
    </row>
    <row r="454" spans="1:4">
      <c r="A454" t="s">
        <v>16</v>
      </c>
      <c r="B454" t="s">
        <v>628</v>
      </c>
      <c r="C454" t="s">
        <v>636</v>
      </c>
    </row>
    <row r="455" spans="1:4">
      <c r="A455" t="s">
        <v>16</v>
      </c>
      <c r="B455" t="s">
        <v>629</v>
      </c>
      <c r="C455" t="s">
        <v>639</v>
      </c>
    </row>
    <row r="456" spans="1:4">
      <c r="A456" t="s">
        <v>16</v>
      </c>
      <c r="B456" t="s">
        <v>630</v>
      </c>
      <c r="C456" t="s">
        <v>641</v>
      </c>
    </row>
    <row r="457" spans="1:4">
      <c r="A457" t="s">
        <v>16</v>
      </c>
      <c r="B457" t="s">
        <v>631</v>
      </c>
      <c r="C457" t="s">
        <v>642</v>
      </c>
    </row>
    <row r="458" spans="1:4">
      <c r="A458" t="s">
        <v>16</v>
      </c>
      <c r="B458" t="s">
        <v>632</v>
      </c>
      <c r="C458" t="s">
        <v>637</v>
      </c>
    </row>
    <row r="459" spans="1:4">
      <c r="A459" t="s">
        <v>16</v>
      </c>
      <c r="B459" t="s">
        <v>650</v>
      </c>
      <c r="C459" t="s">
        <v>651</v>
      </c>
    </row>
    <row r="460" spans="1:4">
      <c r="A460" t="s">
        <v>16</v>
      </c>
      <c r="B460" t="s">
        <v>286</v>
      </c>
      <c r="C460" t="s">
        <v>301</v>
      </c>
    </row>
    <row r="461" spans="1:4">
      <c r="A461" t="s">
        <v>16</v>
      </c>
      <c r="B461" t="s">
        <v>287</v>
      </c>
      <c r="C461" t="s">
        <v>302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154</v>
      </c>
      <c r="D464" t="s">
        <v>155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398</v>
      </c>
    </row>
    <row r="466" spans="1:5">
      <c r="C466" t="s">
        <v>1</v>
      </c>
    </row>
    <row r="467" spans="1:5">
      <c r="C467" t="s">
        <v>339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442</v>
      </c>
      <c r="E469" s="1" t="s">
        <v>344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413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451</v>
      </c>
      <c r="E474" t="s">
        <v>452</v>
      </c>
    </row>
    <row r="475" spans="1:5">
      <c r="C475" t="s">
        <v>454</v>
      </c>
      <c r="E475" t="s">
        <v>455</v>
      </c>
    </row>
    <row r="476" spans="1:5">
      <c r="C476" t="s">
        <v>345</v>
      </c>
      <c r="E476" t="s">
        <v>111</v>
      </c>
    </row>
    <row r="478" spans="1:5">
      <c r="A478" t="s">
        <v>16</v>
      </c>
      <c r="B478" t="s">
        <v>412</v>
      </c>
      <c r="C478" t="s">
        <v>37</v>
      </c>
    </row>
    <row r="479" spans="1:5">
      <c r="C479" t="s">
        <v>458</v>
      </c>
      <c r="E479" t="s">
        <v>457</v>
      </c>
    </row>
    <row r="480" spans="1:5">
      <c r="C480" t="s">
        <v>27</v>
      </c>
    </row>
    <row r="482" spans="1:5">
      <c r="A482" t="s">
        <v>16</v>
      </c>
      <c r="B482" t="s">
        <v>453</v>
      </c>
      <c r="C482" t="s">
        <v>456</v>
      </c>
      <c r="E482" t="s">
        <v>457</v>
      </c>
    </row>
    <row r="483" spans="1:5">
      <c r="C483" t="s">
        <v>27</v>
      </c>
    </row>
    <row r="485" spans="1:5">
      <c r="A485" t="s">
        <v>16</v>
      </c>
      <c r="B485" s="3" t="s">
        <v>156</v>
      </c>
      <c r="C485" t="s">
        <v>157</v>
      </c>
    </row>
    <row r="486" spans="1:5">
      <c r="B486" s="3"/>
      <c r="C486" t="s">
        <v>306</v>
      </c>
    </row>
    <row r="487" spans="1:5">
      <c r="A487" t="s">
        <v>16</v>
      </c>
      <c r="B487" t="s">
        <v>306</v>
      </c>
      <c r="C487" t="s">
        <v>409</v>
      </c>
    </row>
    <row r="488" spans="1:5">
      <c r="C488" t="s">
        <v>303</v>
      </c>
    </row>
    <row r="489" spans="1:5">
      <c r="C489" t="s">
        <v>304</v>
      </c>
    </row>
    <row r="490" spans="1:5">
      <c r="C490" t="s">
        <v>405</v>
      </c>
    </row>
    <row r="491" spans="1:5">
      <c r="C491" t="s">
        <v>411</v>
      </c>
    </row>
    <row r="492" spans="1:5">
      <c r="C492" t="s">
        <v>414</v>
      </c>
    </row>
    <row r="493" spans="1:5">
      <c r="C493" t="s">
        <v>305</v>
      </c>
      <c r="E493" t="s">
        <v>104</v>
      </c>
    </row>
    <row r="495" spans="1:5">
      <c r="A495" t="s">
        <v>16</v>
      </c>
      <c r="B495" t="s">
        <v>415</v>
      </c>
      <c r="C495" t="s">
        <v>37</v>
      </c>
    </row>
    <row r="496" spans="1:5">
      <c r="C496" t="s">
        <v>416</v>
      </c>
    </row>
    <row r="498" spans="1:3">
      <c r="A498" t="s">
        <v>16</v>
      </c>
      <c r="B498" t="s">
        <v>431</v>
      </c>
      <c r="C498" t="s">
        <v>427</v>
      </c>
    </row>
    <row r="499" spans="1:3">
      <c r="C499" t="s">
        <v>430</v>
      </c>
    </row>
    <row r="500" spans="1:3">
      <c r="C500" t="s">
        <v>129</v>
      </c>
    </row>
    <row r="501" spans="1:3">
      <c r="C501" t="s">
        <v>429</v>
      </c>
    </row>
    <row r="502" spans="1:3">
      <c r="C502" t="s">
        <v>428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>
    <tabColor theme="0" tint="-0.499984740745262"/>
  </sheetPr>
  <dimension ref="A1:N226"/>
  <sheetViews>
    <sheetView topLeftCell="A49" workbookViewId="0">
      <selection activeCell="C104" sqref="C104"/>
    </sheetView>
  </sheetViews>
  <sheetFormatPr defaultRowHeight="15"/>
  <cols>
    <col min="1" max="1" width="16.28515625" bestFit="1" customWidth="1"/>
    <col min="4" max="4" width="21.85546875" customWidth="1"/>
    <col min="5" max="5" width="108.5703125" bestFit="1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358</v>
      </c>
      <c r="E11" t="s">
        <v>360</v>
      </c>
      <c r="F11" t="s">
        <v>362</v>
      </c>
    </row>
    <row r="12" spans="1:14">
      <c r="A12" t="str">
        <f t="shared" si="6"/>
        <v>constants</v>
      </c>
      <c r="B12" t="str">
        <f t="shared" si="7"/>
        <v>key</v>
      </c>
      <c r="E12" t="s">
        <v>253</v>
      </c>
      <c r="F12" t="s">
        <v>361</v>
      </c>
    </row>
    <row r="13" spans="1:14">
      <c r="A13" t="str">
        <f t="shared" si="6"/>
        <v>constants</v>
      </c>
      <c r="B13" t="str">
        <f t="shared" si="7"/>
        <v>key</v>
      </c>
      <c r="E13" t="s">
        <v>365</v>
      </c>
      <c r="F13" t="s">
        <v>363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367</v>
      </c>
      <c r="F14" t="s">
        <v>359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372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374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375</v>
      </c>
      <c r="F20" s="3" t="s">
        <v>373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370</v>
      </c>
      <c r="G23" t="s">
        <v>371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createPDF:imagelist,./Output/Images/,./Output/APAC_Daily_Sales_20221106120331.pdf</v>
      </c>
    </row>
    <row r="26" spans="1:13">
      <c r="A26" t="str">
        <f t="shared" si="8"/>
        <v>main</v>
      </c>
      <c r="B26" t="str">
        <f t="shared" si="9"/>
        <v>list</v>
      </c>
      <c r="E26" t="s">
        <v>364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366</v>
      </c>
      <c r="G27" t="s">
        <v>71</v>
      </c>
      <c r="M27" s="4" t="str">
        <f ca="1">TEXT(NOW(),"YYYYMMDDHHMMSS")</f>
        <v>20221106120331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376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339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343</v>
      </c>
      <c r="G33" s="1" t="s">
        <v>344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345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339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346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347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368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369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348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349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350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waitDisappear:5,Send push automatically,pushRequired</v>
      </c>
      <c r="C67" t="s">
        <v>454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waitDisappear:5,Send push automatically,pushRequired</v>
      </c>
      <c r="E68" t="s">
        <v>351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342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340</v>
      </c>
      <c r="G76" t="s">
        <v>143</v>
      </c>
    </row>
    <row r="77" spans="1:7">
      <c r="E77" t="s">
        <v>352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353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354</v>
      </c>
      <c r="G82" t="s">
        <v>355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356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357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341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>
    <tabColor theme="0" tint="-0.499984740745262"/>
  </sheetPr>
  <dimension ref="A1:O377"/>
  <sheetViews>
    <sheetView topLeftCell="A49" workbookViewId="0">
      <selection activeCell="C104" sqref="C104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154</v>
      </c>
      <c r="F29" t="s">
        <v>155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156</v>
      </c>
    </row>
    <row r="34" spans="1:7">
      <c r="E34" t="s">
        <v>310</v>
      </c>
    </row>
    <row r="35" spans="1:7">
      <c r="E35" t="s">
        <v>24</v>
      </c>
    </row>
    <row r="36" spans="1:7">
      <c r="E36" t="s">
        <v>312</v>
      </c>
    </row>
    <row r="37" spans="1:7">
      <c r="E37" t="s">
        <v>311</v>
      </c>
    </row>
    <row r="39" spans="1:7">
      <c r="D39" t="s">
        <v>311</v>
      </c>
      <c r="E39" t="s">
        <v>310</v>
      </c>
    </row>
    <row r="40" spans="1:7">
      <c r="E40" t="s">
        <v>24</v>
      </c>
    </row>
    <row r="41" spans="1:7">
      <c r="E41" t="s">
        <v>312</v>
      </c>
    </row>
    <row r="42" spans="1:7">
      <c r="E42" t="s">
        <v>313</v>
      </c>
    </row>
    <row r="43" spans="1:7">
      <c r="E43" t="s">
        <v>314</v>
      </c>
    </row>
    <row r="44" spans="1:7">
      <c r="D44" t="s">
        <v>317</v>
      </c>
      <c r="E44" t="s">
        <v>316</v>
      </c>
    </row>
    <row r="45" spans="1:7">
      <c r="E45" t="s">
        <v>315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createPDF:imagelist,./Output/Images/,./Output/APAC_Daily_Sales_20221106120331.pdf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20221106120331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339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waitDisappear:5,Send push automatically,pushRequired</v>
      </c>
      <c r="C67" t="s">
        <v>454</v>
      </c>
      <c r="D67" s="3" t="s">
        <v>156</v>
      </c>
      <c r="E67" t="s">
        <v>157</v>
      </c>
    </row>
    <row r="68" spans="1:7">
      <c r="A68" t="str">
        <f t="shared" si="7"/>
        <v>logon_iCristal</v>
      </c>
      <c r="B68" t="str">
        <f t="shared" si="8"/>
        <v>waitDisappear:5,Send push automatically,pushRequired</v>
      </c>
      <c r="D68" s="3"/>
      <c r="E68" t="s">
        <v>306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306</v>
      </c>
      <c r="E69" t="s">
        <v>307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303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304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308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309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305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342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340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341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158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159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160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161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162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163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164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165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166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167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168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169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170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171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172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173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174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175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176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177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178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179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180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181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182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183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184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185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186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187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188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189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190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191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192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193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194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195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196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197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198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199</v>
      </c>
    </row>
    <row r="196" spans="1:6">
      <c r="A196" t="str">
        <f t="shared" si="15"/>
        <v>pageTitles</v>
      </c>
      <c r="B196" t="str">
        <f t="shared" si="16"/>
        <v>list</v>
      </c>
      <c r="E196" t="s">
        <v>200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201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202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203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204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205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206</v>
      </c>
      <c r="F204" t="s">
        <v>158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207</v>
      </c>
      <c r="F205" t="s">
        <v>159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208</v>
      </c>
      <c r="F206" t="s">
        <v>160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209</v>
      </c>
      <c r="F207" t="s">
        <v>161</v>
      </c>
    </row>
    <row r="208" spans="1:6">
      <c r="A208" t="str">
        <f t="shared" si="15"/>
        <v>imagelist</v>
      </c>
      <c r="B208" t="str">
        <f t="shared" si="16"/>
        <v>list</v>
      </c>
      <c r="E208" t="s">
        <v>210</v>
      </c>
      <c r="F208" t="s">
        <v>162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211</v>
      </c>
      <c r="F209" t="s">
        <v>163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212</v>
      </c>
      <c r="F210" t="s">
        <v>164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213</v>
      </c>
      <c r="F211" t="s">
        <v>165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214</v>
      </c>
      <c r="F212" t="s">
        <v>166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215</v>
      </c>
      <c r="F213" t="s">
        <v>167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216</v>
      </c>
      <c r="F214" t="s">
        <v>168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217</v>
      </c>
      <c r="F215" t="s">
        <v>169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218</v>
      </c>
      <c r="F216" t="s">
        <v>170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219</v>
      </c>
      <c r="F217" t="s">
        <v>171</v>
      </c>
    </row>
    <row r="218" spans="1:6">
      <c r="A218" t="str">
        <f t="shared" si="15"/>
        <v>imagelist</v>
      </c>
      <c r="B218" t="str">
        <f t="shared" si="16"/>
        <v>list</v>
      </c>
      <c r="E218" t="s">
        <v>220</v>
      </c>
      <c r="F218" t="s">
        <v>172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221</v>
      </c>
      <c r="F219" t="s">
        <v>173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222</v>
      </c>
      <c r="F220" t="s">
        <v>174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223</v>
      </c>
      <c r="F221" t="s">
        <v>175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224</v>
      </c>
      <c r="F222" t="s">
        <v>176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225</v>
      </c>
      <c r="F223" t="s">
        <v>177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226</v>
      </c>
      <c r="F224" t="s">
        <v>178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227</v>
      </c>
      <c r="F225" t="s">
        <v>179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228</v>
      </c>
      <c r="F226" t="s">
        <v>180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229</v>
      </c>
      <c r="F227" t="s">
        <v>181</v>
      </c>
    </row>
    <row r="228" spans="1:6">
      <c r="A228" t="str">
        <f t="shared" si="15"/>
        <v>imagelist</v>
      </c>
      <c r="B228" t="str">
        <f t="shared" si="16"/>
        <v>list</v>
      </c>
      <c r="E228" t="s">
        <v>230</v>
      </c>
      <c r="F228" t="s">
        <v>182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231</v>
      </c>
      <c r="F229" t="s">
        <v>183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232</v>
      </c>
      <c r="F230" t="s">
        <v>184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233</v>
      </c>
      <c r="F231" t="s">
        <v>185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234</v>
      </c>
      <c r="F232" t="s">
        <v>186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235</v>
      </c>
      <c r="F233" t="s">
        <v>187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236</v>
      </c>
      <c r="F234" t="s">
        <v>188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237</v>
      </c>
      <c r="F235" t="s">
        <v>189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238</v>
      </c>
      <c r="F236" t="s">
        <v>190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239</v>
      </c>
      <c r="F237" t="s">
        <v>191</v>
      </c>
    </row>
    <row r="238" spans="1:6">
      <c r="A238" t="str">
        <f t="shared" si="17"/>
        <v>imagelist</v>
      </c>
      <c r="B238" t="str">
        <f t="shared" si="18"/>
        <v>list</v>
      </c>
      <c r="E238" t="s">
        <v>240</v>
      </c>
      <c r="F238" t="s">
        <v>192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241</v>
      </c>
      <c r="F239" t="s">
        <v>193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242</v>
      </c>
      <c r="F240" t="s">
        <v>194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243</v>
      </c>
      <c r="F241" t="s">
        <v>195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244</v>
      </c>
      <c r="F242" t="s">
        <v>196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245</v>
      </c>
      <c r="F243" t="s">
        <v>197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246</v>
      </c>
      <c r="F244" t="s">
        <v>198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247</v>
      </c>
      <c r="F245" t="s">
        <v>199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248</v>
      </c>
      <c r="F246" t="s">
        <v>200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249</v>
      </c>
      <c r="F247" t="s">
        <v>201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250</v>
      </c>
      <c r="F248" t="s">
        <v>202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251</v>
      </c>
      <c r="F249" t="s">
        <v>203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252</v>
      </c>
      <c r="F250" t="s">
        <v>204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319</v>
      </c>
      <c r="I252" t="s">
        <v>320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253</v>
      </c>
      <c r="E253" t="s">
        <v>205</v>
      </c>
      <c r="F253" t="s">
        <v>254</v>
      </c>
      <c r="G253" t="s">
        <v>318</v>
      </c>
      <c r="H253">
        <v>3</v>
      </c>
      <c r="O253" t="s">
        <v>158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206</v>
      </c>
      <c r="F254" t="s">
        <v>255</v>
      </c>
      <c r="G254" t="s">
        <v>321</v>
      </c>
      <c r="H254">
        <v>3</v>
      </c>
      <c r="I254" t="s">
        <v>256</v>
      </c>
      <c r="O254" t="s">
        <v>159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207</v>
      </c>
      <c r="I255" t="s">
        <v>322</v>
      </c>
      <c r="O255" t="s">
        <v>160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208</v>
      </c>
      <c r="I256" t="s">
        <v>323</v>
      </c>
      <c r="O256" t="s">
        <v>161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209</v>
      </c>
      <c r="I257" t="s">
        <v>324</v>
      </c>
      <c r="O257" t="s">
        <v>162</v>
      </c>
    </row>
    <row r="258" spans="1:15">
      <c r="A258" t="str">
        <f t="shared" si="17"/>
        <v>saveFile</v>
      </c>
      <c r="B258" t="str">
        <f t="shared" si="18"/>
        <v>list</v>
      </c>
      <c r="E258" t="s">
        <v>210</v>
      </c>
      <c r="I258" t="s">
        <v>325</v>
      </c>
      <c r="O258" t="s">
        <v>163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211</v>
      </c>
      <c r="I259" t="s">
        <v>322</v>
      </c>
      <c r="O259" t="s">
        <v>164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212</v>
      </c>
      <c r="I260" t="s">
        <v>323</v>
      </c>
      <c r="O260" t="s">
        <v>165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213</v>
      </c>
      <c r="I261" t="s">
        <v>324</v>
      </c>
      <c r="O261" t="s">
        <v>166</v>
      </c>
    </row>
    <row r="262" spans="1:15">
      <c r="A262" t="str">
        <f t="shared" si="17"/>
        <v>WSLG</v>
      </c>
      <c r="B262" t="str">
        <f t="shared" si="18"/>
        <v>Day</v>
      </c>
      <c r="C262" t="s">
        <v>258</v>
      </c>
      <c r="D262" t="s">
        <v>257</v>
      </c>
      <c r="E262" t="str">
        <f>"grid_"&amp;C262&amp;"_"&amp;D262&amp;".png"</f>
        <v>grid_Day_WSLG.png</v>
      </c>
      <c r="I262" t="s">
        <v>326</v>
      </c>
      <c r="O262" t="s">
        <v>167</v>
      </c>
    </row>
    <row r="263" spans="1:15">
      <c r="A263" t="str">
        <f t="shared" si="17"/>
        <v>WSLG</v>
      </c>
      <c r="B263" t="str">
        <f t="shared" si="18"/>
        <v>WTD</v>
      </c>
      <c r="C263" t="s">
        <v>259</v>
      </c>
      <c r="D263" t="s">
        <v>257</v>
      </c>
      <c r="E263" t="str">
        <f t="shared" ref="E263:E265" si="19">"grid_"&amp;C263&amp;"_"&amp;D263&amp;".png"</f>
        <v>grid_WTD_WSLG.png</v>
      </c>
      <c r="I263" t="s">
        <v>322</v>
      </c>
      <c r="O263" t="s">
        <v>168</v>
      </c>
    </row>
    <row r="264" spans="1:15">
      <c r="A264" t="str">
        <f t="shared" si="17"/>
        <v>WSLG</v>
      </c>
      <c r="B264" t="str">
        <f t="shared" si="18"/>
        <v>MTD</v>
      </c>
      <c r="C264" t="s">
        <v>260</v>
      </c>
      <c r="D264" t="s">
        <v>257</v>
      </c>
      <c r="E264" t="str">
        <f t="shared" si="19"/>
        <v>grid_MTD_WSLG.png</v>
      </c>
      <c r="I264" t="s">
        <v>323</v>
      </c>
      <c r="O264" t="s">
        <v>169</v>
      </c>
    </row>
    <row r="265" spans="1:15">
      <c r="A265" t="str">
        <f t="shared" si="17"/>
        <v>WSLG</v>
      </c>
      <c r="B265" t="str">
        <f t="shared" si="18"/>
        <v>YTD</v>
      </c>
      <c r="C265" t="s">
        <v>261</v>
      </c>
      <c r="D265" t="s">
        <v>257</v>
      </c>
      <c r="E265" t="str">
        <f t="shared" si="19"/>
        <v>grid_YTD_WSLG.png</v>
      </c>
      <c r="I265" t="s">
        <v>324</v>
      </c>
      <c r="O265" t="s">
        <v>170</v>
      </c>
    </row>
    <row r="266" spans="1:15">
      <c r="A266" t="str">
        <f t="shared" si="17"/>
        <v>WRTW</v>
      </c>
      <c r="B266" t="str">
        <f t="shared" si="18"/>
        <v>Day</v>
      </c>
      <c r="C266" t="s">
        <v>258</v>
      </c>
      <c r="D266" t="s">
        <v>262</v>
      </c>
      <c r="E266" t="str">
        <f>"grid_"&amp;C266&amp;"_"&amp;D266&amp;".png"</f>
        <v>grid_Day_WRTW.png</v>
      </c>
      <c r="I266" t="s">
        <v>327</v>
      </c>
      <c r="O266" t="s">
        <v>171</v>
      </c>
    </row>
    <row r="267" spans="1:15">
      <c r="A267" t="str">
        <f t="shared" si="17"/>
        <v>WRTW</v>
      </c>
      <c r="B267" t="str">
        <f t="shared" si="18"/>
        <v>WTD</v>
      </c>
      <c r="C267" t="s">
        <v>259</v>
      </c>
      <c r="D267" t="s">
        <v>262</v>
      </c>
      <c r="E267" t="str">
        <f t="shared" ref="E267:E269" si="20">"grid_"&amp;C267&amp;"_"&amp;D267&amp;".png"</f>
        <v>grid_WTD_WRTW.png</v>
      </c>
      <c r="I267" t="s">
        <v>322</v>
      </c>
      <c r="O267" t="s">
        <v>172</v>
      </c>
    </row>
    <row r="268" spans="1:15">
      <c r="A268" t="str">
        <f t="shared" si="17"/>
        <v>WRTW</v>
      </c>
      <c r="B268" t="str">
        <f t="shared" si="18"/>
        <v>MTD</v>
      </c>
      <c r="C268" t="s">
        <v>260</v>
      </c>
      <c r="D268" t="s">
        <v>262</v>
      </c>
      <c r="E268" t="str">
        <f t="shared" si="20"/>
        <v>grid_MTD_WRTW.png</v>
      </c>
      <c r="I268" t="s">
        <v>323</v>
      </c>
      <c r="O268" t="s">
        <v>173</v>
      </c>
    </row>
    <row r="269" spans="1:15">
      <c r="A269" t="str">
        <f t="shared" si="17"/>
        <v>WRTW</v>
      </c>
      <c r="B269" t="str">
        <f t="shared" si="18"/>
        <v>YTD</v>
      </c>
      <c r="C269" t="s">
        <v>261</v>
      </c>
      <c r="D269" t="s">
        <v>262</v>
      </c>
      <c r="E269" t="str">
        <f t="shared" si="20"/>
        <v>grid_YTD_WRTW.png</v>
      </c>
      <c r="I269" t="s">
        <v>324</v>
      </c>
      <c r="O269" t="s">
        <v>174</v>
      </c>
    </row>
    <row r="270" spans="1:15">
      <c r="A270" t="str">
        <f t="shared" si="17"/>
        <v>WSHOES</v>
      </c>
      <c r="B270" t="str">
        <f t="shared" si="18"/>
        <v>Day</v>
      </c>
      <c r="C270" t="s">
        <v>258</v>
      </c>
      <c r="D270" t="s">
        <v>263</v>
      </c>
      <c r="E270" t="str">
        <f>"grid_"&amp;C270&amp;"_"&amp;D270&amp;".png"</f>
        <v>grid_Day_WSHOES.png</v>
      </c>
      <c r="I270" t="s">
        <v>328</v>
      </c>
      <c r="O270" t="s">
        <v>175</v>
      </c>
    </row>
    <row r="271" spans="1:15">
      <c r="A271" t="str">
        <f t="shared" si="17"/>
        <v>WSHOES</v>
      </c>
      <c r="B271" t="str">
        <f t="shared" si="18"/>
        <v>WTD</v>
      </c>
      <c r="C271" t="s">
        <v>259</v>
      </c>
      <c r="D271" t="s">
        <v>263</v>
      </c>
      <c r="E271" t="str">
        <f t="shared" ref="E271:E273" si="21">"grid_"&amp;C271&amp;"_"&amp;D271&amp;".png"</f>
        <v>grid_WTD_WSHOES.png</v>
      </c>
      <c r="I271" t="s">
        <v>322</v>
      </c>
      <c r="O271" t="s">
        <v>176</v>
      </c>
    </row>
    <row r="272" spans="1:15">
      <c r="A272" t="str">
        <f t="shared" si="17"/>
        <v>WSHOES</v>
      </c>
      <c r="B272" t="str">
        <f t="shared" si="18"/>
        <v>MTD</v>
      </c>
      <c r="C272" t="s">
        <v>260</v>
      </c>
      <c r="D272" t="s">
        <v>263</v>
      </c>
      <c r="E272" t="str">
        <f t="shared" si="21"/>
        <v>grid_MTD_WSHOES.png</v>
      </c>
      <c r="I272" t="s">
        <v>323</v>
      </c>
      <c r="O272" t="s">
        <v>177</v>
      </c>
    </row>
    <row r="273" spans="1:15">
      <c r="A273" t="str">
        <f t="shared" si="17"/>
        <v>WSHOES</v>
      </c>
      <c r="B273" t="str">
        <f t="shared" si="18"/>
        <v>YTD</v>
      </c>
      <c r="C273" t="s">
        <v>261</v>
      </c>
      <c r="D273" t="s">
        <v>263</v>
      </c>
      <c r="E273" t="str">
        <f t="shared" si="21"/>
        <v>grid_YTD_WSHOES.png</v>
      </c>
      <c r="I273" t="s">
        <v>324</v>
      </c>
      <c r="O273" t="s">
        <v>178</v>
      </c>
    </row>
    <row r="274" spans="1:15">
      <c r="A274" t="str">
        <f t="shared" si="17"/>
        <v>WACC</v>
      </c>
      <c r="B274" t="str">
        <f t="shared" si="18"/>
        <v>Day</v>
      </c>
      <c r="C274" t="s">
        <v>258</v>
      </c>
      <c r="D274" t="s">
        <v>264</v>
      </c>
      <c r="E274" t="str">
        <f>"grid_"&amp;C274&amp;"_"&amp;D274&amp;".png"</f>
        <v>grid_Day_WACC.png</v>
      </c>
      <c r="I274" t="s">
        <v>329</v>
      </c>
      <c r="O274" t="s">
        <v>179</v>
      </c>
    </row>
    <row r="275" spans="1:15">
      <c r="A275" t="str">
        <f t="shared" si="17"/>
        <v>WACC</v>
      </c>
      <c r="B275" t="str">
        <f t="shared" si="18"/>
        <v>WTD</v>
      </c>
      <c r="C275" t="s">
        <v>259</v>
      </c>
      <c r="D275" t="s">
        <v>264</v>
      </c>
      <c r="E275" t="str">
        <f t="shared" ref="E275:E277" si="22">"grid_"&amp;C275&amp;"_"&amp;D275&amp;".png"</f>
        <v>grid_WTD_WACC.png</v>
      </c>
      <c r="I275" t="s">
        <v>322</v>
      </c>
      <c r="O275" t="s">
        <v>180</v>
      </c>
    </row>
    <row r="276" spans="1:15">
      <c r="A276" t="str">
        <f t="shared" si="17"/>
        <v>WACC</v>
      </c>
      <c r="B276" t="str">
        <f t="shared" si="18"/>
        <v>MTD</v>
      </c>
      <c r="C276" t="s">
        <v>260</v>
      </c>
      <c r="D276" t="s">
        <v>264</v>
      </c>
      <c r="E276" t="str">
        <f t="shared" si="22"/>
        <v>grid_MTD_WACC.png</v>
      </c>
      <c r="I276" t="s">
        <v>323</v>
      </c>
      <c r="O276" t="s">
        <v>181</v>
      </c>
    </row>
    <row r="277" spans="1:15">
      <c r="A277" t="str">
        <f t="shared" si="17"/>
        <v>WACC</v>
      </c>
      <c r="B277" t="str">
        <f t="shared" si="18"/>
        <v>YTD</v>
      </c>
      <c r="C277" t="s">
        <v>261</v>
      </c>
      <c r="D277" t="s">
        <v>264</v>
      </c>
      <c r="E277" t="str">
        <f t="shared" si="22"/>
        <v>grid_YTD_WACC.png</v>
      </c>
      <c r="I277" t="s">
        <v>324</v>
      </c>
      <c r="O277" t="s">
        <v>182</v>
      </c>
    </row>
    <row r="278" spans="1:15">
      <c r="A278" t="str">
        <f t="shared" si="17"/>
        <v>WnJ</v>
      </c>
      <c r="B278" t="str">
        <f t="shared" si="18"/>
        <v>Day</v>
      </c>
      <c r="C278" t="s">
        <v>258</v>
      </c>
      <c r="D278" t="s">
        <v>265</v>
      </c>
      <c r="E278" t="str">
        <f>"grid_"&amp;C278&amp;"_"&amp;D278&amp;".png"</f>
        <v>grid_Day_WnJ.png</v>
      </c>
      <c r="I278" t="s">
        <v>330</v>
      </c>
      <c r="O278" t="s">
        <v>183</v>
      </c>
    </row>
    <row r="279" spans="1:15">
      <c r="A279" t="str">
        <f t="shared" si="17"/>
        <v>WnJ</v>
      </c>
      <c r="B279" t="str">
        <f t="shared" si="18"/>
        <v>WTD</v>
      </c>
      <c r="C279" t="s">
        <v>259</v>
      </c>
      <c r="D279" t="s">
        <v>265</v>
      </c>
      <c r="E279" t="str">
        <f t="shared" ref="E279:E281" si="23">"grid_"&amp;C279&amp;"_"&amp;D279&amp;".png"</f>
        <v>grid_WTD_WnJ.png</v>
      </c>
      <c r="I279" t="s">
        <v>322</v>
      </c>
      <c r="O279" t="s">
        <v>184</v>
      </c>
    </row>
    <row r="280" spans="1:15">
      <c r="A280" t="str">
        <f t="shared" si="17"/>
        <v>WnJ</v>
      </c>
      <c r="B280" t="str">
        <f t="shared" si="18"/>
        <v>MTD</v>
      </c>
      <c r="C280" t="s">
        <v>260</v>
      </c>
      <c r="D280" t="s">
        <v>265</v>
      </c>
      <c r="E280" t="str">
        <f t="shared" si="23"/>
        <v>grid_MTD_WnJ.png</v>
      </c>
      <c r="I280" t="s">
        <v>323</v>
      </c>
      <c r="O280" t="s">
        <v>185</v>
      </c>
    </row>
    <row r="281" spans="1:15">
      <c r="A281" t="str">
        <f t="shared" si="17"/>
        <v>WnJ</v>
      </c>
      <c r="B281" t="str">
        <f t="shared" si="18"/>
        <v>YTD</v>
      </c>
      <c r="C281" t="s">
        <v>261</v>
      </c>
      <c r="D281" t="s">
        <v>265</v>
      </c>
      <c r="E281" t="str">
        <f t="shared" si="23"/>
        <v>grid_YTD_WnJ.png</v>
      </c>
      <c r="I281" t="s">
        <v>324</v>
      </c>
      <c r="O281" t="s">
        <v>186</v>
      </c>
    </row>
    <row r="282" spans="1:15">
      <c r="A282" t="str">
        <f t="shared" si="17"/>
        <v>MENS</v>
      </c>
      <c r="B282" t="str">
        <f t="shared" si="18"/>
        <v>Day</v>
      </c>
      <c r="C282" t="s">
        <v>258</v>
      </c>
      <c r="D282" t="s">
        <v>266</v>
      </c>
      <c r="E282" t="str">
        <f>"grid_"&amp;C282&amp;"_"&amp;D282&amp;".png"</f>
        <v>grid_Day_MENS.png</v>
      </c>
      <c r="I282" t="s">
        <v>331</v>
      </c>
      <c r="O282" t="s">
        <v>187</v>
      </c>
    </row>
    <row r="283" spans="1:15">
      <c r="A283" t="str">
        <f t="shared" si="17"/>
        <v>MENS</v>
      </c>
      <c r="B283" t="str">
        <f t="shared" si="18"/>
        <v>WTD</v>
      </c>
      <c r="C283" t="s">
        <v>259</v>
      </c>
      <c r="D283" t="s">
        <v>266</v>
      </c>
      <c r="E283" t="str">
        <f t="shared" ref="E283:E285" si="24">"grid_"&amp;C283&amp;"_"&amp;D283&amp;".png"</f>
        <v>grid_WTD_MENS.png</v>
      </c>
      <c r="I283" t="s">
        <v>322</v>
      </c>
      <c r="O283" t="s">
        <v>188</v>
      </c>
    </row>
    <row r="284" spans="1:15">
      <c r="A284" t="str">
        <f t="shared" si="17"/>
        <v>MENS</v>
      </c>
      <c r="B284" t="str">
        <f t="shared" si="18"/>
        <v>MTD</v>
      </c>
      <c r="C284" t="s">
        <v>260</v>
      </c>
      <c r="D284" t="s">
        <v>266</v>
      </c>
      <c r="E284" t="str">
        <f t="shared" si="24"/>
        <v>grid_MTD_MENS.png</v>
      </c>
      <c r="I284" t="s">
        <v>323</v>
      </c>
      <c r="O284" t="s">
        <v>189</v>
      </c>
    </row>
    <row r="285" spans="1:15">
      <c r="A285" t="str">
        <f t="shared" si="17"/>
        <v>MENS</v>
      </c>
      <c r="B285" t="str">
        <f t="shared" si="18"/>
        <v>YTD</v>
      </c>
      <c r="C285" t="s">
        <v>261</v>
      </c>
      <c r="D285" t="s">
        <v>266</v>
      </c>
      <c r="E285" t="str">
        <f t="shared" si="24"/>
        <v>grid_YTD_MENS.png</v>
      </c>
      <c r="I285" t="s">
        <v>324</v>
      </c>
      <c r="O285" t="s">
        <v>190</v>
      </c>
    </row>
    <row r="286" spans="1:15">
      <c r="A286" t="str">
        <f t="shared" si="17"/>
        <v>BABY</v>
      </c>
      <c r="B286" t="str">
        <f t="shared" si="18"/>
        <v>Day</v>
      </c>
      <c r="C286" t="s">
        <v>258</v>
      </c>
      <c r="D286" t="s">
        <v>267</v>
      </c>
      <c r="E286" t="str">
        <f>"grid_"&amp;C286&amp;"_"&amp;D286&amp;".png"</f>
        <v>grid_Day_BABY.png</v>
      </c>
      <c r="I286" t="s">
        <v>332</v>
      </c>
      <c r="O286" t="s">
        <v>191</v>
      </c>
    </row>
    <row r="287" spans="1:15">
      <c r="A287" t="str">
        <f t="shared" si="17"/>
        <v>BABY</v>
      </c>
      <c r="B287" t="str">
        <f t="shared" si="18"/>
        <v>WTD</v>
      </c>
      <c r="C287" t="s">
        <v>259</v>
      </c>
      <c r="D287" t="s">
        <v>267</v>
      </c>
      <c r="E287" t="str">
        <f t="shared" ref="E287:E289" si="25">"grid_"&amp;C287&amp;"_"&amp;D287&amp;".png"</f>
        <v>grid_WTD_BABY.png</v>
      </c>
      <c r="I287" t="s">
        <v>322</v>
      </c>
      <c r="O287" t="s">
        <v>192</v>
      </c>
    </row>
    <row r="288" spans="1:15">
      <c r="A288" t="str">
        <f t="shared" si="17"/>
        <v>BABY</v>
      </c>
      <c r="B288" t="str">
        <f t="shared" si="18"/>
        <v>MTD</v>
      </c>
      <c r="C288" t="s">
        <v>260</v>
      </c>
      <c r="D288" t="s">
        <v>267</v>
      </c>
      <c r="E288" t="str">
        <f t="shared" si="25"/>
        <v>grid_MTD_BABY.png</v>
      </c>
      <c r="I288" t="s">
        <v>323</v>
      </c>
      <c r="O288" t="s">
        <v>193</v>
      </c>
    </row>
    <row r="289" spans="1:15">
      <c r="A289" t="str">
        <f t="shared" si="17"/>
        <v>BABY</v>
      </c>
      <c r="B289" t="str">
        <f t="shared" si="18"/>
        <v>YTD</v>
      </c>
      <c r="C289" t="s">
        <v>261</v>
      </c>
      <c r="D289" t="s">
        <v>267</v>
      </c>
      <c r="E289" t="str">
        <f t="shared" si="25"/>
        <v>grid_YTD_BABY.png</v>
      </c>
      <c r="I289" t="s">
        <v>324</v>
      </c>
      <c r="O289" t="s">
        <v>194</v>
      </c>
    </row>
    <row r="290" spans="1:15">
      <c r="A290" t="str">
        <f t="shared" si="17"/>
        <v>STORE</v>
      </c>
      <c r="B290" t="str">
        <f t="shared" si="18"/>
        <v>Day</v>
      </c>
      <c r="C290" t="s">
        <v>258</v>
      </c>
      <c r="D290" t="s">
        <v>268</v>
      </c>
      <c r="E290" t="str">
        <f>"grid_"&amp;C290&amp;"_"&amp;D290&amp;".png"</f>
        <v>grid_Day_STORE.png</v>
      </c>
      <c r="I290" t="s">
        <v>333</v>
      </c>
      <c r="O290" t="s">
        <v>195</v>
      </c>
    </row>
    <row r="291" spans="1:15">
      <c r="A291" t="str">
        <f t="shared" si="17"/>
        <v>STORE</v>
      </c>
      <c r="B291" t="str">
        <f t="shared" si="18"/>
        <v>WTD</v>
      </c>
      <c r="C291" t="s">
        <v>259</v>
      </c>
      <c r="D291" t="s">
        <v>268</v>
      </c>
      <c r="E291" t="str">
        <f t="shared" ref="E291:E293" si="26">"grid_"&amp;C291&amp;"_"&amp;D291&amp;".png"</f>
        <v>grid_WTD_STORE.png</v>
      </c>
      <c r="I291" t="s">
        <v>322</v>
      </c>
      <c r="O291" t="s">
        <v>196</v>
      </c>
    </row>
    <row r="292" spans="1:15">
      <c r="A292" t="str">
        <f t="shared" si="17"/>
        <v>STORE</v>
      </c>
      <c r="B292" t="str">
        <f t="shared" si="18"/>
        <v>MTD</v>
      </c>
      <c r="C292" t="s">
        <v>260</v>
      </c>
      <c r="D292" t="s">
        <v>268</v>
      </c>
      <c r="E292" t="str">
        <f t="shared" si="26"/>
        <v>grid_MTD_STORE.png</v>
      </c>
      <c r="I292" t="s">
        <v>323</v>
      </c>
      <c r="O292" t="s">
        <v>197</v>
      </c>
    </row>
    <row r="293" spans="1:15">
      <c r="A293" t="str">
        <f t="shared" si="17"/>
        <v>STORE</v>
      </c>
      <c r="B293" t="str">
        <f t="shared" si="18"/>
        <v>YTD</v>
      </c>
      <c r="C293" t="s">
        <v>261</v>
      </c>
      <c r="D293" t="s">
        <v>268</v>
      </c>
      <c r="E293" t="str">
        <f t="shared" si="26"/>
        <v>grid_YTD_STORE.png</v>
      </c>
      <c r="I293" t="s">
        <v>324</v>
      </c>
      <c r="O293" t="s">
        <v>198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258</v>
      </c>
      <c r="D294" t="s">
        <v>269</v>
      </c>
      <c r="E294" t="str">
        <f>"grid_"&amp;C294&amp;"_"&amp;D294&amp;".png"</f>
        <v>grid_Day_BusinessUnit.png</v>
      </c>
      <c r="I294" t="s">
        <v>334</v>
      </c>
      <c r="O294" t="s">
        <v>199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259</v>
      </c>
      <c r="D295" t="s">
        <v>269</v>
      </c>
      <c r="E295" t="str">
        <f t="shared" ref="E295:E297" si="29">"grid_"&amp;C295&amp;"_"&amp;D295&amp;".png"</f>
        <v>grid_WTD_BusinessUnit.png</v>
      </c>
      <c r="I295" t="s">
        <v>322</v>
      </c>
      <c r="O295" t="s">
        <v>200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260</v>
      </c>
      <c r="D296" t="s">
        <v>269</v>
      </c>
      <c r="E296" t="str">
        <f t="shared" si="29"/>
        <v>grid_MTD_BusinessUnit.png</v>
      </c>
      <c r="I296" t="s">
        <v>323</v>
      </c>
      <c r="O296" t="s">
        <v>201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261</v>
      </c>
      <c r="D297" t="s">
        <v>269</v>
      </c>
      <c r="E297" t="str">
        <f t="shared" si="29"/>
        <v>grid_YTD_BusinessUnit.png</v>
      </c>
      <c r="I297" t="s">
        <v>324</v>
      </c>
      <c r="O297" t="s">
        <v>202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258</v>
      </c>
      <c r="D298" t="s">
        <v>271</v>
      </c>
      <c r="E298" t="str">
        <f>"grid_"&amp;C298&amp;"_"&amp;D298&amp;".png"</f>
        <v>grid_Day_TopProducts.png</v>
      </c>
      <c r="F298" t="s">
        <v>270</v>
      </c>
      <c r="I298" t="s">
        <v>335</v>
      </c>
      <c r="O298" t="s">
        <v>203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259</v>
      </c>
      <c r="D299" t="s">
        <v>271</v>
      </c>
      <c r="E299" t="str">
        <f t="shared" ref="E299:E301" si="30">"grid_"&amp;C299&amp;"_"&amp;D299&amp;".png"</f>
        <v>grid_WTD_TopProducts.png</v>
      </c>
      <c r="I299" t="s">
        <v>322</v>
      </c>
      <c r="O299" t="s">
        <v>204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260</v>
      </c>
      <c r="D300" t="s">
        <v>271</v>
      </c>
      <c r="E300" t="str">
        <f t="shared" si="30"/>
        <v>grid_MTD_TopProducts.png</v>
      </c>
      <c r="I300" t="s">
        <v>323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261</v>
      </c>
      <c r="D301" t="s">
        <v>271</v>
      </c>
      <c r="E301" t="str">
        <f t="shared" si="30"/>
        <v>grid_YTD_TopProducts.png</v>
      </c>
      <c r="I301" t="s">
        <v>324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250</v>
      </c>
      <c r="F302" t="s">
        <v>272</v>
      </c>
      <c r="I302" t="s">
        <v>336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251</v>
      </c>
      <c r="I303" t="s">
        <v>337</v>
      </c>
    </row>
    <row r="304" spans="1:15">
      <c r="A304" t="str">
        <f t="shared" si="27"/>
        <v/>
      </c>
      <c r="B304" t="str">
        <f t="shared" si="28"/>
        <v/>
      </c>
      <c r="I304" t="s">
        <v>338</v>
      </c>
    </row>
    <row r="305" spans="1:5">
      <c r="A305" t="str">
        <f t="shared" si="27"/>
        <v/>
      </c>
      <c r="B305" t="str">
        <f t="shared" si="28"/>
        <v/>
      </c>
    </row>
    <row r="306" spans="1:5">
      <c r="A306" t="str">
        <f t="shared" si="27"/>
        <v>clkSelectionIcon</v>
      </c>
      <c r="B306" t="str">
        <f t="shared" si="28"/>
        <v/>
      </c>
      <c r="D306" t="s">
        <v>273</v>
      </c>
      <c r="E306" t="s">
        <v>288</v>
      </c>
    </row>
    <row r="307" spans="1:5">
      <c r="A307" t="str">
        <f t="shared" si="27"/>
        <v>clkSelectionIcon_Store_Grouping</v>
      </c>
      <c r="B307" t="str">
        <f t="shared" si="28"/>
        <v/>
      </c>
      <c r="D307" t="s">
        <v>274</v>
      </c>
      <c r="E307" t="s">
        <v>289</v>
      </c>
    </row>
    <row r="308" spans="1:5">
      <c r="A308" t="str">
        <f t="shared" si="27"/>
        <v>clkSelectionIcon_Country</v>
      </c>
      <c r="B308" t="str">
        <f t="shared" si="28"/>
        <v/>
      </c>
      <c r="D308" t="s">
        <v>275</v>
      </c>
      <c r="E308" t="s">
        <v>290</v>
      </c>
    </row>
    <row r="309" spans="1:5">
      <c r="A309" t="str">
        <f t="shared" si="27"/>
        <v>clkZONE</v>
      </c>
      <c r="B309" t="str">
        <f t="shared" si="28"/>
        <v/>
      </c>
      <c r="D309" t="s">
        <v>276</v>
      </c>
      <c r="E309" t="s">
        <v>291</v>
      </c>
    </row>
    <row r="310" spans="1:5">
      <c r="A310" t="str">
        <f t="shared" si="27"/>
        <v>clkBusinessUnit_ALL</v>
      </c>
      <c r="B310" t="str">
        <f t="shared" si="28"/>
        <v/>
      </c>
      <c r="D310" t="s">
        <v>277</v>
      </c>
      <c r="E310" t="s">
        <v>292</v>
      </c>
    </row>
    <row r="311" spans="1:5">
      <c r="A311" t="str">
        <f t="shared" si="27"/>
        <v>clkExpandWomenUniverse</v>
      </c>
      <c r="B311" t="str">
        <f t="shared" si="28"/>
        <v/>
      </c>
      <c r="D311" t="s">
        <v>278</v>
      </c>
      <c r="E311" t="s">
        <v>293</v>
      </c>
    </row>
    <row r="312" spans="1:5">
      <c r="A312" t="str">
        <f t="shared" si="27"/>
        <v>clkBusinessUnit_ALL</v>
      </c>
      <c r="B312" t="str">
        <f t="shared" si="28"/>
        <v/>
      </c>
      <c r="D312" t="s">
        <v>277</v>
      </c>
      <c r="E312" t="s">
        <v>292</v>
      </c>
    </row>
    <row r="313" spans="1:5">
      <c r="A313" t="str">
        <f t="shared" si="27"/>
        <v>clkExpandWomenUniverse</v>
      </c>
      <c r="B313" t="str">
        <f t="shared" si="28"/>
        <v/>
      </c>
      <c r="D313" t="s">
        <v>278</v>
      </c>
      <c r="E313" t="s">
        <v>293</v>
      </c>
    </row>
    <row r="314" spans="1:5">
      <c r="A314" t="str">
        <f t="shared" si="27"/>
        <v>clkBackWBags</v>
      </c>
      <c r="B314" t="str">
        <f t="shared" si="28"/>
        <v/>
      </c>
      <c r="D314" t="s">
        <v>279</v>
      </c>
      <c r="E314" t="s">
        <v>294</v>
      </c>
    </row>
    <row r="315" spans="1:5">
      <c r="A315" t="str">
        <f t="shared" si="27"/>
        <v>clkBackWSLG</v>
      </c>
      <c r="B315" t="str">
        <f t="shared" si="28"/>
        <v/>
      </c>
      <c r="D315" t="s">
        <v>280</v>
      </c>
      <c r="E315" t="s">
        <v>295</v>
      </c>
    </row>
    <row r="316" spans="1:5">
      <c r="A316" t="str">
        <f t="shared" si="27"/>
        <v>clkBackWRTW</v>
      </c>
      <c r="B316" t="str">
        <f t="shared" si="28"/>
        <v/>
      </c>
      <c r="D316" t="s">
        <v>281</v>
      </c>
      <c r="E316" t="s">
        <v>296</v>
      </c>
    </row>
    <row r="317" spans="1:5">
      <c r="A317" t="str">
        <f t="shared" si="27"/>
        <v>clkBackWShoes</v>
      </c>
      <c r="B317" t="str">
        <f t="shared" si="28"/>
        <v/>
      </c>
      <c r="D317" t="s">
        <v>282</v>
      </c>
      <c r="E317" t="s">
        <v>297</v>
      </c>
    </row>
    <row r="318" spans="1:5">
      <c r="A318" t="str">
        <f t="shared" si="27"/>
        <v>clkBackWJ</v>
      </c>
      <c r="B318" t="str">
        <f t="shared" si="28"/>
        <v/>
      </c>
      <c r="D318" t="s">
        <v>283</v>
      </c>
      <c r="E318" t="s">
        <v>298</v>
      </c>
    </row>
    <row r="319" spans="1:5">
      <c r="A319" t="str">
        <f t="shared" si="27"/>
        <v>clkMens</v>
      </c>
      <c r="B319" t="str">
        <f t="shared" si="28"/>
        <v/>
      </c>
      <c r="D319" t="s">
        <v>284</v>
      </c>
      <c r="E319" t="s">
        <v>299</v>
      </c>
    </row>
    <row r="320" spans="1:5">
      <c r="A320" t="str">
        <f t="shared" si="27"/>
        <v>clkBackMens</v>
      </c>
      <c r="B320" t="str">
        <f t="shared" si="28"/>
        <v/>
      </c>
      <c r="D320" t="s">
        <v>285</v>
      </c>
      <c r="E320" t="s">
        <v>300</v>
      </c>
    </row>
    <row r="321" spans="1:5">
      <c r="A321" t="str">
        <f t="shared" si="27"/>
        <v>clkBaby</v>
      </c>
      <c r="B321" t="str">
        <f t="shared" si="28"/>
        <v/>
      </c>
      <c r="D321" t="s">
        <v>286</v>
      </c>
      <c r="E321" t="s">
        <v>301</v>
      </c>
    </row>
    <row r="322" spans="1:5">
      <c r="A322" t="str">
        <f t="shared" si="27"/>
        <v>clkCloseLabel</v>
      </c>
      <c r="B322" t="str">
        <f t="shared" si="28"/>
        <v/>
      </c>
      <c r="D322" t="s">
        <v>287</v>
      </c>
      <c r="E322" t="s">
        <v>302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>
    <tabColor theme="0" tint="-0.499984740745262"/>
  </sheetPr>
  <dimension ref="A1:P142"/>
  <sheetViews>
    <sheetView topLeftCell="A46" workbookViewId="0">
      <selection activeCell="C104" sqref="C10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468</v>
      </c>
      <c r="D2" t="s">
        <v>467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469</v>
      </c>
      <c r="D3" t="s">
        <v>470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358</v>
      </c>
      <c r="C11" t="s">
        <v>360</v>
      </c>
      <c r="D11" t="s">
        <v>362</v>
      </c>
      <c r="E11" s="3" t="s">
        <v>434</v>
      </c>
    </row>
    <row r="12" spans="1:16">
      <c r="C12" t="s">
        <v>253</v>
      </c>
      <c r="D12" t="s">
        <v>361</v>
      </c>
    </row>
    <row r="13" spans="1:16">
      <c r="C13" t="s">
        <v>365</v>
      </c>
      <c r="D13" t="s">
        <v>363</v>
      </c>
    </row>
    <row r="14" spans="1:16">
      <c r="C14" t="s">
        <v>367</v>
      </c>
      <c r="D14" t="s">
        <v>359</v>
      </c>
    </row>
    <row r="15" spans="1:16">
      <c r="C15" t="s">
        <v>36</v>
      </c>
      <c r="D15" t="b">
        <v>0</v>
      </c>
    </row>
    <row r="16" spans="1:16">
      <c r="C16" t="s">
        <v>461</v>
      </c>
      <c r="D16" t="s">
        <v>475</v>
      </c>
      <c r="E16" s="5" t="s">
        <v>459</v>
      </c>
    </row>
    <row r="17" spans="1:15">
      <c r="C17" t="s">
        <v>462</v>
      </c>
      <c r="D17" t="s">
        <v>463</v>
      </c>
      <c r="E17" s="6" t="s">
        <v>460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435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471</v>
      </c>
      <c r="E22" t="s">
        <v>136</v>
      </c>
      <c r="J22" t="s">
        <v>76</v>
      </c>
      <c r="O22" t="s">
        <v>84</v>
      </c>
    </row>
    <row r="23" spans="1:15">
      <c r="C23" t="s">
        <v>472</v>
      </c>
      <c r="J23" t="s">
        <v>77</v>
      </c>
      <c r="O23" t="s">
        <v>91</v>
      </c>
    </row>
    <row r="24" spans="1:15">
      <c r="C24" t="s">
        <v>473</v>
      </c>
      <c r="J24" t="s">
        <v>78</v>
      </c>
      <c r="O24" t="s">
        <v>76</v>
      </c>
    </row>
    <row r="25" spans="1:15">
      <c r="C25" t="s">
        <v>474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406</v>
      </c>
      <c r="C42" t="s">
        <v>407</v>
      </c>
      <c r="E42" s="3" t="s">
        <v>438</v>
      </c>
    </row>
    <row r="44" spans="1:15">
      <c r="A44" t="s">
        <v>16</v>
      </c>
      <c r="B44" t="s">
        <v>466</v>
      </c>
      <c r="C44" t="s">
        <v>464</v>
      </c>
      <c r="E44" t="s">
        <v>465</v>
      </c>
    </row>
    <row r="45" spans="1:15">
      <c r="A45" t="s">
        <v>16</v>
      </c>
      <c r="B45" s="3" t="s">
        <v>25</v>
      </c>
      <c r="C45" t="s">
        <v>436</v>
      </c>
      <c r="E45" t="s">
        <v>148</v>
      </c>
    </row>
    <row r="46" spans="1:15">
      <c r="B46" s="3"/>
      <c r="C46" t="s">
        <v>437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370</v>
      </c>
      <c r="E49" t="s">
        <v>371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createPDF:imagelist,./Output/Images/,./Output/APAC_Daily_Sales_20221106120331.pdf</v>
      </c>
    </row>
    <row r="52" spans="1:11">
      <c r="C52" t="s">
        <v>440</v>
      </c>
      <c r="E52" t="s">
        <v>439</v>
      </c>
    </row>
    <row r="53" spans="1:11">
      <c r="A53" t="s">
        <v>16</v>
      </c>
      <c r="B53" t="s">
        <v>147</v>
      </c>
      <c r="C53" t="s">
        <v>366</v>
      </c>
      <c r="E53" t="s">
        <v>71</v>
      </c>
      <c r="K53" s="4" t="str">
        <f ca="1">TEXT(NOW(),"YYYYMMDDHHMMSS")</f>
        <v>20221106120331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398</v>
      </c>
    </row>
    <row r="58" spans="1:11">
      <c r="C58" t="s">
        <v>1</v>
      </c>
    </row>
    <row r="59" spans="1:11">
      <c r="C59" t="s">
        <v>339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442</v>
      </c>
      <c r="E61" s="1" t="s">
        <v>344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413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451</v>
      </c>
      <c r="E66" t="s">
        <v>452</v>
      </c>
    </row>
    <row r="67" spans="1:5">
      <c r="C67" t="s">
        <v>454</v>
      </c>
      <c r="E67" t="s">
        <v>455</v>
      </c>
    </row>
    <row r="68" spans="1:5">
      <c r="C68" t="s">
        <v>345</v>
      </c>
      <c r="E68" t="s">
        <v>111</v>
      </c>
    </row>
    <row r="70" spans="1:5">
      <c r="A70" t="s">
        <v>16</v>
      </c>
      <c r="B70" t="s">
        <v>412</v>
      </c>
      <c r="C70" t="s">
        <v>37</v>
      </c>
    </row>
    <row r="71" spans="1:5">
      <c r="C71" t="s">
        <v>458</v>
      </c>
      <c r="E71" t="s">
        <v>457</v>
      </c>
    </row>
    <row r="72" spans="1:5">
      <c r="C72" t="s">
        <v>27</v>
      </c>
    </row>
    <row r="74" spans="1:5">
      <c r="A74" t="s">
        <v>16</v>
      </c>
      <c r="B74" t="s">
        <v>453</v>
      </c>
      <c r="C74" t="s">
        <v>456</v>
      </c>
      <c r="E74" t="s">
        <v>457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339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450</v>
      </c>
      <c r="E81" t="s">
        <v>115</v>
      </c>
    </row>
    <row r="83" spans="1:5">
      <c r="A83" t="s">
        <v>16</v>
      </c>
      <c r="B83" s="3" t="s">
        <v>32</v>
      </c>
      <c r="C83" t="s">
        <v>400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377</v>
      </c>
    </row>
    <row r="89" spans="1:5">
      <c r="C89" t="s">
        <v>401</v>
      </c>
      <c r="D89" t="s">
        <v>401</v>
      </c>
      <c r="E89" t="s">
        <v>64</v>
      </c>
    </row>
    <row r="90" spans="1:5">
      <c r="C90" t="s">
        <v>58</v>
      </c>
    </row>
    <row r="91" spans="1:5">
      <c r="C91" t="s">
        <v>377</v>
      </c>
    </row>
    <row r="92" spans="1:5">
      <c r="C92" t="s">
        <v>402</v>
      </c>
      <c r="D92" t="s">
        <v>402</v>
      </c>
    </row>
    <row r="93" spans="1:5">
      <c r="A93" t="s">
        <v>16</v>
      </c>
      <c r="B93" t="s">
        <v>118</v>
      </c>
      <c r="C93" t="s">
        <v>399</v>
      </c>
      <c r="D93" t="s">
        <v>29</v>
      </c>
      <c r="E93" t="s">
        <v>117</v>
      </c>
    </row>
    <row r="94" spans="1:5">
      <c r="C94" t="s">
        <v>443</v>
      </c>
    </row>
    <row r="95" spans="1:5">
      <c r="A95" t="s">
        <v>16</v>
      </c>
      <c r="B95" t="s">
        <v>443</v>
      </c>
      <c r="C95" t="s">
        <v>444</v>
      </c>
    </row>
    <row r="96" spans="1:5">
      <c r="A96" t="s">
        <v>16</v>
      </c>
      <c r="B96" t="s">
        <v>122</v>
      </c>
      <c r="C96" t="s">
        <v>348</v>
      </c>
      <c r="E96" t="s">
        <v>126</v>
      </c>
    </row>
    <row r="97" spans="1:5">
      <c r="C97" t="s">
        <v>349</v>
      </c>
      <c r="E97" t="s">
        <v>127</v>
      </c>
    </row>
    <row r="98" spans="1:5">
      <c r="A98" t="s">
        <v>16</v>
      </c>
      <c r="B98" t="s">
        <v>124</v>
      </c>
      <c r="C98" t="s">
        <v>350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351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342</v>
      </c>
      <c r="E109" t="s">
        <v>102</v>
      </c>
    </row>
    <row r="111" spans="1:5">
      <c r="A111" t="s">
        <v>16</v>
      </c>
      <c r="B111" t="s">
        <v>377</v>
      </c>
      <c r="C111" t="s">
        <v>340</v>
      </c>
      <c r="E111" t="s">
        <v>143</v>
      </c>
    </row>
    <row r="112" spans="1:5">
      <c r="C112" t="s">
        <v>449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441</v>
      </c>
    </row>
    <row r="115" spans="1:5">
      <c r="A115" t="s">
        <v>16</v>
      </c>
      <c r="B115" t="s">
        <v>17</v>
      </c>
      <c r="C115" t="s">
        <v>445</v>
      </c>
    </row>
    <row r="116" spans="1:5">
      <c r="C116" t="s">
        <v>3</v>
      </c>
      <c r="E116" t="s">
        <v>97</v>
      </c>
    </row>
    <row r="117" spans="1:5">
      <c r="C117" t="s">
        <v>446</v>
      </c>
      <c r="E117" t="s">
        <v>355</v>
      </c>
    </row>
    <row r="118" spans="1:5">
      <c r="C118" t="s">
        <v>4</v>
      </c>
      <c r="E118" t="s">
        <v>96</v>
      </c>
    </row>
    <row r="119" spans="1:5">
      <c r="C119" t="s">
        <v>447</v>
      </c>
    </row>
    <row r="120" spans="1:5">
      <c r="C120" t="s">
        <v>5</v>
      </c>
    </row>
    <row r="121" spans="1:5">
      <c r="C121" t="s">
        <v>448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341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378</v>
      </c>
      <c r="C126" t="s">
        <v>382</v>
      </c>
    </row>
    <row r="127" spans="1:5">
      <c r="C127" t="s">
        <v>3</v>
      </c>
      <c r="E127" t="s">
        <v>97</v>
      </c>
    </row>
    <row r="128" spans="1:5">
      <c r="C128" t="s">
        <v>383</v>
      </c>
      <c r="E128" t="s">
        <v>355</v>
      </c>
    </row>
    <row r="129" spans="1:7">
      <c r="C129" t="s">
        <v>379</v>
      </c>
      <c r="E129" t="s">
        <v>380</v>
      </c>
      <c r="G129" t="s">
        <v>381</v>
      </c>
    </row>
    <row r="130" spans="1:7">
      <c r="C130" t="s">
        <v>384</v>
      </c>
    </row>
    <row r="131" spans="1:7">
      <c r="C131" t="s">
        <v>5</v>
      </c>
    </row>
    <row r="132" spans="1:7">
      <c r="C132" t="s">
        <v>385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341</v>
      </c>
      <c r="E135" t="s">
        <v>386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431</v>
      </c>
      <c r="C138" t="s">
        <v>427</v>
      </c>
    </row>
    <row r="139" spans="1:7">
      <c r="C139" t="s">
        <v>430</v>
      </c>
    </row>
    <row r="140" spans="1:7">
      <c r="C140" t="s">
        <v>129</v>
      </c>
    </row>
    <row r="141" spans="1:7">
      <c r="C141" t="s">
        <v>429</v>
      </c>
    </row>
    <row r="142" spans="1:7">
      <c r="C142" t="s">
        <v>428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>
    <tabColor theme="0" tint="-0.499984740745262"/>
  </sheetPr>
  <dimension ref="A1:N233"/>
  <sheetViews>
    <sheetView workbookViewId="0">
      <selection activeCell="C104" sqref="C104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468</v>
      </c>
      <c r="F2" t="s">
        <v>467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469</v>
      </c>
      <c r="F3" t="s">
        <v>470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467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358</v>
      </c>
      <c r="E14" t="s">
        <v>360</v>
      </c>
      <c r="F14" t="s">
        <v>362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253</v>
      </c>
      <c r="F15" t="s">
        <v>361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365</v>
      </c>
      <c r="F16" t="s">
        <v>363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367</v>
      </c>
      <c r="F17" t="s">
        <v>359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372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374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375</v>
      </c>
      <c r="F23" s="3" t="s">
        <v>373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370</v>
      </c>
      <c r="G26" t="s">
        <v>371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createPDF:imagelist,./Output/Images/,./Output/APAC_Daily_Sales_20221106120331.pdf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364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366</v>
      </c>
      <c r="G30" t="s">
        <v>71</v>
      </c>
      <c r="M30" s="4" t="str">
        <f ca="1">TEXT(NOW(),"YYYYMMDDHHMMSS")</f>
        <v>20221106120331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376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339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343</v>
      </c>
      <c r="G36" s="1" t="s">
        <v>344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345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339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346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347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368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369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348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349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350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waitDisappear:5,Send push automatically,pushRequired</v>
      </c>
      <c r="C67" t="s">
        <v>454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waitDisappear:5,Send push automatically,pushRequired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waitDisappear:5,Send push automatically,pushRequired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waitDisappear:5,Send push automatically,pushRequired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waitDisappear:5,Send push automatically,pushRequired</v>
      </c>
      <c r="E71" t="s">
        <v>351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342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340</v>
      </c>
      <c r="G79" t="s">
        <v>143</v>
      </c>
    </row>
    <row r="80" spans="1:7">
      <c r="E80" t="s">
        <v>352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353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354</v>
      </c>
      <c r="G85" t="s">
        <v>355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356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357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341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471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472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473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474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/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468</v>
      </c>
      <c r="D2" t="s">
        <v>467</v>
      </c>
      <c r="E2" t="s">
        <v>92</v>
      </c>
    </row>
    <row r="3" spans="1:5">
      <c r="C3" t="s">
        <v>469</v>
      </c>
      <c r="D3" t="s">
        <v>470</v>
      </c>
      <c r="E3" t="s">
        <v>92</v>
      </c>
    </row>
    <row r="4" spans="1:5">
      <c r="C4" t="s">
        <v>43</v>
      </c>
      <c r="D4" s="2" t="s">
        <v>476</v>
      </c>
      <c r="E4" t="s">
        <v>92</v>
      </c>
    </row>
    <row r="6" spans="1:5">
      <c r="A6" t="s">
        <v>15</v>
      </c>
      <c r="B6" s="3" t="s">
        <v>358</v>
      </c>
      <c r="C6" t="s">
        <v>360</v>
      </c>
      <c r="D6" t="s">
        <v>362</v>
      </c>
      <c r="E6" s="3" t="s">
        <v>434</v>
      </c>
    </row>
    <row r="7" spans="1:5">
      <c r="C7" t="s">
        <v>253</v>
      </c>
      <c r="D7" t="s">
        <v>664</v>
      </c>
    </row>
    <row r="8" spans="1:5">
      <c r="C8" t="s">
        <v>365</v>
      </c>
      <c r="D8" t="s">
        <v>363</v>
      </c>
    </row>
    <row r="9" spans="1:5">
      <c r="C9" t="s">
        <v>367</v>
      </c>
      <c r="D9" t="s">
        <v>359</v>
      </c>
    </row>
    <row r="10" spans="1:5">
      <c r="C10" t="s">
        <v>36</v>
      </c>
      <c r="D10" t="b">
        <v>0</v>
      </c>
    </row>
    <row r="11" spans="1:5">
      <c r="C11" t="s">
        <v>461</v>
      </c>
      <c r="D11" t="s">
        <v>533</v>
      </c>
    </row>
    <row r="12" spans="1:5">
      <c r="C12" t="s">
        <v>462</v>
      </c>
      <c r="D12" t="s">
        <v>463</v>
      </c>
    </row>
    <row r="13" spans="1:5">
      <c r="C13" t="s">
        <v>534</v>
      </c>
      <c r="D13" t="s">
        <v>536</v>
      </c>
      <c r="E13" s="6"/>
    </row>
    <row r="14" spans="1:5">
      <c r="C14" t="s">
        <v>535</v>
      </c>
      <c r="D14" t="s">
        <v>538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435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471</v>
      </c>
      <c r="E19" t="s">
        <v>136</v>
      </c>
    </row>
    <row r="20" spans="1:5">
      <c r="C20" t="s">
        <v>472</v>
      </c>
    </row>
    <row r="21" spans="1:5">
      <c r="C21" t="s">
        <v>473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406</v>
      </c>
      <c r="C26" t="s">
        <v>407</v>
      </c>
      <c r="E26" s="3" t="s">
        <v>438</v>
      </c>
    </row>
    <row r="27" spans="1:5">
      <c r="E27" s="3"/>
    </row>
    <row r="28" spans="1:5">
      <c r="A28" t="s">
        <v>16</v>
      </c>
      <c r="B28" s="3" t="s">
        <v>25</v>
      </c>
      <c r="C28" t="s">
        <v>436</v>
      </c>
      <c r="E28" t="s">
        <v>148</v>
      </c>
    </row>
    <row r="29" spans="1:5">
      <c r="B29" s="3"/>
      <c r="C29" t="s">
        <v>437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370</v>
      </c>
      <c r="E32" t="s">
        <v>371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createPDF:imagelist,./Output/Images/,./Output/APAC_Daily_Sales_20221106120331.pdf</v>
      </c>
    </row>
    <row r="35" spans="1:11">
      <c r="C35" t="s">
        <v>440</v>
      </c>
      <c r="E35" t="s">
        <v>439</v>
      </c>
    </row>
    <row r="36" spans="1:11">
      <c r="A36" t="s">
        <v>16</v>
      </c>
      <c r="B36" t="s">
        <v>147</v>
      </c>
      <c r="C36" t="s">
        <v>366</v>
      </c>
      <c r="E36" t="s">
        <v>71</v>
      </c>
      <c r="K36" s="4" t="str">
        <f ca="1">TEXT(NOW(),"YYYYMMDDHHMMSS")</f>
        <v>20221106120331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398</v>
      </c>
    </row>
    <row r="41" spans="1:11">
      <c r="C41" t="s">
        <v>1</v>
      </c>
    </row>
    <row r="42" spans="1:11">
      <c r="C42" t="s">
        <v>339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442</v>
      </c>
      <c r="E44" s="1" t="s">
        <v>344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413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451</v>
      </c>
      <c r="E49" t="s">
        <v>452</v>
      </c>
    </row>
    <row r="50" spans="1:5">
      <c r="C50" t="s">
        <v>454</v>
      </c>
      <c r="E50" t="s">
        <v>455</v>
      </c>
    </row>
    <row r="51" spans="1:5">
      <c r="C51" t="s">
        <v>345</v>
      </c>
      <c r="E51" t="s">
        <v>111</v>
      </c>
    </row>
    <row r="52" spans="1:5">
      <c r="A52" t="s">
        <v>16</v>
      </c>
      <c r="B52" t="s">
        <v>412</v>
      </c>
      <c r="C52" t="s">
        <v>37</v>
      </c>
    </row>
    <row r="53" spans="1:5">
      <c r="C53" t="s">
        <v>458</v>
      </c>
      <c r="E53" t="s">
        <v>457</v>
      </c>
    </row>
    <row r="54" spans="1:5">
      <c r="C54" t="s">
        <v>27</v>
      </c>
    </row>
    <row r="55" spans="1:5">
      <c r="A55" t="s">
        <v>16</v>
      </c>
      <c r="B55" t="s">
        <v>453</v>
      </c>
      <c r="C55" t="s">
        <v>456</v>
      </c>
      <c r="E55" t="s">
        <v>457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339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450</v>
      </c>
      <c r="E62" t="s">
        <v>115</v>
      </c>
    </row>
    <row r="64" spans="1:5">
      <c r="A64" t="s">
        <v>16</v>
      </c>
      <c r="B64" s="3" t="s">
        <v>32</v>
      </c>
      <c r="C64" t="s">
        <v>400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377</v>
      </c>
    </row>
    <row r="70" spans="1:5">
      <c r="C70" t="s">
        <v>401</v>
      </c>
      <c r="D70" t="s">
        <v>401</v>
      </c>
      <c r="E70" t="s">
        <v>64</v>
      </c>
    </row>
    <row r="71" spans="1:5">
      <c r="C71" t="s">
        <v>58</v>
      </c>
    </row>
    <row r="72" spans="1:5">
      <c r="C72" t="s">
        <v>377</v>
      </c>
    </row>
    <row r="73" spans="1:5">
      <c r="C73" t="s">
        <v>402</v>
      </c>
      <c r="D73" t="s">
        <v>402</v>
      </c>
    </row>
    <row r="74" spans="1:5">
      <c r="A74" t="s">
        <v>16</v>
      </c>
      <c r="B74" t="s">
        <v>118</v>
      </c>
      <c r="C74" t="s">
        <v>399</v>
      </c>
      <c r="D74" t="s">
        <v>29</v>
      </c>
      <c r="E74" t="s">
        <v>117</v>
      </c>
    </row>
    <row r="75" spans="1:5">
      <c r="C75" t="s">
        <v>443</v>
      </c>
    </row>
    <row r="76" spans="1:5">
      <c r="A76" t="s">
        <v>16</v>
      </c>
      <c r="B76" t="s">
        <v>443</v>
      </c>
      <c r="C76" t="s">
        <v>444</v>
      </c>
    </row>
    <row r="77" spans="1:5">
      <c r="A77" t="s">
        <v>16</v>
      </c>
      <c r="B77" t="s">
        <v>122</v>
      </c>
      <c r="C77" t="s">
        <v>348</v>
      </c>
      <c r="E77" t="s">
        <v>126</v>
      </c>
    </row>
    <row r="78" spans="1:5">
      <c r="C78" t="s">
        <v>349</v>
      </c>
      <c r="E78" t="s">
        <v>127</v>
      </c>
    </row>
    <row r="79" spans="1:5">
      <c r="A79" t="s">
        <v>16</v>
      </c>
      <c r="B79" t="s">
        <v>124</v>
      </c>
      <c r="C79" t="s">
        <v>350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351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342</v>
      </c>
      <c r="E90" t="s">
        <v>102</v>
      </c>
    </row>
    <row r="92" spans="1:5">
      <c r="A92" t="s">
        <v>16</v>
      </c>
      <c r="B92" t="s">
        <v>377</v>
      </c>
      <c r="C92" t="s">
        <v>340</v>
      </c>
      <c r="E92" t="s">
        <v>143</v>
      </c>
    </row>
    <row r="93" spans="1:5">
      <c r="C93" t="s">
        <v>449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441</v>
      </c>
    </row>
    <row r="96" spans="1:5">
      <c r="A96" t="s">
        <v>16</v>
      </c>
      <c r="B96" t="s">
        <v>17</v>
      </c>
      <c r="C96" t="s">
        <v>445</v>
      </c>
    </row>
    <row r="97" spans="1:7">
      <c r="C97" t="s">
        <v>3</v>
      </c>
      <c r="E97" t="s">
        <v>97</v>
      </c>
    </row>
    <row r="98" spans="1:7">
      <c r="C98" t="s">
        <v>446</v>
      </c>
      <c r="E98" t="s">
        <v>355</v>
      </c>
    </row>
    <row r="99" spans="1:7">
      <c r="C99" t="s">
        <v>4</v>
      </c>
      <c r="E99" t="s">
        <v>96</v>
      </c>
    </row>
    <row r="100" spans="1:7">
      <c r="C100" t="s">
        <v>447</v>
      </c>
    </row>
    <row r="101" spans="1:7">
      <c r="C101" t="s">
        <v>5</v>
      </c>
    </row>
    <row r="102" spans="1:7">
      <c r="C102" t="s">
        <v>448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341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378</v>
      </c>
      <c r="C107" t="s">
        <v>382</v>
      </c>
    </row>
    <row r="108" spans="1:7">
      <c r="C108" t="s">
        <v>3</v>
      </c>
      <c r="E108" t="s">
        <v>97</v>
      </c>
    </row>
    <row r="109" spans="1:7">
      <c r="C109" t="s">
        <v>383</v>
      </c>
      <c r="E109" t="s">
        <v>355</v>
      </c>
    </row>
    <row r="110" spans="1:7">
      <c r="C110" t="s">
        <v>379</v>
      </c>
      <c r="E110" t="s">
        <v>380</v>
      </c>
      <c r="G110" t="s">
        <v>381</v>
      </c>
    </row>
    <row r="111" spans="1:7">
      <c r="C111" t="s">
        <v>384</v>
      </c>
    </row>
    <row r="112" spans="1:7">
      <c r="C112" t="s">
        <v>5</v>
      </c>
    </row>
    <row r="113" spans="3:5">
      <c r="C113" t="s">
        <v>385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341</v>
      </c>
      <c r="E116" t="s">
        <v>386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B4DC528-1B70-413D-BCF0-97918AB5E6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F2F836-7633-4A1E-B5E6-3262BAF0853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main (backup)</vt:lpstr>
      <vt:lpstr>DClickMerch</vt:lpstr>
      <vt:lpstr>FoundationMarginReport</vt:lpstr>
      <vt:lpstr>FoundationRCReport</vt:lpstr>
      <vt:lpstr>AnaplanForecast</vt:lpstr>
      <vt:lpstr>ServiceNow</vt:lpstr>
      <vt:lpstr>ServiceNow (2)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cp:lastPrinted>2022-08-22T10:16:08Z</cp:lastPrinted>
  <dcterms:created xsi:type="dcterms:W3CDTF">2022-07-22T14:45:30Z</dcterms:created>
  <dcterms:modified xsi:type="dcterms:W3CDTF">2022-11-06T04:03:32Z</dcterms:modified>
</cp:coreProperties>
</file>