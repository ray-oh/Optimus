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A39B29D0-1D07-440A-B7E8-4DFE9A2B23D7}" xr6:coauthVersionLast="47" xr6:coauthVersionMax="47" xr10:uidLastSave="{00000000-0000-0000-0000-000000000000}"/>
  <bookViews>
    <workbookView xWindow="3510" yWindow="3510" windowWidth="21600" windowHeight="11385" tabRatio="766" firstSheet="1" activeTab="2" xr2:uid="{0D015D22-72E6-418D-80FA-246518C96D96}"/>
  </bookViews>
  <sheets>
    <sheet name="main (2)" sheetId="22" r:id="rId1"/>
    <sheet name="ReadMe" sheetId="8" r:id="rId2"/>
    <sheet name="main" sheetId="4" r:id="rId3"/>
    <sheet name="logon_OKTA" sheetId="23" r:id="rId4"/>
    <sheet name="DiorOrder" sheetId="21" r:id="rId5"/>
    <sheet name="FoundationReport" sheetId="16" r:id="rId6"/>
    <sheet name="FoundationRCReport" sheetId="19" r:id="rId7"/>
    <sheet name="ServiceNow" sheetId="14" r:id="rId8"/>
    <sheet name="ServiceNow5" sheetId="20" r:id="rId9"/>
    <sheet name="ServiceNow (2)" sheetId="15" r:id="rId10"/>
    <sheet name="ServiceNow (3)" sheetId="17" r:id="rId11"/>
    <sheet name="ServiceNow (4)" sheetId="18" r:id="rId12"/>
    <sheet name="DCLICK2" sheetId="6" r:id="rId13"/>
    <sheet name="iCristal2" sheetId="7" r:id="rId14"/>
    <sheet name="DCLICK" sheetId="2" r:id="rId15"/>
    <sheet name="iCristal" sheetId="5" r:id="rId16"/>
    <sheet name="DCLICK2 (6.8)" sheetId="9" r:id="rId17"/>
    <sheet name="DCLICK (iCirstal PRD run)" sheetId="10" r:id="rId18"/>
    <sheet name="Template" sheetId="13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22" l="1"/>
  <c r="E25" i="22" s="1"/>
  <c r="D23" i="22"/>
  <c r="F25" i="22" a="1"/>
  <c r="F25" i="22" l="1"/>
  <c r="G25" i="22" s="1" a="1"/>
  <c r="G25" i="22" s="1"/>
  <c r="D25" i="22" s="1"/>
  <c r="K48" i="17"/>
  <c r="K44" i="17" s="1"/>
  <c r="I13" i="17"/>
  <c r="I12" i="17"/>
  <c r="K48" i="16"/>
  <c r="K44" i="16" s="1"/>
  <c r="I13" i="16"/>
  <c r="I12" i="16"/>
  <c r="K48" i="15"/>
  <c r="K44" i="15" s="1"/>
  <c r="I13" i="15"/>
  <c r="I12" i="15"/>
  <c r="D58" i="4" l="1"/>
  <c r="D59" i="4"/>
  <c r="E60" i="4" s="1"/>
  <c r="F60" i="4" a="1"/>
  <c r="F60" i="4" l="1"/>
  <c r="G60" i="4" s="1" a="1"/>
  <c r="G60" i="4" s="1"/>
  <c r="D60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<sst xmlns="http://schemas.openxmlformats.org/spreadsheetml/2006/main" count="4248" uniqueCount="955">
  <si>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</si>
  <si>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</si>
  <si>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</si>
  <si>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</si>
  <si>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</si>
  <si>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</si>
  <si>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</si>
  <si>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</si>
  <si>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</si>
  <si>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</si>
  <si>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</si>
  <si>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</si>
  <si>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</si>
  <si>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</si>
  <si>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</si>
  <si>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</si>
  <si>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</si>
  <si>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</si>
  <si>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</si>
  <si>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</si>
  <si>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</si>
  <si>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</si>
  <si>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</si>
  <si>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</si>
  <si>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</si>
  <si>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</si>
  <si>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</si>
  <si>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</si>
  <si>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</si>
  <si>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</si>
  <si>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</si>
  <si>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</si>
  <si>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</si>
  <si>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</si>
  <si>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</si>
  <si>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</si>
  <si>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</si>
  <si>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</si>
  <si>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</si>
  <si>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</si>
  <si>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</si>
  <si>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</si>
  <si>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</si>
  <si>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</si>
  <si>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</si>
  <si>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</si>
  <si>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</si>
  <si>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</si>
  <si>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</si>
  <si>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</si>
  <si>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</si>
  <si>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</si>
  <si>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</si>
  <si>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</si>
  <si>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</si>
  <si>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</si>
  <si>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</si>
  <si>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</si>
  <si>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</si>
  <si>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</si>
  <si>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</si>
  <si>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</si>
  <si>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</si>
  <si>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</si>
  <si>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</si>
  <si>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</si>
  <si>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</si>
  <si>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</si>
  <si>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</si>
  <si>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</si>
  <si>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</si>
  <si>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</si>
  <si>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</si>
  <si>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</si>
  <si>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</si>
  <si>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</si>
  <si>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</si>
  <si>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</si>
  <si>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</si>
  <si>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</si>
  <si>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</si>
  <si>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</si>
  <si>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</si>
  <si>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</si>
  <si>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</si>
  <si>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</si>
  <si>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</si>
  <si>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</si>
  <si>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</si>
  <si>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</si>
  <si>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</si>
  <si>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</si>
  <si>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</si>
  <si>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</si>
  <si>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</si>
  <si>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</si>
  <si>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</si>
  <si>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</si>
  <si>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</si>
  <si>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</si>
  <si>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</si>
  <si>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</si>
  <si>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</si>
  <si>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</si>
  <si>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</si>
  <si>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</si>
  <si>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</si>
  <si>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</si>
  <si>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</si>
  <si>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</si>
  <si>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</si>
  <si>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</si>
  <si>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</si>
  <si>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</si>
  <si>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</si>
  <si>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</si>
  <si>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</si>
  <si>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</si>
  <si>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</si>
  <si>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</si>
  <si>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</si>
  <si>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</si>
  <si>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</si>
  <si>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</si>
  <si>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</si>
  <si>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</si>
  <si>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</si>
  <si>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</si>
  <si>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</si>
  <si>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</si>
  <si>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</si>
  <si>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</si>
  <si>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</si>
  <si>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</si>
  <si>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</si>
  <si>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</si>
  <si>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</si>
  <si>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</si>
  <si>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</si>
  <si>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</si>
  <si>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</si>
  <si>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</si>
  <si>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</si>
  <si>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</si>
  <si>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</si>
  <si>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</si>
  <si>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</si>
  <si>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</si>
  <si>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</si>
  <si>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</si>
  <si>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</si>
  <si>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</si>
  <si>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</si>
  <si>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</si>
  <si>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</si>
  <si>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</si>
  <si>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</si>
  <si>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</si>
  <si>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</si>
  <si>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</si>
  <si>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</si>
  <si>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</si>
  <si>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</si>
  <si>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</si>
  <si>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</si>
  <si>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</si>
  <si>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</si>
  <si>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</si>
  <si>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</si>
  <si>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</si>
  <si>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</si>
  <si>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</si>
  <si>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</si>
  <si>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</si>
  <si>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</si>
  <si>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</si>
  <si>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</si>
  <si>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</si>
  <si>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</si>
  <si>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</si>
  <si>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</si>
  <si>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</si>
  <si>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</si>
  <si>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</si>
  <si>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</si>
  <si>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</si>
  <si>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</si>
  <si>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</si>
  <si>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</si>
  <si>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</si>
  <si>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</si>
  <si>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</si>
  <si>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</si>
  <si>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</si>
  <si>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</si>
  <si>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</si>
  <si>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</si>
  <si>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</si>
  <si>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</si>
  <si>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</si>
  <si>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</si>
  <si>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</si>
  <si>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</si>
  <si>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</si>
  <si>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</si>
  <si>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</si>
  <si>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</si>
  <si>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</si>
  <si>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</si>
  <si>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</si>
  <si>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</si>
  <si>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</si>
  <si>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</si>
  <si>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</si>
  <si>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</si>
  <si>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</si>
  <si>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</si>
  <si>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</si>
  <si>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</si>
  <si>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</si>
  <si>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</si>
  <si>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</si>
  <si>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</si>
  <si>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</si>
  <si>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</si>
  <si>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</si>
  <si>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</si>
  <si>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</si>
  <si>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</si>
  <si>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</si>
  <si>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</si>
  <si>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</si>
  <si>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</si>
  <si>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</si>
  <si>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</si>
  <si>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</si>
  <si>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</si>
  <si>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</si>
  <si>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</si>
  <si>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</si>
  <si>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</si>
  <si>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</si>
  <si>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</si>
  <si>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</si>
  <si>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</si>
  <si>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</si>
  <si>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</si>
  <si>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</si>
  <si>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</si>
  <si>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</si>
  <si>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</si>
  <si>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</si>
  <si>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</si>
  <si>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</si>
  <si>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</si>
  <si>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</si>
  <si>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</si>
  <si>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</si>
  <si>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</si>
  <si>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</si>
  <si>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</si>
  <si>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</si>
  <si>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</si>
  <si>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</si>
  <si>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</si>
  <si>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</si>
  <si>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</si>
  <si>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</si>
  <si>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</si>
  <si>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</si>
  <si>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</si>
  <si>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</si>
  <si>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</si>
  <si>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</si>
  <si>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</si>
  <si>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</si>
  <si>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</si>
  <si>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</si>
  <si>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</si>
  <si>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</si>
  <si>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</si>
  <si>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</si>
  <si>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</si>
  <si>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</si>
  <si>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</si>
  <si>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</si>
  <si>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</si>
  <si>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</si>
  <si>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</si>
  <si>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</si>
  <si>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</si>
  <si>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</si>
  <si>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</si>
  <si>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</si>
  <si>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</si>
  <si>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</si>
  <si>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</si>
  <si>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</si>
  <si>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</si>
  <si>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</si>
  <si>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</si>
  <si>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</si>
  <si>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</si>
  <si>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</si>
  <si>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</si>
  <si>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</si>
  <si>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</si>
  <si>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</si>
  <si>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</si>
  <si>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</si>
  <si>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</si>
  <si>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</si>
  <si>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</si>
  <si>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</si>
  <si>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</si>
  <si>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</si>
  <si>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</si>
  <si>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</si>
  <si>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</si>
  <si>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</si>
  <si>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</si>
  <si>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</si>
  <si>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</si>
  <si>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</si>
  <si>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</si>
  <si>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</si>
  <si>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</si>
  <si>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</si>
  <si>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</si>
  <si>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</si>
  <si>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</si>
  <si>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</si>
  <si>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</si>
  <si>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</si>
  <si>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</si>
  <si>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</si>
  <si>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</si>
  <si>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</si>
  <si>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</si>
  <si>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</si>
  <si>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</si>
  <si>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</si>
  <si>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</si>
  <si>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</si>
  <si>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</si>
  <si>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</si>
  <si>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</si>
  <si>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</si>
  <si>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</si>
  <si>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</si>
  <si>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</si>
  <si>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</si>
  <si>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</si>
  <si>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</si>
  <si>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</si>
  <si>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</si>
  <si>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</si>
  <si>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</si>
  <si>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</si>
  <si>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</si>
  <si>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</si>
  <si>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</si>
  <si>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</si>
  <si>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</si>
  <si>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</si>
  <si>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</si>
  <si>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</si>
  <si>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</si>
  <si>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</si>
  <si>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</si>
  <si>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</si>
  <si>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</si>
  <si>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</si>
  <si>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</si>
  <si>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</si>
  <si>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</si>
  <si>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</si>
  <si>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</si>
  <si>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</si>
  <si>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</si>
  <si>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</si>
  <si>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</si>
  <si>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</si>
  <si>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</si>
  <si>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</si>
  <si>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</si>
  <si>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</si>
  <si>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</si>
  <si>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</si>
  <si>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</si>
  <si>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</si>
  <si>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</si>
  <si>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</si>
  <si>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</si>
  <si>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</si>
  <si>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</si>
  <si>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</si>
  <si>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</si>
  <si>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</si>
  <si>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</si>
  <si>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</si>
  <si>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</si>
  <si>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</si>
  <si>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</si>
  <si>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</si>
  <si>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</si>
  <si>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</si>
  <si>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</si>
  <si>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</si>
  <si>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</si>
  <si>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</si>
  <si>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</si>
  <si>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</si>
  <si>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</si>
  <si>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</si>
  <si>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</si>
  <si>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</si>
  <si>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</si>
  <si>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</si>
  <si>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</si>
  <si>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</si>
  <si>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</si>
  <si>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</si>
  <si>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</si>
  <si>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</si>
  <si>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</si>
  <si>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</si>
  <si>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</si>
  <si>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</si>
  <si>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</si>
  <si>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</si>
  <si>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</si>
  <si>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</si>
  <si>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</si>
  <si>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</si>
  <si>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</si>
  <si>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</si>
  <si>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</si>
  <si>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</si>
  <si>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</si>
  <si>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</si>
  <si>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</si>
  <si>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</si>
  <si>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</si>
  <si>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</si>
  <si>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</si>
  <si>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</si>
  <si>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</si>
  <si>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</si>
  <si>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</si>
  <si>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</si>
  <si>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</si>
  <si>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</si>
  <si>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</si>
  <si>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</si>
  <si>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</si>
  <si>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</si>
  <si>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</si>
  <si>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</si>
  <si>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</si>
  <si>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</si>
  <si>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</si>
  <si>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</si>
  <si>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</si>
  <si>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</si>
  <si>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</si>
  <si>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</si>
  <si>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</si>
  <si>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</si>
  <si>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</si>
  <si>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</si>
  <si>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</si>
  <si>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</si>
  <si>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</si>
  <si>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</si>
  <si>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</si>
  <si>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</si>
  <si>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</si>
  <si>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</si>
  <si>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</si>
  <si>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</si>
  <si>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</si>
  <si>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</si>
  <si>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</si>
  <si>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</si>
  <si>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</si>
  <si>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</si>
  <si>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</si>
  <si>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</si>
  <si>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</si>
  <si>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</si>
  <si>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</si>
  <si>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</si>
  <si>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</si>
  <si>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</si>
  <si>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</si>
  <si>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</si>
  <si>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</si>
  <si>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</si>
  <si>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</si>
  <si>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</si>
  <si>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</si>
  <si>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</si>
  <si>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</si>
  <si>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</si>
  <si>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</si>
  <si>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</si>
  <si>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</si>
  <si>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</si>
  <si>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</si>
  <si>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</si>
  <si>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</si>
  <si>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</si>
  <si>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</si>
  <si>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</si>
  <si>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</si>
  <si>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</si>
  <si>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</si>
  <si>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</si>
  <si>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</si>
  <si>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</si>
  <si>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</si>
  <si>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</si>
  <si>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</si>
  <si>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</si>
  <si>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</si>
  <si>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</si>
  <si>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</si>
  <si>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</si>
  <si>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</si>
  <si>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</si>
  <si>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</si>
  <si>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</si>
  <si>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</si>
  <si>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</si>
  <si>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</si>
  <si>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</si>
  <si>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</si>
  <si>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</si>
  <si>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</si>
  <si>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</si>
  <si>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</si>
  <si>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</si>
  <si>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</si>
  <si>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</si>
  <si>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</si>
  <si>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</si>
  <si>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</si>
  <si>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</si>
  <si>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</si>
  <si>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</si>
  <si>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</si>
  <si>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</si>
  <si>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</si>
  <si>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</si>
  <si>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</si>
  <si>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</si>
  <si>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</si>
  <si>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</si>
  <si>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</si>
  <si>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</si>
  <si>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</si>
  <si>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</si>
  <si>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</si>
  <si>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</si>
  <si>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</si>
  <si>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</si>
  <si>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</si>
  <si>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</si>
  <si>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</si>
  <si>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</si>
  <si>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</si>
  <si>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</si>
  <si>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</si>
  <si>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</si>
  <si>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</si>
  <si>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</si>
  <si>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</si>
  <si>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</si>
  <si>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</si>
  <si>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</si>
  <si>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</si>
  <si>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</si>
  <si>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</si>
  <si>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</si>
  <si>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</si>
  <si>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</si>
  <si>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</si>
  <si>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</si>
  <si>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</si>
  <si>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</si>
  <si>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</si>
  <si>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</si>
  <si>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</si>
  <si>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</si>
  <si>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</si>
  <si>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</si>
  <si>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</si>
  <si>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</si>
  <si>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</si>
  <si>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</si>
  <si>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</si>
  <si>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</si>
  <si>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</si>
  <si>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</si>
  <si>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</si>
  <si>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</si>
  <si>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</si>
  <si>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</si>
  <si>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</si>
  <si>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</si>
  <si>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</si>
  <si>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</si>
  <si>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</si>
  <si>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</si>
  <si>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</si>
  <si>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</si>
  <si>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</si>
  <si>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</si>
  <si>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</si>
  <si>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</si>
  <si>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</si>
  <si>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</si>
  <si>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</si>
  <si>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</si>
  <si>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</si>
  <si>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</si>
  <si>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</si>
  <si>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</si>
  <si>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</si>
  <si>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</si>
  <si>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</si>
  <si>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</si>
  <si>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</si>
  <si>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</si>
  <si>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</si>
  <si>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</si>
  <si>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</si>
  <si>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</si>
  <si>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</si>
  <si>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</si>
  <si>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</si>
  <si>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</si>
  <si>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</si>
  <si>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</si>
  <si>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</si>
  <si>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</si>
  <si>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</si>
  <si>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</si>
  <si>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</si>
  <si>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</si>
  <si>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</si>
  <si>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</si>
  <si>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</si>
  <si>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</si>
  <si>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</si>
  <si>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</si>
  <si>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</si>
  <si>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</si>
  <si>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</si>
  <si>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</si>
  <si>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</si>
  <si>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</si>
  <si>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</si>
  <si>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</si>
  <si>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</si>
  <si>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</si>
  <si>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</si>
  <si>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</si>
  <si>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</si>
  <si>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</si>
  <si>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</si>
  <si>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</si>
  <si>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</si>
  <si>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</si>
  <si>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</si>
  <si>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</si>
  <si>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</si>
  <si>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</si>
  <si>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</si>
  <si>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</si>
  <si>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</si>
  <si>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</si>
  <si>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</si>
  <si>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</si>
  <si>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</si>
  <si>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</si>
  <si>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</si>
  <si>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</si>
  <si>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</si>
  <si>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</si>
  <si>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</si>
  <si>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</si>
  <si>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Files to check</t>
  </si>
  <si>
    <t>Exist</t>
  </si>
  <si>
    <t>ModifiedDatetime</t>
  </si>
  <si>
    <t>Today</t>
  </si>
  <si>
    <t>NowTime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</si>
  <si>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</si>
  <si>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</si>
  <si>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</si>
  <si>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</si>
  <si>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</si>
  <si>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</si>
  <si>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</si>
  <si>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</si>
  <si>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</si>
  <si>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</si>
  <si>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</si>
  <si>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</si>
  <si>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</si>
  <si>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</si>
  <si>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</si>
  <si>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</si>
  <si>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</si>
  <si>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</si>
  <si>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</si>
  <si>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</si>
  <si>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</si>
  <si>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</si>
  <si>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</si>
  <si>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</si>
  <si>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</si>
  <si>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</si>
  <si>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</si>
  <si>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</si>
  <si>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</si>
  <si>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</si>
  <si>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</si>
  <si>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</si>
  <si>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</si>
  <si>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</si>
  <si>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</si>
  <si>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</si>
  <si>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</si>
  <si>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</si>
  <si>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</si>
  <si>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</si>
  <si>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</si>
  <si>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</si>
  <si>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</si>
  <si>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</si>
  <si>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</si>
  <si>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</si>
  <si>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</si>
  <si>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</si>
  <si>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</si>
  <si>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</si>
  <si>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</si>
  <si>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</si>
  <si>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</si>
  <si>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</si>
  <si>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</si>
  <si>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</si>
  <si>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</si>
  <si>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</si>
  <si>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</si>
  <si>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</si>
  <si>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</si>
  <si>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</si>
  <si>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</si>
  <si>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</si>
  <si>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</si>
  <si>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</si>
  <si>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</si>
  <si>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</si>
  <si>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</si>
  <si>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</si>
  <si>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</si>
  <si>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</si>
  <si>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</si>
  <si>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</si>
  <si>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</si>
  <si>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</si>
  <si>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</si>
  <si>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</si>
  <si>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</si>
  <si>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</si>
  <si>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</si>
  <si>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</si>
  <si>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</si>
  <si>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</si>
  <si>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</si>
  <si>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</si>
  <si>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</si>
  <si>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</si>
  <si>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</si>
  <si>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</si>
  <si>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</si>
  <si>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</si>
  <si>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</si>
  <si>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</si>
  <si>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</si>
  <si>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</si>
  <si>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</si>
  <si>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</si>
  <si>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</si>
  <si>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</si>
  <si>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</si>
  <si>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</si>
  <si>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</si>
  <si>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</si>
  <si>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</si>
  <si>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</si>
  <si>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</si>
  <si>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</si>
  <si>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</si>
  <si>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</si>
  <si>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</si>
  <si>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</si>
  <si>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</si>
  <si>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</si>
  <si>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</si>
  <si>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</si>
  <si>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</si>
  <si>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</si>
  <si>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</si>
  <si>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</si>
  <si>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</si>
  <si>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</si>
  <si>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</si>
  <si>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</si>
  <si>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</si>
  <si>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</si>
  <si>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</si>
  <si>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</si>
  <si>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</si>
  <si>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</si>
  <si>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</si>
  <si>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</si>
  <si>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</si>
  <si>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</si>
  <si>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</si>
  <si>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</si>
  <si>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</si>
  <si>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</si>
  <si>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</si>
  <si>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</si>
  <si>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</si>
  <si>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</si>
  <si>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</si>
  <si>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</si>
  <si>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</si>
  <si>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</si>
  <si>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</si>
  <si>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</si>
  <si>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</si>
  <si>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</si>
  <si>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</si>
  <si>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</si>
  <si>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</si>
  <si>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</si>
  <si>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</si>
  <si>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</si>
  <si>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</si>
  <si>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</si>
  <si>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</si>
  <si>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</si>
  <si>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</si>
  <si>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</si>
  <si>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</si>
  <si>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</si>
  <si>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</si>
  <si>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</si>
  <si>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</si>
  <si>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</si>
  <si>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</si>
  <si>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</si>
  <si>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</si>
  <si>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</si>
  <si>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</si>
  <si>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runDiorOrder</t>
  </si>
  <si>
    <t>if:&lt;runDiorOrder&gt;:runDiorOrder</t>
  </si>
  <si>
    <t>print:***** RUN DIORORDER ****** | runDiorOrder: &lt;runDiorOrder&gt; | NowTime: &lt;NowTime&gt;</t>
  </si>
  <si>
    <t>runModule:DiorOrder</t>
  </si>
  <si>
    <t>https://christiandior-prod.coupahost.com/user/requisitions</t>
  </si>
  <si>
    <t>DL_all_requested_cpx</t>
  </si>
  <si>
    <t>DL_all_requested_opx</t>
  </si>
  <si>
    <t>DL_approved_cpx</t>
  </si>
  <si>
    <t>DL_approved_opx</t>
  </si>
  <si>
    <t>DL_pendingapproval_cpx</t>
  </si>
  <si>
    <t>DL_pendingapproval_opx</t>
  </si>
  <si>
    <t>print:**** DIORORDER MAIN****** | saveFile: &lt;saveFile&gt; | iterationCount: &lt;iterationCount&gt;</t>
  </si>
  <si>
    <t>select:requisition_header_filter, &lt;URL_pages:key&gt;</t>
  </si>
  <si>
    <t>data-table-export-drop</t>
  </si>
  <si>
    <t>//*[@id="data-table-export-menu"]/li[2]/a</t>
  </si>
  <si>
    <t>https://christiandior-prod.coupahost.com/user/</t>
  </si>
  <si>
    <t>MOVE `programPath`\download.csv `reportPath`\requisitions\`today`\`options[n]`.csv</t>
  </si>
  <si>
    <t>https://christiandior-prod.coupahost.com/user/orders</t>
  </si>
  <si>
    <t>DIORORDER</t>
  </si>
  <si>
    <t>url:DIORORDER</t>
  </si>
  <si>
    <t>wait:30,requisition_header_thead,logon_APP</t>
  </si>
  <si>
    <t>break</t>
  </si>
  <si>
    <t>rem: maximizeWindow</t>
  </si>
  <si>
    <t>print:****openPages****** &lt;iterationCount&gt;, &lt;tbl@URL_pages:Key&gt;</t>
  </si>
  <si>
    <t>select:requisition_header_filter, &lt;tbl@URL_pages:Key&gt;</t>
  </si>
  <si>
    <t>print:URL_pages: &lt;URL_pages:key&gt; | &lt;URL_pages:value&gt; | &lt;URL_pages:@Zoom_setting&gt; | &lt;URL_pages:@Key&gt; | &lt;URL_pages:@RunProcess&gt;</t>
  </si>
  <si>
    <t>exportFile</t>
  </si>
  <si>
    <t>moveFile</t>
  </si>
  <si>
    <t>openPages, exportFile, moveFile</t>
  </si>
  <si>
    <t>makeDir:output/&lt;todayYYYYMMDD&gt;</t>
  </si>
  <si>
    <t>//*[@id="data-table-export-menu"]/li[3]/a</t>
  </si>
  <si>
    <t>//a[text()="Excel (current columns)"]</t>
  </si>
  <si>
    <t>renameRecentDownloadFile:&lt;tbl@URL_pages:Key&gt;,_new,./,output/&lt;todayYYYYMMDD&gt;/,xlsx,120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</si>
  <si>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</si>
  <si>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</si>
  <si>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</si>
  <si>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</si>
  <si>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</si>
  <si>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</si>
  <si>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</si>
  <si>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</si>
  <si>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</si>
  <si>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</si>
  <si>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</si>
  <si>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</si>
  <si>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</si>
  <si>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</si>
  <si>
    <t>main_diorOrder</t>
  </si>
  <si>
    <t>APAC_CSC</t>
  </si>
  <si>
    <t>KOREA_CSC</t>
  </si>
  <si>
    <t>https://dior.secure.force.com/wallboard_VF?id=lHYoYt8VjmhV4MnsyO/Ocw==</t>
  </si>
  <si>
    <t>https://dior.secure.force.com/wallboard_VF?id=Pdm7Et/yXU9ImuYzbSiAXA==</t>
  </si>
  <si>
    <t>//span[text()="APAC Service Level"]</t>
  </si>
  <si>
    <t>identifier1</t>
  </si>
  <si>
    <t>chromeZoom:-2</t>
  </si>
  <si>
    <t>read_values</t>
  </si>
  <si>
    <t>process_dashboard</t>
  </si>
  <si>
    <t>APAC Service Level</t>
  </si>
  <si>
    <t>Korea Service Level</t>
  </si>
  <si>
    <t>Page_check_name</t>
  </si>
  <si>
    <t>iterate: tbl@URL_pages , openPage</t>
  </si>
  <si>
    <t>openPage</t>
  </si>
  <si>
    <t>wait:60, &lt;tbl@URL_pages:Page_check_name&gt;</t>
  </si>
  <si>
    <t>DFsaveToExcel:cscrecords.xlsx,dfresult,a</t>
  </si>
  <si>
    <t>snap:page,&lt;tbl@URL_pages:Key&gt;_&lt;todayYYYYMMDD&gt;_&lt;now_hhmmss&gt;.png</t>
  </si>
  <si>
    <t>telegram:501259457, CSC KPI &lt;now_hhmmss&gt;</t>
  </si>
  <si>
    <t>read:social_backlog=//span[text()="TOTAL SOCIAL MEDIA"]/parent::div/parent::div/following-sibling::div//span[text()="total backlog"]/preceding-sibling::div//span</t>
  </si>
  <si>
    <t>DFcreate:dfresult, "country, date, time, agent, calls, emails, chats, social, social_backlog, call_SLA, email_SLA, chat_SLA, call_SLA_details, email_SLA_details, chat_SLA_details"</t>
  </si>
  <si>
    <t>read:date=//span[@class="date"]</t>
  </si>
  <si>
    <t>read:time=//span[@class="time"]</t>
  </si>
  <si>
    <t>read:agent=//div[@class="numberOfAgent"]</t>
  </si>
  <si>
    <t>read:calls=//span[text()="calls"]/parent::div/following-sibling::div/span</t>
  </si>
  <si>
    <t>read:emails=//span[text()="Emails"]/parent::div/following-sibling::div/span</t>
  </si>
  <si>
    <t>read:chats=//span[text()="LIVE CHATS"]/parent::div/following-sibling::div/span</t>
  </si>
  <si>
    <t>read:country=//span[@class="nameCountry"]</t>
  </si>
  <si>
    <t>read:social=//span[text()="TOTAL SOCIAL MEDIA"]/parent::div/parent::div/following-sibling::div//span[text()="TOTAL RECEIVED TODAY"]/preceding-sibling::div//span</t>
  </si>
  <si>
    <t>read:call_SLA=//span[text()="calls"]/parent::div/parent::div/parent::div/following-sibling::div//div[@class="pourcentValue"]/div</t>
  </si>
  <si>
    <t>read:email_SLA=//span[text()="Emails"]/parent::div/parent::div/parent::div/following-sibling::div//div[@class="pourcentValue"]/div</t>
  </si>
  <si>
    <t>read:chat_SLA=//span[text()="LIVE CHATS"]/parent::div/parent::div/parent::div/following-sibling::div//div[@class="pourcentValue"]/div</t>
  </si>
  <si>
    <t>read:call_SLA_details=//span[text()="calls"]/parent::div/parent::div/parent::div/following-sibling::div//div[@class="kpiInfo"]</t>
  </si>
  <si>
    <t>read:email_SLA_details=//span[text()="Emails"]/parent::div/parent::div/parent::div/following-sibling::div//div[@class="kpiInfo"]</t>
  </si>
  <si>
    <t>read:chat_SLA_details=//span[text()="LIVE CHATS"]/parent::div/parent::div/parent::div/following-sibling::div//div[@class="kpiInfo"]</t>
  </si>
  <si>
    <t>checkVariable:date</t>
  </si>
  <si>
    <t>checkVariable:time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</si>
</sst>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hristiandior-prod.coupahost.com/user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christiandior-prod.coupahost.com/user/requisition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hyperlink" Target="URL_Dclick_Pages" TargetMode="External"/><Relationship Id="rId5" Type="http://schemas.openxmlformats.org/officeDocument/2006/relationships/hyperlink" Target="DCLICK" TargetMode="External"/><Relationship Id="rId4" Type="http://schemas.openxmlformats.org/officeDocument/2006/relationships/hyperlink" Target="https://christiandior-prod.coupahost.com/user/order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411-28E8-4FD3-AF2F-720756578DEF}">
  <sheetPr codeName="Sheet18"/>
  <dimension ref="A1:K58"/>
  <sheetViews>
    <sheetView topLeftCell="A34" workbookViewId="0">
      <selection activeCell="C93" sqref="C93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4" t="s">
        <v>16</v>
      </c>
      <c r="B2" s="14" t="s">
        <v>25</v>
      </c>
      <c r="C2" s="14" t="s">
        <v>529</v>
      </c>
    </row>
    <row r="3" spans="1:5">
      <c r="C3" s="14" t="s">
        <v>530</v>
      </c>
      <c r="E3" s="14" t="s">
        <v>526</v>
      </c>
    </row>
    <row r="4" spans="1:5">
      <c r="C4" s="14" t="s">
        <v>0</v>
      </c>
    </row>
    <row r="5" spans="1:5">
      <c r="C5" s="14" t="s">
        <v>893</v>
      </c>
    </row>
    <row r="6" spans="1:5">
      <c r="C6" s="14" t="s">
        <v>872</v>
      </c>
      <c r="E6" s="14" t="s">
        <v>38</v>
      </c>
    </row>
    <row r="7" spans="1:5">
      <c r="C7" s="14" t="s">
        <v>525</v>
      </c>
      <c r="E7" s="14" t="s">
        <v>527</v>
      </c>
    </row>
    <row r="8" spans="1:5">
      <c r="C8" s="14" t="s">
        <v>531</v>
      </c>
    </row>
    <row r="10" spans="1:5">
      <c r="A10" s="14" t="s">
        <v>16</v>
      </c>
      <c r="B10" s="14" t="s">
        <v>849</v>
      </c>
      <c r="C10" s="14" t="s">
        <v>529</v>
      </c>
    </row>
    <row r="11" spans="1:5">
      <c r="C11" s="14" t="s">
        <v>530</v>
      </c>
      <c r="E11" s="14" t="s">
        <v>526</v>
      </c>
    </row>
    <row r="12" spans="1:5">
      <c r="C12" s="14" t="s">
        <v>0</v>
      </c>
    </row>
    <row r="13" spans="1:5">
      <c r="C13" s="14" t="s">
        <v>429</v>
      </c>
    </row>
    <row r="14" spans="1:5">
      <c r="C14" s="14" t="s">
        <v>848</v>
      </c>
      <c r="E14" s="14" t="s">
        <v>38</v>
      </c>
    </row>
    <row r="15" spans="1:5">
      <c r="C15" s="14" t="s">
        <v>525</v>
      </c>
      <c r="E15" s="14" t="s">
        <v>527</v>
      </c>
    </row>
    <row r="16" spans="1:5">
      <c r="C16" s="14" t="s">
        <v>531</v>
      </c>
    </row>
    <row r="18" spans="1:11">
      <c r="A18" s="14" t="s">
        <v>16</v>
      </c>
      <c r="B18" s="14" t="s">
        <v>871</v>
      </c>
      <c r="C18" s="14" t="s">
        <v>873</v>
      </c>
    </row>
    <row r="19" spans="1:11">
      <c r="C19" s="14" t="s">
        <v>874</v>
      </c>
    </row>
    <row r="21" spans="1:11">
      <c r="A21" s="14" t="s">
        <v>15</v>
      </c>
      <c r="B21" s="16" t="s">
        <v>357</v>
      </c>
      <c r="C21" s="14" t="s">
        <v>36</v>
      </c>
      <c r="D21" s="14" t="b">
        <v>0</v>
      </c>
      <c r="E21" s="14" t="s">
        <v>152</v>
      </c>
    </row>
    <row r="22" spans="1:11">
      <c r="C22" s="14" t="s">
        <v>528</v>
      </c>
      <c r="D22" s="14">
        <v>1.1000000000000001</v>
      </c>
    </row>
    <row r="23" spans="1:11">
      <c r="C23" s="14" t="s">
        <v>697</v>
      </c>
      <c r="D23" s="9">
        <f ca="1">NOW()</f>
        <v>44959.611077199072</v>
      </c>
      <c r="E23" s="6"/>
      <c r="J23" s="14" t="s">
        <v>756</v>
      </c>
    </row>
    <row r="24" spans="1:11">
      <c r="C24" s="14" t="s">
        <v>696</v>
      </c>
      <c r="D24" s="9">
        <f ca="1">TODAY()</f>
        <v>44959</v>
      </c>
      <c r="E24" s="14" t="s">
        <v>693</v>
      </c>
      <c r="F24" s="14" t="s">
        <v>694</v>
      </c>
      <c r="G24" s="14" t="s">
        <v>695</v>
      </c>
      <c r="H24" s="14" t="s">
        <v>769</v>
      </c>
      <c r="I24" s="14" t="s">
        <v>755</v>
      </c>
      <c r="J24" s="14" t="s">
        <v>757</v>
      </c>
      <c r="K24" s="14" t="s">
        <v>758</v>
      </c>
    </row>
    <row r="25" spans="1:11">
      <c r="C25" s="14" t="s">
        <v>871</v>
      </c>
      <c r="D25" s="14" t="b">
        <f ca="1">AND(OR(NOT(G25&gt;$D$24),I25),NOT(H25))</f>
        <v>1</v>
      </c>
      <c r="E25" s="14" t="str">
        <f ca="1">D24&amp;"\iCristalReport.pdf"</f>
        <v>44959\iCristalReport.pdf</v>
      </c>
      <c r="F25" s="14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s="14" t="b">
        <v>0</v>
      </c>
      <c r="I25" s="14" t="b">
        <v>1</v>
      </c>
    </row>
    <row r="27" spans="1:11">
      <c r="A27" s="14" t="s">
        <v>16</v>
      </c>
      <c r="B27" s="14" t="s">
        <v>429</v>
      </c>
      <c r="C27" s="14" t="s">
        <v>425</v>
      </c>
    </row>
    <row r="28" spans="1:11">
      <c r="C28" s="14" t="s">
        <v>428</v>
      </c>
    </row>
    <row r="29" spans="1:11">
      <c r="C29" s="14" t="s">
        <v>129</v>
      </c>
    </row>
    <row r="30" spans="1:11">
      <c r="C30" s="14" t="s">
        <v>427</v>
      </c>
    </row>
    <row r="31" spans="1:11">
      <c r="C31" s="14" t="s">
        <v>426</v>
      </c>
    </row>
    <row r="32" spans="1:11">
      <c r="K32" s="4"/>
    </row>
    <row r="33" spans="1:5">
      <c r="A33" s="14" t="s">
        <v>15</v>
      </c>
      <c r="B33" s="14" t="s">
        <v>9</v>
      </c>
      <c r="C33" s="14" t="s">
        <v>19</v>
      </c>
      <c r="D33" s="14" t="s">
        <v>20</v>
      </c>
      <c r="E33" s="16" t="s">
        <v>433</v>
      </c>
    </row>
    <row r="34" spans="1:5">
      <c r="A34" s="14" t="s">
        <v>16</v>
      </c>
      <c r="B34" s="16" t="s">
        <v>0</v>
      </c>
      <c r="C34" s="14" t="s">
        <v>21</v>
      </c>
      <c r="D34" s="15"/>
      <c r="E34" s="14" t="s">
        <v>397</v>
      </c>
    </row>
    <row r="35" spans="1:5">
      <c r="B35" s="16"/>
      <c r="C35" s="14" t="s">
        <v>679</v>
      </c>
      <c r="D35" s="15"/>
    </row>
    <row r="36" spans="1:5">
      <c r="B36" s="16"/>
      <c r="C36" s="14" t="s">
        <v>340</v>
      </c>
      <c r="D36" s="15"/>
    </row>
    <row r="37" spans="1:5">
      <c r="C37" s="14" t="s">
        <v>662</v>
      </c>
    </row>
    <row r="38" spans="1:5">
      <c r="C38" s="14" t="s">
        <v>340</v>
      </c>
      <c r="E38" s="14" t="s">
        <v>104</v>
      </c>
    </row>
    <row r="39" spans="1:5">
      <c r="C39" s="14" t="s">
        <v>701</v>
      </c>
      <c r="E39" s="14" t="s">
        <v>108</v>
      </c>
    </row>
    <row r="40" spans="1:5">
      <c r="A40" s="14" t="s">
        <v>16</v>
      </c>
      <c r="B40" s="1" t="s">
        <v>107</v>
      </c>
      <c r="C40" s="14" t="s">
        <v>340</v>
      </c>
      <c r="E40" s="1"/>
    </row>
    <row r="41" spans="1:5">
      <c r="B41" s="1"/>
      <c r="C41" s="14" t="s">
        <v>854</v>
      </c>
      <c r="E41" s="1" t="s">
        <v>343</v>
      </c>
    </row>
    <row r="42" spans="1:5">
      <c r="B42" s="1"/>
      <c r="C42" s="14" t="s">
        <v>22</v>
      </c>
      <c r="E42" s="1" t="s">
        <v>105</v>
      </c>
    </row>
    <row r="43" spans="1:5">
      <c r="C43" s="14" t="s">
        <v>34</v>
      </c>
      <c r="E43" s="14" t="s">
        <v>106</v>
      </c>
    </row>
    <row r="44" spans="1:5">
      <c r="C44" s="14" t="s">
        <v>411</v>
      </c>
      <c r="E44" s="14" t="s">
        <v>38</v>
      </c>
    </row>
    <row r="45" spans="1:5">
      <c r="C45" s="14" t="s">
        <v>7</v>
      </c>
      <c r="E45" s="14" t="s">
        <v>110</v>
      </c>
    </row>
    <row r="46" spans="1:5">
      <c r="C46" s="14" t="s">
        <v>449</v>
      </c>
      <c r="E46" s="14" t="s">
        <v>450</v>
      </c>
    </row>
    <row r="47" spans="1:5">
      <c r="C47" s="14" t="s">
        <v>452</v>
      </c>
      <c r="E47" s="14" t="s">
        <v>453</v>
      </c>
    </row>
    <row r="48" spans="1:5">
      <c r="C48" s="14" t="s">
        <v>855</v>
      </c>
      <c r="E48" s="14" t="s">
        <v>111</v>
      </c>
    </row>
    <row r="50" spans="1:5">
      <c r="A50" s="14" t="s">
        <v>16</v>
      </c>
      <c r="B50" s="14" t="s">
        <v>410</v>
      </c>
      <c r="C50" s="14" t="s">
        <v>37</v>
      </c>
    </row>
    <row r="51" spans="1:5">
      <c r="C51" s="14" t="s">
        <v>456</v>
      </c>
      <c r="E51" s="14" t="s">
        <v>455</v>
      </c>
    </row>
    <row r="52" spans="1:5">
      <c r="C52" s="14" t="s">
        <v>699</v>
      </c>
      <c r="E52" s="14" t="s">
        <v>700</v>
      </c>
    </row>
    <row r="53" spans="1:5">
      <c r="C53" s="14" t="s">
        <v>27</v>
      </c>
    </row>
    <row r="55" spans="1:5">
      <c r="A55" s="14" t="s">
        <v>16</v>
      </c>
      <c r="B55" s="14" t="s">
        <v>451</v>
      </c>
      <c r="C55" s="14" t="s">
        <v>454</v>
      </c>
      <c r="E55" s="14" t="s">
        <v>455</v>
      </c>
    </row>
    <row r="56" spans="1:5">
      <c r="C56" s="14" t="s">
        <v>699</v>
      </c>
      <c r="E56" s="14" t="s">
        <v>700</v>
      </c>
    </row>
    <row r="57" spans="1:5">
      <c r="C57" s="14" t="s">
        <v>27</v>
      </c>
    </row>
    <row r="58" spans="1:5">
      <c r="B58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:A6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777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12"/>
  <sheetViews>
    <sheetView tabSelected="1" workbookViewId="0">
      <selection activeCell="C35" sqref="C35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 s="14" customFormat="1">
      <c r="A2" s="16" t="s">
        <v>16</v>
      </c>
      <c r="B2" s="18" t="s">
        <v>25</v>
      </c>
      <c r="C2" s="14" t="s">
        <v>529</v>
      </c>
      <c r="D2" s="16"/>
      <c r="E2" s="16"/>
    </row>
    <row r="3" spans="1:5" s="14" customFormat="1">
      <c r="A3" s="16"/>
      <c r="B3" s="16"/>
      <c r="C3" s="14" t="s">
        <v>530</v>
      </c>
      <c r="D3" s="16"/>
      <c r="E3" s="16"/>
    </row>
    <row r="4" spans="1:5" s="14" customFormat="1">
      <c r="A4" s="16"/>
      <c r="B4" s="16"/>
      <c r="C4" s="14" t="s">
        <v>931</v>
      </c>
      <c r="D4" s="16"/>
      <c r="E4" s="16"/>
    </row>
    <row r="5" spans="1:5" s="14" customFormat="1">
      <c r="A5" s="16"/>
      <c r="B5" s="16"/>
      <c r="C5" s="14" t="s">
        <v>934</v>
      </c>
      <c r="D5" s="16"/>
      <c r="E5" s="16"/>
    </row>
    <row r="6" spans="1:5" s="14" customFormat="1">
      <c r="A6" s="16"/>
      <c r="B6" s="16"/>
      <c r="C6" s="14" t="s">
        <v>525</v>
      </c>
      <c r="D6" s="16"/>
      <c r="E6" s="16"/>
    </row>
    <row r="7" spans="1:5" s="14" customFormat="1">
      <c r="A7" s="16"/>
      <c r="B7" s="16"/>
      <c r="C7" s="14" t="s">
        <v>531</v>
      </c>
      <c r="E7" s="16"/>
    </row>
    <row r="8" spans="1:5" s="14" customFormat="1">
      <c r="A8" s="16"/>
      <c r="B8" s="16"/>
      <c r="C8" s="14" t="s">
        <v>936</v>
      </c>
      <c r="E8" s="16"/>
    </row>
    <row r="9" spans="1:5" s="14" customFormat="1">
      <c r="A9" s="18" t="s">
        <v>16</v>
      </c>
      <c r="B9" s="18" t="s">
        <v>932</v>
      </c>
      <c r="C9" s="18" t="s">
        <v>858</v>
      </c>
      <c r="E9" s="16"/>
    </row>
    <row r="10" spans="1:5" s="14" customFormat="1">
      <c r="A10" s="16"/>
      <c r="B10" s="16"/>
      <c r="C10" s="18" t="s">
        <v>925</v>
      </c>
      <c r="D10" s="16"/>
      <c r="E10" s="16"/>
    </row>
    <row r="11" spans="1:5" s="14" customFormat="1">
      <c r="A11" s="16"/>
      <c r="B11" s="16"/>
      <c r="C11" s="18" t="s">
        <v>933</v>
      </c>
      <c r="D11" s="16"/>
      <c r="E11" s="16"/>
    </row>
    <row r="12" spans="1:5" s="14" customFormat="1">
      <c r="A12" s="16"/>
      <c r="B12" s="16"/>
      <c r="C12" s="18" t="s">
        <v>927</v>
      </c>
      <c r="E12" s="16"/>
    </row>
    <row r="13" spans="1:5" s="14" customFormat="1">
      <c r="A13" s="14" t="s">
        <v>15</v>
      </c>
      <c r="B13" s="14" t="s">
        <v>415</v>
      </c>
      <c r="C13" s="14" t="s">
        <v>11</v>
      </c>
      <c r="D13" s="14" t="s">
        <v>9</v>
      </c>
      <c r="E13" s="18" t="s">
        <v>930</v>
      </c>
    </row>
    <row r="14" spans="1:5" s="14" customFormat="1">
      <c r="C14" s="14" t="s">
        <v>919</v>
      </c>
      <c r="D14" s="14" t="s">
        <v>921</v>
      </c>
      <c r="E14" s="18" t="s">
        <v>928</v>
      </c>
    </row>
    <row r="15" spans="1:5" s="14" customFormat="1">
      <c r="C15" s="14" t="s">
        <v>920</v>
      </c>
      <c r="D15" s="14" t="s">
        <v>922</v>
      </c>
      <c r="E15" s="18" t="s">
        <v>929</v>
      </c>
    </row>
    <row r="16" spans="1:5" s="14" customFormat="1">
      <c r="A16" s="18" t="s">
        <v>16</v>
      </c>
      <c r="B16" s="18" t="s">
        <v>927</v>
      </c>
      <c r="C16" s="14" t="s">
        <v>935</v>
      </c>
      <c r="E16" s="14" t="s">
        <v>431</v>
      </c>
    </row>
    <row r="17" spans="1:5" s="14" customFormat="1">
      <c r="A17" s="16"/>
      <c r="B17" s="16"/>
      <c r="C17" s="14" t="s">
        <v>926</v>
      </c>
    </row>
    <row r="18" spans="1:5" s="14" customFormat="1">
      <c r="A18" s="16"/>
      <c r="B18" s="16"/>
      <c r="C18" s="14" t="s">
        <v>938</v>
      </c>
    </row>
    <row r="19" spans="1:5" s="14" customFormat="1">
      <c r="A19" s="18" t="s">
        <v>16</v>
      </c>
      <c r="B19" s="18" t="s">
        <v>926</v>
      </c>
      <c r="C19" s="14" t="s">
        <v>939</v>
      </c>
      <c r="D19" s="16"/>
      <c r="E19" s="16"/>
    </row>
    <row r="20" spans="1:5" s="14" customFormat="1">
      <c r="A20" s="16"/>
      <c r="B20" s="16"/>
      <c r="C20" s="14" t="s">
        <v>940</v>
      </c>
      <c r="D20" s="16"/>
      <c r="E20" s="16"/>
    </row>
    <row r="21" spans="1:5" s="14" customFormat="1">
      <c r="A21" s="16"/>
      <c r="B21" s="16"/>
      <c r="C21" s="14" t="s">
        <v>941</v>
      </c>
      <c r="D21" s="16"/>
      <c r="E21" s="16"/>
    </row>
    <row r="22" spans="1:5" s="14" customFormat="1">
      <c r="A22" s="16"/>
      <c r="B22" s="16"/>
      <c r="C22" s="18" t="s">
        <v>942</v>
      </c>
      <c r="D22" s="16"/>
      <c r="E22" s="16"/>
    </row>
    <row r="23" spans="1:5" s="14" customFormat="1">
      <c r="A23" s="16"/>
      <c r="B23" s="16"/>
      <c r="C23" s="18" t="s">
        <v>943</v>
      </c>
      <c r="D23" s="16"/>
      <c r="E23" s="16"/>
    </row>
    <row r="24" spans="1:5" s="14" customFormat="1">
      <c r="A24" s="16"/>
      <c r="B24" s="16"/>
      <c r="C24" s="18" t="s">
        <v>944</v>
      </c>
      <c r="D24" s="16"/>
      <c r="E24" s="16"/>
    </row>
    <row r="25" spans="1:5" s="14" customFormat="1">
      <c r="A25" s="16"/>
      <c r="B25" s="16"/>
      <c r="C25" s="18" t="s">
        <v>945</v>
      </c>
      <c r="D25" s="16"/>
      <c r="E25" s="16"/>
    </row>
    <row r="26" spans="1:5" s="14" customFormat="1">
      <c r="A26" s="16"/>
      <c r="B26" s="16"/>
      <c r="C26" s="18" t="s">
        <v>946</v>
      </c>
      <c r="D26" s="16"/>
      <c r="E26" s="16"/>
    </row>
    <row r="27" spans="1:5" s="14" customFormat="1">
      <c r="A27" s="16"/>
      <c r="B27" s="16"/>
      <c r="C27" s="18" t="s">
        <v>937</v>
      </c>
      <c r="D27" s="16"/>
      <c r="E27" s="16"/>
    </row>
    <row r="28" spans="1:5" s="14" customFormat="1">
      <c r="A28" s="16"/>
      <c r="B28" s="16"/>
      <c r="C28" s="18" t="s">
        <v>947</v>
      </c>
      <c r="D28" s="16"/>
      <c r="E28" s="16"/>
    </row>
    <row r="29" spans="1:5" s="14" customFormat="1">
      <c r="A29" s="16"/>
      <c r="B29" s="16"/>
      <c r="C29" s="18" t="s">
        <v>948</v>
      </c>
      <c r="D29" s="16"/>
      <c r="E29" s="16"/>
    </row>
    <row r="30" spans="1:5" s="14" customFormat="1">
      <c r="A30" s="16"/>
      <c r="B30" s="16"/>
      <c r="C30" s="18" t="s">
        <v>949</v>
      </c>
      <c r="D30" s="16"/>
      <c r="E30" s="16"/>
    </row>
    <row r="31" spans="1:5" s="14" customFormat="1">
      <c r="A31" s="16"/>
      <c r="B31" s="16"/>
      <c r="C31" s="18" t="s">
        <v>950</v>
      </c>
      <c r="D31" s="16"/>
      <c r="E31" s="16"/>
    </row>
    <row r="32" spans="1:5" s="14" customFormat="1">
      <c r="A32" s="16"/>
      <c r="B32" s="16"/>
      <c r="C32" s="18" t="s">
        <v>951</v>
      </c>
      <c r="D32" s="16"/>
      <c r="E32" s="16"/>
    </row>
    <row r="33" spans="1:11" s="14" customFormat="1">
      <c r="A33" s="16"/>
      <c r="B33" s="16"/>
      <c r="C33" s="18" t="s">
        <v>952</v>
      </c>
      <c r="D33" s="16"/>
      <c r="E33" s="16"/>
    </row>
    <row r="34" spans="1:11" s="14" customFormat="1">
      <c r="A34" s="16"/>
      <c r="B34" s="16"/>
      <c r="C34" s="14" t="s">
        <v>953</v>
      </c>
      <c r="D34" s="16"/>
      <c r="E34" s="16"/>
    </row>
    <row r="35" spans="1:11" s="14" customFormat="1">
      <c r="A35" s="16"/>
      <c r="B35" s="16"/>
      <c r="C35" s="14" t="s">
        <v>954</v>
      </c>
      <c r="D35" s="16"/>
      <c r="E35" s="16"/>
    </row>
    <row r="36" spans="1:11" s="14" customFormat="1">
      <c r="A36" s="18" t="s">
        <v>16</v>
      </c>
      <c r="B36" s="14" t="s">
        <v>924</v>
      </c>
      <c r="C36" s="18" t="s">
        <v>923</v>
      </c>
      <c r="D36" s="16"/>
      <c r="E36" s="16"/>
    </row>
    <row r="37" spans="1:11">
      <c r="A37" t="s">
        <v>16</v>
      </c>
      <c r="B37" t="s">
        <v>918</v>
      </c>
      <c r="C37" t="s">
        <v>529</v>
      </c>
    </row>
    <row r="38" spans="1:11">
      <c r="C38" t="s">
        <v>530</v>
      </c>
      <c r="E38" t="s">
        <v>526</v>
      </c>
    </row>
    <row r="39" spans="1:11">
      <c r="C39" t="s">
        <v>917</v>
      </c>
    </row>
    <row r="40" spans="1:11">
      <c r="C40" t="s">
        <v>893</v>
      </c>
    </row>
    <row r="41" spans="1:11">
      <c r="C41" t="s">
        <v>872</v>
      </c>
      <c r="E41" t="s">
        <v>38</v>
      </c>
    </row>
    <row r="42" spans="1:11">
      <c r="C42" t="s">
        <v>525</v>
      </c>
      <c r="E42" t="s">
        <v>527</v>
      </c>
    </row>
    <row r="43" spans="1:11">
      <c r="C43" t="s">
        <v>531</v>
      </c>
    </row>
    <row r="44" spans="1:11" s="14" customFormat="1"/>
    <row r="45" spans="1:11">
      <c r="A45" s="14" t="s">
        <v>16</v>
      </c>
      <c r="B45" s="14" t="s">
        <v>849</v>
      </c>
      <c r="C45" s="14" t="s">
        <v>529</v>
      </c>
      <c r="D45" s="14"/>
      <c r="E45" s="14"/>
      <c r="F45" s="14"/>
      <c r="G45" s="14"/>
      <c r="H45" s="14"/>
      <c r="I45" s="14"/>
      <c r="J45" s="14"/>
      <c r="K45" s="14"/>
    </row>
    <row r="46" spans="1:11" s="14" customFormat="1">
      <c r="C46" s="14" t="s">
        <v>530</v>
      </c>
      <c r="E46" s="14" t="s">
        <v>526</v>
      </c>
    </row>
    <row r="47" spans="1:11" s="14" customFormat="1">
      <c r="C47" s="14" t="s">
        <v>0</v>
      </c>
    </row>
    <row r="48" spans="1:11" s="14" customFormat="1">
      <c r="C48" s="14" t="s">
        <v>429</v>
      </c>
    </row>
    <row r="49" spans="1:11" s="14" customFormat="1">
      <c r="C49" s="14" t="s">
        <v>848</v>
      </c>
      <c r="E49" s="14" t="s">
        <v>38</v>
      </c>
    </row>
    <row r="50" spans="1:11" s="14" customFormat="1">
      <c r="C50" s="14" t="s">
        <v>525</v>
      </c>
      <c r="E50" s="14" t="s">
        <v>527</v>
      </c>
    </row>
    <row r="51" spans="1:11" s="14" customFormat="1">
      <c r="C51" s="14" t="s">
        <v>531</v>
      </c>
    </row>
    <row r="52" spans="1:11" s="14" customFormat="1"/>
    <row r="53" spans="1:11">
      <c r="A53" t="s">
        <v>16</v>
      </c>
      <c r="B53" t="s">
        <v>871</v>
      </c>
      <c r="C53" t="s">
        <v>873</v>
      </c>
    </row>
    <row r="54" spans="1:11">
      <c r="C54" t="s">
        <v>874</v>
      </c>
    </row>
    <row r="56" spans="1:11">
      <c r="A56" t="s">
        <v>15</v>
      </c>
      <c r="B56" s="3" t="s">
        <v>357</v>
      </c>
      <c r="C56" t="s">
        <v>36</v>
      </c>
      <c r="D56" t="b">
        <v>0</v>
      </c>
      <c r="E56" t="s">
        <v>152</v>
      </c>
    </row>
    <row r="57" spans="1:11">
      <c r="C57" t="s">
        <v>528</v>
      </c>
      <c r="D57">
        <v>1.1000000000000001</v>
      </c>
    </row>
    <row r="58" spans="1:11">
      <c r="C58" t="s">
        <v>697</v>
      </c>
      <c r="D58" s="9">
        <f ca="1">NOW()</f>
        <v>44959.611077199072</v>
      </c>
      <c r="E58" s="6"/>
      <c r="J58" t="s">
        <v>756</v>
      </c>
    </row>
    <row r="59" spans="1:11">
      <c r="C59" t="s">
        <v>696</v>
      </c>
      <c r="D59" s="9">
        <f ca="1">TODAY()</f>
        <v>44959</v>
      </c>
      <c r="E59" t="s">
        <v>693</v>
      </c>
      <c r="F59" t="s">
        <v>694</v>
      </c>
      <c r="G59" t="s">
        <v>695</v>
      </c>
      <c r="H59" t="s">
        <v>769</v>
      </c>
      <c r="I59" t="s">
        <v>755</v>
      </c>
      <c r="J59" t="s">
        <v>757</v>
      </c>
      <c r="K59" t="s">
        <v>758</v>
      </c>
    </row>
    <row r="60" spans="1:11">
      <c r="C60" t="s">
        <v>871</v>
      </c>
      <c r="D60" t="b">
        <f ca="1">AND(OR(NOT(G60&gt;$D$59),I60),NOT(H60))</f>
        <v>1</v>
      </c>
      <c r="E60" t="str">
        <f ca="1">D59&amp;"\iCristalReport.pdf"</f>
        <v>44959\iCristalReport.pdf</v>
      </c>
      <c r="F60" t="b" cm="1">
        <f t="array" aca="1" ref="F60" ca="1">FileExists(E60,NOW())</f>
        <v>0</v>
      </c>
      <c r="G60" s="10" cm="1">
        <f t="array" aca="1" ref="G60" ca="1">IF(F60,fileModifiedDate(E60, NOW()),0)</f>
        <v>0</v>
      </c>
      <c r="H60" t="b">
        <v>0</v>
      </c>
      <c r="I60" t="b">
        <v>1</v>
      </c>
    </row>
    <row r="62" spans="1:11">
      <c r="A62" t="s">
        <v>16</v>
      </c>
      <c r="B62" t="s">
        <v>429</v>
      </c>
      <c r="C62" t="s">
        <v>425</v>
      </c>
    </row>
    <row r="63" spans="1:11">
      <c r="C63" t="s">
        <v>428</v>
      </c>
    </row>
    <row r="64" spans="1:11">
      <c r="C64" t="s">
        <v>129</v>
      </c>
    </row>
    <row r="65" spans="1:11">
      <c r="C65" t="s">
        <v>427</v>
      </c>
    </row>
    <row r="66" spans="1:11">
      <c r="C66" t="s">
        <v>426</v>
      </c>
    </row>
    <row r="67" spans="1:11">
      <c r="K67" s="4"/>
    </row>
    <row r="68" spans="1:11">
      <c r="A68" t="s">
        <v>15</v>
      </c>
      <c r="B68" t="s">
        <v>9</v>
      </c>
      <c r="C68" t="s">
        <v>19</v>
      </c>
      <c r="D68" t="s">
        <v>20</v>
      </c>
      <c r="E68" s="3" t="s">
        <v>433</v>
      </c>
    </row>
    <row r="69" spans="1:11">
      <c r="A69" t="s">
        <v>16</v>
      </c>
      <c r="B69" s="3" t="s">
        <v>0</v>
      </c>
      <c r="C69" t="s">
        <v>21</v>
      </c>
      <c r="D69" s="2"/>
      <c r="E69" t="s">
        <v>397</v>
      </c>
    </row>
    <row r="70" spans="1:11">
      <c r="B70" s="3"/>
      <c r="C70" t="s">
        <v>679</v>
      </c>
      <c r="D70" s="2"/>
    </row>
    <row r="71" spans="1:11">
      <c r="B71" s="3"/>
      <c r="C71" t="s">
        <v>340</v>
      </c>
      <c r="D71" s="2"/>
    </row>
    <row r="72" spans="1:11">
      <c r="C72" t="s">
        <v>662</v>
      </c>
    </row>
    <row r="73" spans="1:11">
      <c r="C73" t="s">
        <v>340</v>
      </c>
      <c r="E73" t="s">
        <v>104</v>
      </c>
    </row>
    <row r="74" spans="1:11" s="14" customFormat="1">
      <c r="C74" s="14" t="s">
        <v>908</v>
      </c>
    </row>
    <row r="75" spans="1:11">
      <c r="A75" t="s">
        <v>16</v>
      </c>
      <c r="B75" t="s">
        <v>907</v>
      </c>
      <c r="C75" t="s">
        <v>701</v>
      </c>
      <c r="E75" t="s">
        <v>108</v>
      </c>
    </row>
    <row r="76" spans="1:11" s="14" customFormat="1"/>
    <row r="77" spans="1:11" s="14" customFormat="1">
      <c r="A77" s="14" t="s">
        <v>16</v>
      </c>
      <c r="B77" s="14" t="s">
        <v>909</v>
      </c>
      <c r="C77" s="14" t="s">
        <v>905</v>
      </c>
    </row>
    <row r="78" spans="1:11" s="14" customFormat="1">
      <c r="C78" s="14" t="s">
        <v>904</v>
      </c>
    </row>
    <row r="79" spans="1:11" s="14" customFormat="1">
      <c r="A79" s="14" t="s">
        <v>16</v>
      </c>
      <c r="B79" s="14" t="s">
        <v>910</v>
      </c>
      <c r="C79" s="14" t="s">
        <v>911</v>
      </c>
    </row>
    <row r="80" spans="1:11" s="14" customFormat="1">
      <c r="C80" s="14" t="s">
        <v>916</v>
      </c>
    </row>
    <row r="81" spans="1:5" s="14" customFormat="1">
      <c r="A81" s="14" t="s">
        <v>16</v>
      </c>
      <c r="B81" s="14" t="s">
        <v>911</v>
      </c>
      <c r="C81" s="14" t="s">
        <v>22</v>
      </c>
    </row>
    <row r="82" spans="1:5" s="14" customFormat="1">
      <c r="C82" s="14" t="s">
        <v>34</v>
      </c>
    </row>
    <row r="83" spans="1:5" s="14" customFormat="1">
      <c r="C83" s="14" t="s">
        <v>411</v>
      </c>
    </row>
    <row r="84" spans="1:5" s="14" customFormat="1">
      <c r="C84" s="14" t="s">
        <v>7</v>
      </c>
    </row>
    <row r="85" spans="1:5" s="14" customFormat="1">
      <c r="C85" s="14" t="s">
        <v>912</v>
      </c>
      <c r="E85" s="14" t="s">
        <v>449</v>
      </c>
    </row>
    <row r="86" spans="1:5" s="14" customFormat="1">
      <c r="E86" s="14" t="s">
        <v>452</v>
      </c>
    </row>
    <row r="87" spans="1:5" s="14" customFormat="1">
      <c r="E87" s="14" t="s">
        <v>855</v>
      </c>
    </row>
    <row r="88" spans="1:5" s="14" customFormat="1">
      <c r="A88" s="14" t="s">
        <v>16</v>
      </c>
      <c r="B88" s="14" t="s">
        <v>916</v>
      </c>
      <c r="C88" s="14" t="s">
        <v>906</v>
      </c>
    </row>
    <row r="89" spans="1:5" s="14" customFormat="1">
      <c r="A89" s="14" t="s">
        <v>16</v>
      </c>
      <c r="B89" s="14" t="s">
        <v>913</v>
      </c>
      <c r="C89" s="14" t="s">
        <v>904</v>
      </c>
    </row>
    <row r="90" spans="1:5" s="14" customFormat="1">
      <c r="C90" s="14" t="s">
        <v>915</v>
      </c>
    </row>
    <row r="91" spans="1:5" s="14" customFormat="1">
      <c r="A91" s="14" t="s">
        <v>16</v>
      </c>
      <c r="B91" s="14" t="s">
        <v>914</v>
      </c>
      <c r="C91" s="14" t="s">
        <v>916</v>
      </c>
    </row>
    <row r="92" spans="1:5" s="14" customFormat="1">
      <c r="C92" s="14" t="s">
        <v>451</v>
      </c>
    </row>
    <row r="93" spans="1:5" s="14" customFormat="1"/>
    <row r="94" spans="1:5">
      <c r="A94" t="s">
        <v>16</v>
      </c>
      <c r="B94" s="1" t="s">
        <v>107</v>
      </c>
      <c r="C94" t="s">
        <v>340</v>
      </c>
      <c r="E94" s="1"/>
    </row>
    <row r="95" spans="1:5">
      <c r="B95" s="1"/>
      <c r="C95" t="s">
        <v>854</v>
      </c>
      <c r="E95" s="1" t="s">
        <v>343</v>
      </c>
    </row>
    <row r="96" spans="1:5">
      <c r="B96" s="1"/>
      <c r="C96" t="s">
        <v>22</v>
      </c>
      <c r="E96" s="1" t="s">
        <v>105</v>
      </c>
    </row>
    <row r="97" spans="1:5">
      <c r="C97" t="s">
        <v>34</v>
      </c>
      <c r="E97" t="s">
        <v>106</v>
      </c>
    </row>
    <row r="98" spans="1:5">
      <c r="C98" t="s">
        <v>411</v>
      </c>
      <c r="E98" t="s">
        <v>38</v>
      </c>
    </row>
    <row r="99" spans="1:5">
      <c r="C99" t="s">
        <v>7</v>
      </c>
      <c r="E99" t="s">
        <v>110</v>
      </c>
    </row>
    <row r="100" spans="1:5">
      <c r="C100" t="s">
        <v>449</v>
      </c>
      <c r="E100" t="s">
        <v>450</v>
      </c>
    </row>
    <row r="101" spans="1:5">
      <c r="C101" t="s">
        <v>452</v>
      </c>
      <c r="E101" t="s">
        <v>453</v>
      </c>
    </row>
    <row r="102" spans="1:5">
      <c r="C102" t="s">
        <v>855</v>
      </c>
      <c r="E102" t="s">
        <v>111</v>
      </c>
    </row>
    <row r="104" spans="1:5">
      <c r="A104" t="s">
        <v>16</v>
      </c>
      <c r="B104" t="s">
        <v>410</v>
      </c>
      <c r="C104" t="s">
        <v>37</v>
      </c>
    </row>
    <row r="105" spans="1:5">
      <c r="C105" t="s">
        <v>456</v>
      </c>
      <c r="E105" t="s">
        <v>455</v>
      </c>
    </row>
    <row r="106" spans="1:5">
      <c r="C106" t="s">
        <v>699</v>
      </c>
      <c r="E106" t="s">
        <v>700</v>
      </c>
    </row>
    <row r="107" spans="1:5">
      <c r="C107" t="s">
        <v>27</v>
      </c>
    </row>
    <row r="109" spans="1:5">
      <c r="A109" t="s">
        <v>16</v>
      </c>
      <c r="B109" t="s">
        <v>451</v>
      </c>
      <c r="C109" t="s">
        <v>454</v>
      </c>
      <c r="E109" t="s">
        <v>455</v>
      </c>
    </row>
    <row r="110" spans="1:5">
      <c r="C110" t="s">
        <v>699</v>
      </c>
      <c r="E110" t="s">
        <v>700</v>
      </c>
    </row>
    <row r="111" spans="1:5">
      <c r="C111" t="s">
        <v>27</v>
      </c>
    </row>
    <row r="112" spans="1:5">
      <c r="B112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workbookViewId="0">
      <selection activeCell="D6" sqref="D6"/>
    </sheetView>
  </sheetViews>
  <sheetFormatPr defaultRowHeight="1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  <c r="F1" s="14"/>
      <c r="G1" s="14"/>
      <c r="H1" s="14"/>
      <c r="I1" s="14"/>
      <c r="J1" s="14"/>
      <c r="K1" s="14"/>
      <c r="L1" s="14"/>
    </row>
    <row r="2" spans="1:12">
      <c r="A2" s="14" t="s">
        <v>15</v>
      </c>
      <c r="B2" s="14" t="s">
        <v>9</v>
      </c>
      <c r="C2" s="14" t="s">
        <v>19</v>
      </c>
      <c r="D2" s="14" t="s">
        <v>20</v>
      </c>
      <c r="E2" s="16" t="s">
        <v>433</v>
      </c>
      <c r="F2" s="14"/>
      <c r="G2" s="14"/>
      <c r="H2" s="14"/>
      <c r="I2" s="14"/>
      <c r="J2" s="14"/>
      <c r="K2" s="14"/>
      <c r="L2" s="14"/>
    </row>
    <row r="3" spans="1:12">
      <c r="A3" s="14" t="s">
        <v>16</v>
      </c>
      <c r="B3" s="16" t="s">
        <v>25</v>
      </c>
      <c r="C3" s="14" t="s">
        <v>21</v>
      </c>
      <c r="D3" s="15"/>
      <c r="E3" s="14" t="s">
        <v>397</v>
      </c>
      <c r="F3" s="14"/>
      <c r="G3" s="14"/>
      <c r="H3" s="14"/>
      <c r="I3" s="14"/>
      <c r="J3" s="14"/>
      <c r="K3" s="14"/>
      <c r="L3" s="14"/>
    </row>
    <row r="4" spans="1:12">
      <c r="A4" s="14"/>
      <c r="B4" s="16"/>
      <c r="C4" s="14" t="s">
        <v>679</v>
      </c>
      <c r="D4" s="15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6"/>
      <c r="C5" s="14" t="s">
        <v>340</v>
      </c>
      <c r="D5" s="15"/>
      <c r="E5" s="14"/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 t="s">
        <v>662</v>
      </c>
      <c r="D6" s="14"/>
      <c r="E6" s="14"/>
      <c r="F6" s="14"/>
      <c r="G6" s="14"/>
      <c r="H6" s="14"/>
      <c r="I6" s="14"/>
      <c r="J6" s="14"/>
      <c r="K6" s="14"/>
      <c r="L6" s="14"/>
    </row>
    <row r="7" spans="1:12">
      <c r="A7" s="14"/>
      <c r="B7" s="14"/>
      <c r="C7" s="14" t="s">
        <v>340</v>
      </c>
      <c r="D7" s="14"/>
      <c r="E7" s="14" t="s">
        <v>104</v>
      </c>
      <c r="F7" s="14"/>
      <c r="G7" s="14"/>
      <c r="H7" s="14"/>
      <c r="I7" s="14"/>
      <c r="J7" s="14"/>
      <c r="K7" s="14"/>
      <c r="L7" s="14"/>
    </row>
    <row r="8" spans="1:12">
      <c r="A8" s="14"/>
      <c r="B8" s="14"/>
      <c r="C8" s="14" t="s">
        <v>908</v>
      </c>
      <c r="D8" s="14"/>
      <c r="E8" s="14"/>
      <c r="F8" s="14"/>
      <c r="G8" s="14"/>
      <c r="H8" s="14"/>
      <c r="I8" s="14"/>
      <c r="J8" s="14"/>
      <c r="K8" s="14"/>
      <c r="L8" s="14"/>
    </row>
    <row r="9" spans="1:12">
      <c r="A9" s="14" t="s">
        <v>16</v>
      </c>
      <c r="B9" s="14" t="s">
        <v>909</v>
      </c>
      <c r="C9" s="14" t="s">
        <v>905</v>
      </c>
      <c r="D9" s="14"/>
      <c r="E9" s="14"/>
      <c r="F9" s="14"/>
      <c r="G9" s="14"/>
      <c r="H9" s="14"/>
      <c r="I9" s="14"/>
      <c r="J9" s="14"/>
      <c r="K9" s="14"/>
      <c r="L9" s="14"/>
    </row>
    <row r="10" spans="1:12">
      <c r="A10" s="14"/>
      <c r="B10" s="14"/>
      <c r="C10" s="14" t="s">
        <v>904</v>
      </c>
      <c r="D10" s="14"/>
      <c r="E10" s="14"/>
      <c r="F10" s="14"/>
      <c r="G10" s="14"/>
      <c r="H10" s="14"/>
      <c r="I10" s="14"/>
      <c r="J10" s="14"/>
      <c r="K10" s="14"/>
      <c r="L10" s="14"/>
    </row>
    <row r="11" spans="1:12">
      <c r="A11" s="14" t="s">
        <v>16</v>
      </c>
      <c r="B11" s="14" t="s">
        <v>910</v>
      </c>
      <c r="C11" s="14" t="s">
        <v>911</v>
      </c>
      <c r="D11" s="14"/>
      <c r="E11" s="14"/>
      <c r="F11" s="14"/>
      <c r="G11" s="14"/>
      <c r="H11" s="14"/>
      <c r="I11" s="14"/>
      <c r="J11" s="14"/>
      <c r="K11" s="14"/>
      <c r="L11" s="14"/>
    </row>
    <row r="12" spans="1:12">
      <c r="A12" s="14"/>
      <c r="B12" s="14"/>
      <c r="C12" s="14" t="s">
        <v>916</v>
      </c>
      <c r="D12" s="14"/>
      <c r="E12" s="14"/>
      <c r="F12" s="14"/>
      <c r="G12" s="14"/>
      <c r="H12" s="14"/>
      <c r="I12" s="14"/>
      <c r="J12" s="14"/>
      <c r="K12" s="14"/>
      <c r="L12" s="14"/>
    </row>
    <row r="13" spans="1:12">
      <c r="A13" s="14" t="s">
        <v>16</v>
      </c>
      <c r="B13" s="14" t="s">
        <v>911</v>
      </c>
      <c r="C13" s="14" t="s">
        <v>22</v>
      </c>
      <c r="D13" s="14"/>
      <c r="E13" s="1" t="s">
        <v>105</v>
      </c>
      <c r="F13" s="14"/>
      <c r="G13" s="14"/>
      <c r="H13" s="14"/>
      <c r="I13" s="14"/>
      <c r="J13" s="14"/>
      <c r="K13" s="14"/>
      <c r="L13" s="14"/>
    </row>
    <row r="14" spans="1:12">
      <c r="A14" s="14"/>
      <c r="B14" s="14"/>
      <c r="C14" s="14" t="s">
        <v>34</v>
      </c>
      <c r="D14" s="14"/>
      <c r="E14" s="14" t="s">
        <v>106</v>
      </c>
      <c r="F14" s="14"/>
      <c r="G14" s="14"/>
      <c r="H14" s="14"/>
      <c r="I14" s="14"/>
      <c r="J14" s="14"/>
      <c r="K14" s="14"/>
      <c r="L14" s="14"/>
    </row>
    <row r="15" spans="1:12">
      <c r="A15" s="14"/>
      <c r="B15" s="14"/>
      <c r="C15" s="14" t="s">
        <v>411</v>
      </c>
      <c r="D15" s="14"/>
      <c r="E15" s="14" t="s">
        <v>38</v>
      </c>
      <c r="F15" s="14"/>
      <c r="G15" s="14"/>
      <c r="H15" s="14"/>
      <c r="I15" s="14"/>
      <c r="J15" s="14"/>
      <c r="K15" s="14"/>
      <c r="L15" s="14"/>
    </row>
    <row r="16" spans="1:12">
      <c r="A16" s="14"/>
      <c r="B16" s="14"/>
      <c r="C16" s="14" t="s">
        <v>7</v>
      </c>
      <c r="D16" s="14"/>
      <c r="E16" s="14" t="s">
        <v>110</v>
      </c>
      <c r="F16" s="14"/>
      <c r="G16" s="14"/>
      <c r="H16" s="14"/>
      <c r="I16" s="14"/>
      <c r="J16" s="14"/>
      <c r="K16" s="14"/>
      <c r="L16" s="14"/>
    </row>
    <row r="17" spans="1:12">
      <c r="A17" s="14"/>
      <c r="B17" s="14"/>
      <c r="C17" s="14" t="s">
        <v>912</v>
      </c>
      <c r="D17" s="14"/>
      <c r="E17" s="14"/>
      <c r="F17" s="14"/>
      <c r="G17" s="14"/>
      <c r="H17" s="14"/>
      <c r="I17" s="14"/>
      <c r="J17" s="14"/>
      <c r="K17" s="14"/>
      <c r="L17" s="14"/>
    </row>
    <row r="18" spans="1:12">
      <c r="A18" s="14" t="s">
        <v>16</v>
      </c>
      <c r="B18" s="14" t="s">
        <v>916</v>
      </c>
      <c r="C18" s="14" t="s">
        <v>906</v>
      </c>
      <c r="D18" s="14"/>
      <c r="E18" s="14"/>
      <c r="F18" s="14"/>
      <c r="G18" s="14"/>
      <c r="H18" s="14"/>
      <c r="I18" s="14"/>
      <c r="J18" s="14"/>
      <c r="K18" s="14"/>
      <c r="L18" s="14"/>
    </row>
    <row r="19" spans="1:12">
      <c r="A19" s="14" t="s">
        <v>16</v>
      </c>
      <c r="B19" s="14" t="s">
        <v>913</v>
      </c>
      <c r="C19" s="14" t="s">
        <v>904</v>
      </c>
      <c r="D19" s="14"/>
      <c r="E19" s="14" t="s">
        <v>111</v>
      </c>
      <c r="F19" s="14"/>
      <c r="G19" s="14"/>
      <c r="H19" s="14"/>
      <c r="I19" s="14"/>
      <c r="J19" s="14"/>
      <c r="K19" s="14"/>
      <c r="L19" s="14"/>
    </row>
    <row r="20" spans="1:12">
      <c r="A20" s="14"/>
      <c r="B20" s="14"/>
      <c r="C20" s="14" t="s">
        <v>915</v>
      </c>
      <c r="D20" s="14"/>
      <c r="E20" s="14" t="s">
        <v>453</v>
      </c>
      <c r="F20" s="14"/>
      <c r="G20" s="14"/>
      <c r="H20" s="14"/>
      <c r="I20" s="14"/>
      <c r="J20" s="14"/>
      <c r="K20" s="14"/>
      <c r="L20" s="14"/>
    </row>
    <row r="21" spans="1:12">
      <c r="A21" s="14" t="s">
        <v>16</v>
      </c>
      <c r="B21" s="14" t="s">
        <v>914</v>
      </c>
      <c r="C21" s="14" t="s">
        <v>916</v>
      </c>
      <c r="D21" s="14"/>
      <c r="E21" s="14"/>
      <c r="F21" s="14"/>
      <c r="G21" s="14"/>
      <c r="H21" s="14"/>
      <c r="I21" s="14"/>
      <c r="J21" s="14"/>
      <c r="K21" s="14"/>
      <c r="L21" s="14"/>
    </row>
    <row r="22" spans="1:12">
      <c r="A22" s="14"/>
      <c r="B22" s="14"/>
      <c r="C22" s="14" t="s">
        <v>451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>
      <c r="A23" s="14" t="s">
        <v>16</v>
      </c>
      <c r="B23" s="14" t="s">
        <v>410</v>
      </c>
      <c r="C23" s="14" t="s">
        <v>37</v>
      </c>
      <c r="D23" s="14"/>
      <c r="E23" s="14"/>
      <c r="F23" s="14"/>
      <c r="G23" s="14"/>
      <c r="H23" s="14"/>
      <c r="I23" s="14"/>
      <c r="J23" s="14"/>
      <c r="K23" s="14"/>
      <c r="L23" s="14"/>
    </row>
    <row r="24" spans="1:12">
      <c r="A24" s="14"/>
      <c r="B24" s="14"/>
      <c r="C24" s="14" t="s">
        <v>456</v>
      </c>
      <c r="D24" s="14"/>
      <c r="E24" s="14" t="s">
        <v>455</v>
      </c>
      <c r="F24" s="14"/>
      <c r="G24" s="14"/>
      <c r="H24" s="14"/>
      <c r="I24" s="14"/>
      <c r="J24" s="14"/>
      <c r="K24" s="14"/>
      <c r="L24" s="14"/>
    </row>
    <row r="25" spans="1:12">
      <c r="A25" s="14"/>
      <c r="B25" s="14"/>
      <c r="C25" s="14" t="s">
        <v>699</v>
      </c>
      <c r="D25" s="14"/>
      <c r="E25" s="14" t="s">
        <v>700</v>
      </c>
      <c r="F25" s="14"/>
      <c r="G25" s="14"/>
      <c r="H25" s="14"/>
      <c r="I25" s="14"/>
      <c r="J25" s="14"/>
      <c r="K25" s="14"/>
      <c r="L25" s="14"/>
    </row>
    <row r="26" spans="1:12">
      <c r="A26" s="14"/>
      <c r="B26" s="14"/>
      <c r="C26" s="14" t="s">
        <v>27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 t="s">
        <v>16</v>
      </c>
      <c r="B27" s="14" t="s">
        <v>451</v>
      </c>
      <c r="C27" s="14" t="s">
        <v>454</v>
      </c>
      <c r="D27" s="14"/>
      <c r="E27" s="14" t="s">
        <v>455</v>
      </c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 t="s">
        <v>699</v>
      </c>
      <c r="D28" s="14"/>
      <c r="E28" s="14" t="s">
        <v>700</v>
      </c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 t="s">
        <v>27</v>
      </c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6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AF6D-65FC-4068-99C1-7B4C42832D4C}">
  <sheetPr codeName="Sheet17"/>
  <dimension ref="A1:L74"/>
  <sheetViews>
    <sheetView topLeftCell="A16"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6" width="15.28515625" style="14" customWidth="1"/>
    <col min="7" max="7" width="21.140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12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3" spans="1:12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2">
      <c r="C4" s="14" t="s">
        <v>876</v>
      </c>
      <c r="D4" s="15" t="s">
        <v>875</v>
      </c>
      <c r="E4" s="14" t="s">
        <v>719</v>
      </c>
      <c r="F4" s="14">
        <v>0</v>
      </c>
      <c r="G4" s="14" t="s">
        <v>899</v>
      </c>
      <c r="L4" s="14" t="s">
        <v>820</v>
      </c>
    </row>
    <row r="5" spans="1:12">
      <c r="C5" s="14" t="s">
        <v>877</v>
      </c>
      <c r="D5" s="14" t="s">
        <v>761</v>
      </c>
      <c r="E5" s="14" t="s">
        <v>719</v>
      </c>
      <c r="G5" s="14" t="s">
        <v>899</v>
      </c>
      <c r="L5" s="14" t="s">
        <v>820</v>
      </c>
    </row>
    <row r="6" spans="1:12">
      <c r="C6" s="14" t="s">
        <v>878</v>
      </c>
      <c r="G6" s="14" t="s">
        <v>899</v>
      </c>
    </row>
    <row r="7" spans="1:12">
      <c r="C7" s="14" t="s">
        <v>879</v>
      </c>
      <c r="G7" s="14" t="s">
        <v>899</v>
      </c>
    </row>
    <row r="8" spans="1:12">
      <c r="C8" s="14" t="s">
        <v>880</v>
      </c>
      <c r="G8" s="14" t="s">
        <v>899</v>
      </c>
    </row>
    <row r="9" spans="1:12">
      <c r="C9" s="14" t="s">
        <v>881</v>
      </c>
      <c r="G9" s="14" t="s">
        <v>899</v>
      </c>
    </row>
    <row r="10" spans="1:12">
      <c r="E10" s="15" t="s">
        <v>886</v>
      </c>
    </row>
    <row r="11" spans="1:12">
      <c r="D11" s="14" t="s">
        <v>883</v>
      </c>
    </row>
    <row r="12" spans="1:12">
      <c r="D12" s="14" t="s">
        <v>884</v>
      </c>
      <c r="G12" s="15" t="s">
        <v>888</v>
      </c>
    </row>
    <row r="13" spans="1:12">
      <c r="D13" s="14" t="s">
        <v>885</v>
      </c>
    </row>
    <row r="14" spans="1:12">
      <c r="D14" s="14" t="s">
        <v>887</v>
      </c>
    </row>
    <row r="15" spans="1:12">
      <c r="A15" s="14" t="s">
        <v>15</v>
      </c>
      <c r="B15" s="14" t="s">
        <v>645</v>
      </c>
      <c r="C15" s="14" t="s">
        <v>719</v>
      </c>
      <c r="D15" s="14">
        <v>0</v>
      </c>
      <c r="E15" s="14" t="s">
        <v>646</v>
      </c>
    </row>
    <row r="16" spans="1:12">
      <c r="C16" s="14" t="s">
        <v>719</v>
      </c>
      <c r="E16" s="14" t="s">
        <v>703</v>
      </c>
    </row>
    <row r="18" spans="1:10">
      <c r="A18" s="14" t="s">
        <v>15</v>
      </c>
      <c r="B18" s="14" t="s">
        <v>704</v>
      </c>
      <c r="C18" s="14" t="s">
        <v>820</v>
      </c>
      <c r="J18" s="14" t="s">
        <v>820</v>
      </c>
    </row>
    <row r="19" spans="1:10">
      <c r="C19" s="14" t="s">
        <v>820</v>
      </c>
      <c r="E19" s="14" t="s">
        <v>715</v>
      </c>
    </row>
    <row r="21" spans="1:10">
      <c r="A21" s="14" t="s">
        <v>15</v>
      </c>
      <c r="B21" s="16" t="s">
        <v>357</v>
      </c>
      <c r="C21" s="14" t="s">
        <v>252</v>
      </c>
      <c r="D21" s="14" t="s">
        <v>632</v>
      </c>
      <c r="E21" s="16" t="s">
        <v>432</v>
      </c>
    </row>
    <row r="22" spans="1:10">
      <c r="C22" s="14" t="s">
        <v>364</v>
      </c>
      <c r="D22" s="14" t="s">
        <v>748</v>
      </c>
    </row>
    <row r="24" spans="1:10">
      <c r="A24" s="14" t="s">
        <v>15</v>
      </c>
      <c r="B24" s="14" t="s">
        <v>9</v>
      </c>
      <c r="C24" s="14" t="s">
        <v>889</v>
      </c>
      <c r="D24" s="15" t="s">
        <v>875</v>
      </c>
      <c r="E24" s="16" t="s">
        <v>433</v>
      </c>
    </row>
    <row r="26" spans="1:10">
      <c r="A26" s="14" t="s">
        <v>15</v>
      </c>
      <c r="B26" s="14" t="s">
        <v>404</v>
      </c>
      <c r="C26" s="14" t="s">
        <v>405</v>
      </c>
      <c r="E26" s="16" t="s">
        <v>436</v>
      </c>
    </row>
    <row r="27" spans="1:10">
      <c r="E27" s="16"/>
    </row>
    <row r="28" spans="1:10">
      <c r="A28" s="14" t="s">
        <v>16</v>
      </c>
      <c r="B28" s="16" t="s">
        <v>25</v>
      </c>
      <c r="C28" s="14" t="s">
        <v>882</v>
      </c>
      <c r="E28" s="14" t="s">
        <v>148</v>
      </c>
    </row>
    <row r="29" spans="1:10">
      <c r="B29" s="16"/>
      <c r="C29" s="14" t="s">
        <v>896</v>
      </c>
      <c r="D29" s="16"/>
    </row>
    <row r="30" spans="1:10">
      <c r="C30" s="14" t="s">
        <v>637</v>
      </c>
    </row>
    <row r="31" spans="1:10">
      <c r="C31" s="14" t="s">
        <v>856</v>
      </c>
      <c r="E31" s="14" t="s">
        <v>370</v>
      </c>
      <c r="J31" s="14" t="s">
        <v>416</v>
      </c>
    </row>
    <row r="32" spans="1:10">
      <c r="E32" s="14" t="s">
        <v>717</v>
      </c>
    </row>
    <row r="33" spans="1:7">
      <c r="A33" s="14" t="s">
        <v>16</v>
      </c>
      <c r="B33" s="16" t="s">
        <v>637</v>
      </c>
      <c r="C33" s="14" t="s">
        <v>890</v>
      </c>
    </row>
    <row r="34" spans="1:7">
      <c r="C34" s="14" t="s">
        <v>638</v>
      </c>
    </row>
    <row r="35" spans="1:7">
      <c r="A35" s="14" t="s">
        <v>16</v>
      </c>
      <c r="B35" s="14" t="s">
        <v>638</v>
      </c>
      <c r="C35" s="14" t="s">
        <v>891</v>
      </c>
      <c r="E35" s="14" t="s">
        <v>636</v>
      </c>
    </row>
    <row r="37" spans="1:7">
      <c r="A37" s="14" t="s">
        <v>16</v>
      </c>
      <c r="B37" s="16" t="s">
        <v>32</v>
      </c>
      <c r="C37" s="14" t="s">
        <v>894</v>
      </c>
    </row>
    <row r="38" spans="1:7">
      <c r="B38" s="16"/>
      <c r="C38" s="14" t="s">
        <v>895</v>
      </c>
      <c r="E38" s="14" t="s">
        <v>117</v>
      </c>
      <c r="G38" s="14" t="s">
        <v>858</v>
      </c>
    </row>
    <row r="39" spans="1:7">
      <c r="B39" s="16"/>
      <c r="C39" s="14" t="s">
        <v>24</v>
      </c>
    </row>
    <row r="40" spans="1:7">
      <c r="A40" s="14" t="s">
        <v>16</v>
      </c>
      <c r="B40" s="14" t="s">
        <v>892</v>
      </c>
      <c r="C40" s="14" t="s">
        <v>118</v>
      </c>
    </row>
    <row r="41" spans="1:7">
      <c r="A41" s="14" t="s">
        <v>16</v>
      </c>
      <c r="B41" s="14" t="s">
        <v>118</v>
      </c>
      <c r="C41" s="14" t="s">
        <v>422</v>
      </c>
    </row>
    <row r="42" spans="1:7">
      <c r="C42" s="14" t="s">
        <v>859</v>
      </c>
      <c r="E42" s="14" t="s">
        <v>706</v>
      </c>
    </row>
    <row r="43" spans="1:7">
      <c r="C43" s="14" t="s">
        <v>860</v>
      </c>
      <c r="E43" s="14" t="s">
        <v>707</v>
      </c>
    </row>
    <row r="44" spans="1:7">
      <c r="C44" s="14" t="s">
        <v>24</v>
      </c>
    </row>
    <row r="46" spans="1:7">
      <c r="A46" s="14" t="s">
        <v>16</v>
      </c>
      <c r="B46" s="14" t="s">
        <v>897</v>
      </c>
      <c r="C46" s="14" t="s">
        <v>884</v>
      </c>
    </row>
    <row r="47" spans="1:7">
      <c r="C47" s="14" t="s">
        <v>902</v>
      </c>
      <c r="G47" s="14" t="s">
        <v>901</v>
      </c>
    </row>
    <row r="48" spans="1:7">
      <c r="C48" s="14" t="s">
        <v>727</v>
      </c>
    </row>
    <row r="49" spans="1:10">
      <c r="A49" s="14" t="s">
        <v>16</v>
      </c>
      <c r="B49" s="14" t="s">
        <v>898</v>
      </c>
      <c r="C49" s="17" t="s">
        <v>900</v>
      </c>
      <c r="J49" s="17" t="s">
        <v>870</v>
      </c>
    </row>
    <row r="50" spans="1:10">
      <c r="C50" s="17" t="s">
        <v>903</v>
      </c>
      <c r="E50" s="14" t="s">
        <v>64</v>
      </c>
    </row>
    <row r="52" spans="1:10">
      <c r="A52" s="14" t="s">
        <v>16</v>
      </c>
      <c r="B52" s="14" t="s">
        <v>814</v>
      </c>
      <c r="C52" s="14" t="s">
        <v>24</v>
      </c>
    </row>
    <row r="53" spans="1:10">
      <c r="C53" s="14" t="s">
        <v>869</v>
      </c>
      <c r="E53" s="14" t="s">
        <v>711</v>
      </c>
    </row>
    <row r="54" spans="1:10">
      <c r="C54" s="14" t="s">
        <v>868</v>
      </c>
      <c r="E54" s="14" t="s">
        <v>5</v>
      </c>
    </row>
    <row r="55" spans="1:10">
      <c r="C55" s="14" t="s">
        <v>867</v>
      </c>
      <c r="E55" s="14" t="s">
        <v>815</v>
      </c>
    </row>
    <row r="56" spans="1:10">
      <c r="C56" s="14" t="s">
        <v>24</v>
      </c>
    </row>
    <row r="57" spans="1:10">
      <c r="C57" s="14" t="s">
        <v>865</v>
      </c>
    </row>
    <row r="58" spans="1:10">
      <c r="C58" s="14" t="s">
        <v>866</v>
      </c>
    </row>
    <row r="59" spans="1:10">
      <c r="C59" s="14" t="s">
        <v>727</v>
      </c>
    </row>
    <row r="60" spans="1:10">
      <c r="C60" s="17" t="s">
        <v>870</v>
      </c>
      <c r="E60" s="14" t="s">
        <v>64</v>
      </c>
      <c r="J60" s="17"/>
    </row>
    <row r="62" spans="1:10">
      <c r="A62" s="14" t="s">
        <v>16</v>
      </c>
      <c r="B62" s="14" t="s">
        <v>737</v>
      </c>
      <c r="C62" s="14" t="s">
        <v>821</v>
      </c>
    </row>
    <row r="63" spans="1:10">
      <c r="A63" s="17"/>
      <c r="B63" s="17"/>
      <c r="C63" s="14" t="s">
        <v>822</v>
      </c>
      <c r="E63" s="14" t="s">
        <v>774</v>
      </c>
      <c r="J63" s="14" t="s">
        <v>807</v>
      </c>
    </row>
    <row r="64" spans="1:10">
      <c r="C64" s="14" t="s">
        <v>861</v>
      </c>
      <c r="E64" s="14" t="s">
        <v>776</v>
      </c>
      <c r="J64" s="14" t="s">
        <v>813</v>
      </c>
    </row>
    <row r="65" spans="1:10">
      <c r="C65" s="14" t="s">
        <v>862</v>
      </c>
      <c r="E65" s="14" t="s">
        <v>775</v>
      </c>
    </row>
    <row r="67" spans="1:10">
      <c r="A67" s="14" t="s">
        <v>16</v>
      </c>
      <c r="B67" s="14" t="s">
        <v>759</v>
      </c>
      <c r="C67" s="14" t="s">
        <v>740</v>
      </c>
      <c r="E67" s="14" t="s">
        <v>739</v>
      </c>
    </row>
    <row r="69" spans="1:10">
      <c r="A69" s="14" t="s">
        <v>16</v>
      </c>
      <c r="B69" s="14" t="s">
        <v>742</v>
      </c>
      <c r="C69" s="16" t="s">
        <v>863</v>
      </c>
      <c r="E69" s="14" t="s">
        <v>818</v>
      </c>
    </row>
    <row r="70" spans="1:10">
      <c r="C70" s="14" t="s">
        <v>864</v>
      </c>
      <c r="E70" s="14" t="s">
        <v>817</v>
      </c>
    </row>
    <row r="72" spans="1:10">
      <c r="A72" s="14" t="s">
        <v>16</v>
      </c>
      <c r="B72" s="14" t="s">
        <v>744</v>
      </c>
      <c r="C72" s="14" t="s">
        <v>812</v>
      </c>
    </row>
    <row r="74" spans="1:10">
      <c r="A74" s="14" t="s">
        <v>16</v>
      </c>
      <c r="B74" s="14" t="s">
        <v>659</v>
      </c>
      <c r="C74" s="14" t="s">
        <v>813</v>
      </c>
      <c r="J74" s="14" t="s">
        <v>807</v>
      </c>
    </row>
  </sheetData>
  <hyperlinks>
    <hyperlink ref="L38" r:id="rId1" display="url:URL_Dclick_Pages" xr:uid="{A1821755-1F7F-4CDC-8785-E3964F7326F9}"/>
    <hyperlink ref="D4" r:id="rId2" xr:uid="{8407BE35-5B0D-4FB0-BC49-93B084CC44CD}"/>
    <hyperlink ref="E10" r:id="rId3" xr:uid="{573E1C6A-84E0-4C62-979E-98913AEBC06B}"/>
    <hyperlink ref="G12" r:id="rId4" xr:uid="{4CD0472C-A255-4AE6-8FC6-3AB0479EDFD7}"/>
    <hyperlink ref="C33" r:id="rId5" display="url:DCLICK" xr:uid="{D1FF248A-7CE9-44AD-92B6-2EB187F7A09B}"/>
    <hyperlink ref="G38" r:id="rId6" display="url:URL_Dclick_Pages" xr:uid="{927F3434-D855-498C-900A-FA141B77EEE0}"/>
  </hyperlinks>
  <pageMargins left="0.7" right="0.7" top="0.75" bottom="0.75" header="0.3" footer="0.3"/>
  <pageSetup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800</v>
      </c>
      <c r="D2" s="2" t="s">
        <v>783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784</v>
      </c>
    </row>
    <row r="6" spans="1:18">
      <c r="A6" t="s">
        <v>15</v>
      </c>
      <c r="B6" t="s">
        <v>645</v>
      </c>
      <c r="C6" t="s">
        <v>786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799</v>
      </c>
      <c r="L10" t="s">
        <v>705</v>
      </c>
    </row>
    <row r="11" spans="1:18">
      <c r="C11" t="s">
        <v>738</v>
      </c>
    </row>
    <row r="12" spans="1:18">
      <c r="I12" t="b">
        <f>D2=J12</f>
        <v>0</v>
      </c>
      <c r="J12" t="s">
        <v>762</v>
      </c>
    </row>
    <row r="13" spans="1:18">
      <c r="I13" t="b">
        <f>D3=J13</f>
        <v>0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801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801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780</v>
      </c>
      <c r="D26" s="2" t="s">
        <v>781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779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createPDF:imagelist,./Output/Images/,./Output/APAC_Daily_Sales_20230202143957.pdf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20230202143957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782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788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706</v>
      </c>
    </row>
    <row r="81" spans="1:5">
      <c r="C81" t="s">
        <v>658</v>
      </c>
      <c r="E81" t="s">
        <v>707</v>
      </c>
    </row>
    <row r="82" spans="1:5">
      <c r="C82" t="s">
        <v>727</v>
      </c>
    </row>
    <row r="83" spans="1:5">
      <c r="C83" t="s">
        <v>716</v>
      </c>
      <c r="E83" t="s">
        <v>717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708</v>
      </c>
      <c r="C94" t="s">
        <v>431</v>
      </c>
    </row>
    <row r="96" spans="1:5">
      <c r="A96" t="s">
        <v>16</v>
      </c>
      <c r="B96" t="s">
        <v>709</v>
      </c>
      <c r="C96" t="s">
        <v>24</v>
      </c>
    </row>
    <row r="97" spans="1:10">
      <c r="C97" t="s">
        <v>772</v>
      </c>
      <c r="E97" t="s">
        <v>713</v>
      </c>
    </row>
    <row r="98" spans="1:10">
      <c r="C98" t="s">
        <v>773</v>
      </c>
      <c r="E98" t="s">
        <v>712</v>
      </c>
    </row>
    <row r="99" spans="1:10">
      <c r="C99" t="s">
        <v>722</v>
      </c>
      <c r="E99" t="s">
        <v>711</v>
      </c>
    </row>
    <row r="100" spans="1:10">
      <c r="C100" t="s">
        <v>723</v>
      </c>
      <c r="E100" t="s">
        <v>5</v>
      </c>
    </row>
    <row r="101" spans="1:10">
      <c r="C101" t="s">
        <v>724</v>
      </c>
      <c r="E101" t="s">
        <v>714</v>
      </c>
    </row>
    <row r="102" spans="1:10">
      <c r="C102" t="s">
        <v>24</v>
      </c>
    </row>
    <row r="103" spans="1:10">
      <c r="C103" t="s">
        <v>726</v>
      </c>
      <c r="E103" t="s">
        <v>721</v>
      </c>
    </row>
    <row r="104" spans="1:10">
      <c r="C104" t="s">
        <v>725</v>
      </c>
    </row>
    <row r="105" spans="1:10">
      <c r="C105" t="s">
        <v>1</v>
      </c>
      <c r="E105" t="s">
        <v>728</v>
      </c>
    </row>
    <row r="106" spans="1:10">
      <c r="C106" t="s">
        <v>765</v>
      </c>
      <c r="E106" t="s">
        <v>64</v>
      </c>
    </row>
    <row r="108" spans="1:10">
      <c r="A108" t="s">
        <v>16</v>
      </c>
      <c r="B108" t="s">
        <v>737</v>
      </c>
      <c r="C108" t="s">
        <v>743</v>
      </c>
      <c r="E108" t="s">
        <v>774</v>
      </c>
      <c r="J108" t="s">
        <v>740</v>
      </c>
    </row>
    <row r="109" spans="1:10">
      <c r="C109" t="s">
        <v>778</v>
      </c>
      <c r="E109" t="s">
        <v>776</v>
      </c>
    </row>
    <row r="110" spans="1:10">
      <c r="C110" t="s">
        <v>768</v>
      </c>
      <c r="E110" t="s">
        <v>775</v>
      </c>
    </row>
    <row r="113" spans="1:10">
      <c r="A113" t="s">
        <v>16</v>
      </c>
      <c r="B113" t="s">
        <v>710</v>
      </c>
      <c r="C113" t="s">
        <v>718</v>
      </c>
      <c r="F113" t="s">
        <v>705</v>
      </c>
    </row>
    <row r="115" spans="1:10">
      <c r="A115" t="s">
        <v>16</v>
      </c>
      <c r="B115" t="s">
        <v>759</v>
      </c>
      <c r="C115" t="s">
        <v>740</v>
      </c>
      <c r="E115" t="s">
        <v>739</v>
      </c>
      <c r="J115" t="s">
        <v>740</v>
      </c>
    </row>
    <row r="116" spans="1:10">
      <c r="E116" s="11" t="s">
        <v>729</v>
      </c>
      <c r="J116" t="s">
        <v>741</v>
      </c>
    </row>
    <row r="117" spans="1:10">
      <c r="A117" t="s">
        <v>16</v>
      </c>
      <c r="B117" t="s">
        <v>742</v>
      </c>
      <c r="C117" t="s">
        <v>766</v>
      </c>
      <c r="E117" s="11" t="s">
        <v>730</v>
      </c>
    </row>
    <row r="118" spans="1:10">
      <c r="C118" t="s">
        <v>767</v>
      </c>
    </row>
    <row r="119" spans="1:10">
      <c r="E119" s="12" t="s">
        <v>731</v>
      </c>
    </row>
    <row r="121" spans="1:10">
      <c r="A121" t="s">
        <v>16</v>
      </c>
      <c r="B121" t="s">
        <v>744</v>
      </c>
      <c r="C121" t="s">
        <v>745</v>
      </c>
      <c r="E121" s="13" t="s">
        <v>732</v>
      </c>
    </row>
    <row r="122" spans="1:10">
      <c r="E122" s="12"/>
    </row>
    <row r="123" spans="1:10">
      <c r="E123" s="12" t="s">
        <v>733</v>
      </c>
    </row>
    <row r="124" spans="1:10">
      <c r="A124" t="s">
        <v>16</v>
      </c>
      <c r="B124" t="s">
        <v>785</v>
      </c>
      <c r="C124" t="s">
        <v>786</v>
      </c>
    </row>
    <row r="125" spans="1:10">
      <c r="C125" t="s">
        <v>787</v>
      </c>
    </row>
    <row r="126" spans="1:10">
      <c r="C126" t="s">
        <v>789</v>
      </c>
      <c r="E126" t="s">
        <v>734</v>
      </c>
    </row>
    <row r="127" spans="1:10">
      <c r="C127" t="s">
        <v>790</v>
      </c>
    </row>
    <row r="128" spans="1:10">
      <c r="C128" t="s">
        <v>791</v>
      </c>
    </row>
    <row r="129" spans="3:5">
      <c r="C129" t="s">
        <v>338</v>
      </c>
      <c r="E129" t="s">
        <v>735</v>
      </c>
    </row>
    <row r="130" spans="3:5">
      <c r="C130" t="s">
        <v>792</v>
      </c>
    </row>
    <row r="131" spans="3:5">
      <c r="C131" t="s">
        <v>790</v>
      </c>
    </row>
    <row r="132" spans="3:5">
      <c r="C132" t="s">
        <v>793</v>
      </c>
    </row>
    <row r="133" spans="3:5">
      <c r="C133" t="s">
        <v>338</v>
      </c>
    </row>
    <row r="134" spans="3:5">
      <c r="C134" t="s">
        <v>798</v>
      </c>
    </row>
    <row r="135" spans="3:5">
      <c r="C135" t="s">
        <v>790</v>
      </c>
    </row>
    <row r="136" spans="3:5">
      <c r="C136" t="s">
        <v>794</v>
      </c>
    </row>
    <row r="137" spans="3:5">
      <c r="C137" t="s">
        <v>338</v>
      </c>
    </row>
    <row r="138" spans="3:5">
      <c r="C138" t="s">
        <v>795</v>
      </c>
    </row>
    <row r="139" spans="3:5">
      <c r="C139" t="s">
        <v>727</v>
      </c>
    </row>
    <row r="140" spans="3:5">
      <c r="C140" t="s">
        <v>796</v>
      </c>
    </row>
    <row r="141" spans="3:5">
      <c r="C141" t="s">
        <v>797</v>
      </c>
    </row>
    <row r="142" spans="3:5">
      <c r="C142" t="s">
        <v>727</v>
      </c>
    </row>
    <row r="143" spans="3:5">
      <c r="C143" t="s">
        <v>802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topLeftCell="A4" workbookViewId="0">
      <selection activeCell="C30" sqref="C3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823</v>
      </c>
      <c r="D2" s="15" t="s">
        <v>824</v>
      </c>
      <c r="E2" s="14" t="s">
        <v>825</v>
      </c>
    </row>
    <row r="4" spans="1:5">
      <c r="A4" s="14" t="s">
        <v>15</v>
      </c>
      <c r="B4" s="14" t="s">
        <v>645</v>
      </c>
      <c r="C4" s="14" t="s">
        <v>786</v>
      </c>
      <c r="D4" s="14">
        <v>0</v>
      </c>
      <c r="E4" s="14" t="s">
        <v>646</v>
      </c>
    </row>
    <row r="6" spans="1:5">
      <c r="A6" s="14" t="s">
        <v>15</v>
      </c>
      <c r="B6" s="14" t="s">
        <v>704</v>
      </c>
      <c r="C6" s="14" t="s">
        <v>826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827</v>
      </c>
      <c r="E8" s="14"/>
    </row>
    <row r="9" spans="1:5">
      <c r="A9" s="14"/>
      <c r="B9" s="16"/>
      <c r="C9" s="14" t="s">
        <v>828</v>
      </c>
      <c r="D9" s="14" t="s">
        <v>829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780</v>
      </c>
      <c r="D12" s="15" t="s">
        <v>781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779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782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788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706</v>
      </c>
    </row>
    <row r="30" spans="1:5">
      <c r="A30" s="14"/>
      <c r="B30" s="14"/>
      <c r="C30" s="14" t="s">
        <v>830</v>
      </c>
      <c r="D30" s="14"/>
      <c r="E30" s="14" t="s">
        <v>707</v>
      </c>
    </row>
    <row r="31" spans="1:5">
      <c r="A31" s="14"/>
      <c r="B31" s="14"/>
      <c r="C31" s="14" t="s">
        <v>716</v>
      </c>
      <c r="D31" s="14"/>
      <c r="E31" s="14" t="s">
        <v>717</v>
      </c>
    </row>
    <row r="33" spans="1:11">
      <c r="A33" s="14" t="s">
        <v>16</v>
      </c>
      <c r="B33" s="14" t="s">
        <v>785</v>
      </c>
      <c r="C33" s="14" t="s">
        <v>786</v>
      </c>
      <c r="D33" s="14"/>
      <c r="E33" s="14"/>
    </row>
    <row r="34" spans="1:11">
      <c r="A34" s="14"/>
      <c r="B34" s="14"/>
      <c r="C34" s="14" t="s">
        <v>831</v>
      </c>
      <c r="D34" s="14"/>
      <c r="E34" s="14"/>
    </row>
    <row r="35" spans="1:11">
      <c r="A35" s="14"/>
      <c r="B35" s="14"/>
      <c r="C35" s="14" t="s">
        <v>792</v>
      </c>
      <c r="D35" s="14"/>
      <c r="E35" s="14"/>
    </row>
    <row r="36" spans="1:11">
      <c r="A36" s="14"/>
      <c r="B36" s="14"/>
      <c r="C36" s="14" t="s">
        <v>790</v>
      </c>
      <c r="D36" s="14"/>
      <c r="E36" s="14"/>
    </row>
    <row r="37" spans="1:11">
      <c r="A37" s="14"/>
      <c r="B37" s="14"/>
      <c r="C37" s="14" t="s">
        <v>832</v>
      </c>
      <c r="D37" s="14"/>
      <c r="E37" s="14"/>
    </row>
    <row r="38" spans="1:11">
      <c r="A38" s="14"/>
      <c r="B38" s="14"/>
      <c r="C38" s="14" t="s">
        <v>833</v>
      </c>
      <c r="D38" s="14"/>
      <c r="E38" s="14"/>
    </row>
    <row r="39" spans="1:11">
      <c r="A39" s="14"/>
      <c r="B39" s="14"/>
      <c r="C39" s="14" t="s">
        <v>834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835</v>
      </c>
      <c r="D41" s="14"/>
      <c r="E41" s="14"/>
    </row>
    <row r="42" spans="1:11">
      <c r="A42" s="14"/>
      <c r="B42" s="14"/>
      <c r="C42" s="14" t="s">
        <v>836</v>
      </c>
      <c r="D42" s="14"/>
      <c r="E42" s="14"/>
    </row>
    <row r="43" spans="1:11">
      <c r="A43" s="14"/>
      <c r="B43" s="14"/>
      <c r="C43" s="14" t="s">
        <v>837</v>
      </c>
      <c r="D43" s="14"/>
      <c r="E43" s="14"/>
    </row>
    <row r="44" spans="1:11">
      <c r="A44" s="14"/>
      <c r="B44" s="14"/>
      <c r="C44" s="14" t="s">
        <v>838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795</v>
      </c>
      <c r="D47" s="14"/>
      <c r="E47" s="14"/>
    </row>
    <row r="48" spans="1:11">
      <c r="A48" s="14"/>
      <c r="B48" s="14"/>
      <c r="C48" s="14" t="s">
        <v>839</v>
      </c>
      <c r="D48" s="14"/>
      <c r="E48" s="14" t="s">
        <v>840</v>
      </c>
      <c r="K48" s="4"/>
    </row>
    <row r="49" spans="1:10">
      <c r="A49" s="14"/>
      <c r="B49" s="14"/>
      <c r="C49" s="14" t="s">
        <v>796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797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841</v>
      </c>
      <c r="D51" s="14"/>
      <c r="E51" s="14"/>
      <c r="F51" s="14" t="s">
        <v>842</v>
      </c>
      <c r="G51" s="14" t="s">
        <v>843</v>
      </c>
      <c r="H51" s="14"/>
      <c r="I51" s="14"/>
      <c r="J51" s="14"/>
    </row>
    <row r="52" spans="1:10">
      <c r="A52" s="14"/>
      <c r="B52" s="14"/>
      <c r="C52" s="14" t="s">
        <v>844</v>
      </c>
      <c r="D52" s="14"/>
      <c r="E52" s="14" t="s">
        <v>845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846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847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737</v>
      </c>
      <c r="C57" s="14" t="s">
        <v>743</v>
      </c>
      <c r="D57" s="14"/>
      <c r="E57" s="14" t="s">
        <v>774</v>
      </c>
      <c r="F57" s="14"/>
      <c r="G57" s="14"/>
      <c r="H57" s="14"/>
      <c r="I57" s="14"/>
      <c r="J57" s="14" t="s">
        <v>740</v>
      </c>
    </row>
    <row r="58" spans="1:10">
      <c r="A58" s="14"/>
      <c r="B58" s="14"/>
      <c r="C58" s="14" t="s">
        <v>778</v>
      </c>
      <c r="D58" s="14"/>
      <c r="E58" s="14" t="s">
        <v>776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768</v>
      </c>
      <c r="D59" s="14"/>
      <c r="E59" s="14" t="s">
        <v>775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1"/>
  <sheetViews>
    <sheetView workbookViewId="0">
      <selection activeCell="C35" sqref="C3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0">
      <c r="C4" t="s">
        <v>763</v>
      </c>
      <c r="D4" t="s">
        <v>762</v>
      </c>
      <c r="E4" s="14" t="s">
        <v>719</v>
      </c>
      <c r="F4" s="14">
        <v>0</v>
      </c>
      <c r="G4" s="14" t="s">
        <v>820</v>
      </c>
    </row>
    <row r="5" spans="1:10">
      <c r="C5" t="s">
        <v>764</v>
      </c>
      <c r="D5" t="s">
        <v>761</v>
      </c>
      <c r="E5" s="14" t="s">
        <v>719</v>
      </c>
      <c r="F5" s="14"/>
      <c r="G5" s="14" t="s">
        <v>820</v>
      </c>
    </row>
    <row r="8" spans="1:10">
      <c r="A8" t="s">
        <v>15</v>
      </c>
      <c r="B8" t="s">
        <v>645</v>
      </c>
      <c r="C8" t="s">
        <v>719</v>
      </c>
      <c r="D8">
        <v>0</v>
      </c>
      <c r="E8" t="s">
        <v>646</v>
      </c>
    </row>
    <row r="9" spans="1:10">
      <c r="C9" t="s">
        <v>719</v>
      </c>
      <c r="E9" t="s">
        <v>703</v>
      </c>
    </row>
    <row r="11" spans="1:10">
      <c r="A11" t="s">
        <v>15</v>
      </c>
      <c r="B11" t="s">
        <v>704</v>
      </c>
      <c r="C11" t="s">
        <v>820</v>
      </c>
      <c r="J11" t="s">
        <v>820</v>
      </c>
    </row>
    <row r="12" spans="1:10">
      <c r="C12" t="s">
        <v>820</v>
      </c>
      <c r="E12" t="s">
        <v>715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748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760</v>
      </c>
      <c r="E21" t="s">
        <v>148</v>
      </c>
    </row>
    <row r="22" spans="1:10">
      <c r="B22" s="3"/>
      <c r="C22" s="14" t="s">
        <v>851</v>
      </c>
      <c r="D22" s="3"/>
    </row>
    <row r="23" spans="1:10">
      <c r="C23" t="s">
        <v>637</v>
      </c>
    </row>
    <row r="24" spans="1:10">
      <c r="C24" t="s">
        <v>856</v>
      </c>
      <c r="E24" t="s">
        <v>370</v>
      </c>
      <c r="J24" t="s">
        <v>416</v>
      </c>
    </row>
    <row r="25" spans="1:10">
      <c r="E25" t="s">
        <v>717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858</v>
      </c>
      <c r="E31" t="s">
        <v>117</v>
      </c>
    </row>
    <row r="32" spans="1:10">
      <c r="C32" t="s">
        <v>118</v>
      </c>
    </row>
    <row r="33" spans="1:5">
      <c r="A33" t="s">
        <v>16</v>
      </c>
      <c r="B33" t="s">
        <v>118</v>
      </c>
      <c r="C33" t="s">
        <v>422</v>
      </c>
    </row>
    <row r="34" spans="1:5">
      <c r="C34" t="s">
        <v>859</v>
      </c>
      <c r="E34" t="s">
        <v>706</v>
      </c>
    </row>
    <row r="35" spans="1:5">
      <c r="C35" t="s">
        <v>860</v>
      </c>
      <c r="E35" t="s">
        <v>707</v>
      </c>
    </row>
    <row r="36" spans="1:5">
      <c r="C36" t="s">
        <v>24</v>
      </c>
    </row>
    <row r="39" spans="1:5">
      <c r="A39" t="s">
        <v>16</v>
      </c>
      <c r="B39" t="s">
        <v>814</v>
      </c>
      <c r="C39" t="s">
        <v>24</v>
      </c>
    </row>
    <row r="40" spans="1:5">
      <c r="C40" t="s">
        <v>869</v>
      </c>
      <c r="E40" t="s">
        <v>711</v>
      </c>
    </row>
    <row r="41" spans="1:5">
      <c r="C41" t="s">
        <v>868</v>
      </c>
      <c r="E41" t="s">
        <v>5</v>
      </c>
    </row>
    <row r="42" spans="1:5">
      <c r="C42" t="s">
        <v>867</v>
      </c>
      <c r="E42" t="s">
        <v>815</v>
      </c>
    </row>
    <row r="43" spans="1:5">
      <c r="C43" t="s">
        <v>24</v>
      </c>
    </row>
    <row r="44" spans="1:5">
      <c r="C44" t="s">
        <v>865</v>
      </c>
    </row>
    <row r="45" spans="1:5">
      <c r="C45" t="s">
        <v>866</v>
      </c>
    </row>
    <row r="46" spans="1:5">
      <c r="C46" t="s">
        <v>727</v>
      </c>
    </row>
    <row r="47" spans="1:5">
      <c r="C47" s="17" t="s">
        <v>870</v>
      </c>
      <c r="E47" t="s">
        <v>64</v>
      </c>
    </row>
    <row r="49" spans="1:10">
      <c r="A49" t="s">
        <v>16</v>
      </c>
      <c r="B49" t="s">
        <v>737</v>
      </c>
      <c r="C49" t="s">
        <v>821</v>
      </c>
    </row>
    <row r="50" spans="1:10">
      <c r="A50" s="17"/>
      <c r="B50" s="17"/>
      <c r="C50" t="s">
        <v>822</v>
      </c>
      <c r="E50" t="s">
        <v>774</v>
      </c>
      <c r="J50" t="s">
        <v>807</v>
      </c>
    </row>
    <row r="51" spans="1:10">
      <c r="C51" t="s">
        <v>861</v>
      </c>
      <c r="E51" t="s">
        <v>776</v>
      </c>
      <c r="J51" t="s">
        <v>813</v>
      </c>
    </row>
    <row r="52" spans="1:10">
      <c r="C52" t="s">
        <v>862</v>
      </c>
      <c r="E52" t="s">
        <v>775</v>
      </c>
    </row>
    <row r="54" spans="1:10">
      <c r="A54" t="s">
        <v>16</v>
      </c>
      <c r="B54" t="s">
        <v>759</v>
      </c>
      <c r="C54" t="s">
        <v>740</v>
      </c>
      <c r="E54" t="s">
        <v>739</v>
      </c>
    </row>
    <row r="56" spans="1:10">
      <c r="A56" t="s">
        <v>16</v>
      </c>
      <c r="B56" t="s">
        <v>742</v>
      </c>
      <c r="C56" s="3" t="s">
        <v>863</v>
      </c>
      <c r="E56" t="s">
        <v>818</v>
      </c>
    </row>
    <row r="57" spans="1:10">
      <c r="C57" t="s">
        <v>864</v>
      </c>
      <c r="E57" t="s">
        <v>817</v>
      </c>
    </row>
    <row r="59" spans="1:10">
      <c r="A59" t="s">
        <v>16</v>
      </c>
      <c r="B59" t="s">
        <v>744</v>
      </c>
      <c r="C59" t="s">
        <v>812</v>
      </c>
    </row>
    <row r="61" spans="1:10">
      <c r="A61" t="s">
        <v>16</v>
      </c>
      <c r="B61" t="s">
        <v>659</v>
      </c>
      <c r="C61" t="s">
        <v>813</v>
      </c>
      <c r="J61" t="s">
        <v>807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763</v>
      </c>
      <c r="D2" s="14" t="s">
        <v>762</v>
      </c>
      <c r="E2" s="14" t="s">
        <v>92</v>
      </c>
    </row>
    <row r="3" spans="1:10">
      <c r="C3" s="14" t="s">
        <v>764</v>
      </c>
      <c r="D3" s="14" t="s">
        <v>761</v>
      </c>
      <c r="E3" s="14" t="s">
        <v>92</v>
      </c>
    </row>
    <row r="6" spans="1:10">
      <c r="A6" s="14" t="s">
        <v>15</v>
      </c>
      <c r="B6" s="14" t="s">
        <v>645</v>
      </c>
      <c r="C6" s="14" t="s">
        <v>719</v>
      </c>
      <c r="D6" s="14">
        <v>0</v>
      </c>
      <c r="E6" s="14" t="s">
        <v>646</v>
      </c>
    </row>
    <row r="7" spans="1:10">
      <c r="C7" s="14" t="s">
        <v>719</v>
      </c>
      <c r="E7" s="14" t="s">
        <v>703</v>
      </c>
    </row>
    <row r="9" spans="1:10">
      <c r="A9" s="14" t="s">
        <v>15</v>
      </c>
      <c r="B9" s="14" t="s">
        <v>704</v>
      </c>
      <c r="C9" s="14" t="s">
        <v>820</v>
      </c>
      <c r="J9" s="14" t="s">
        <v>820</v>
      </c>
    </row>
    <row r="10" spans="1:10">
      <c r="C10" s="14" t="s">
        <v>820</v>
      </c>
      <c r="E10" s="14" t="s">
        <v>715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748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760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819</v>
      </c>
      <c r="E22" s="14" t="s">
        <v>370</v>
      </c>
      <c r="J22" s="14" t="s">
        <v>416</v>
      </c>
    </row>
    <row r="23" spans="1:10">
      <c r="E23" s="14" t="s">
        <v>717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706</v>
      </c>
    </row>
    <row r="33" spans="1:10">
      <c r="C33" s="14" t="s">
        <v>658</v>
      </c>
      <c r="E33" s="14" t="s">
        <v>707</v>
      </c>
    </row>
    <row r="34" spans="1:10">
      <c r="C34" s="14" t="s">
        <v>24</v>
      </c>
    </row>
    <row r="37" spans="1:10">
      <c r="A37" s="14" t="s">
        <v>16</v>
      </c>
      <c r="B37" s="14" t="s">
        <v>814</v>
      </c>
      <c r="C37" s="14" t="s">
        <v>24</v>
      </c>
    </row>
    <row r="38" spans="1:10">
      <c r="C38" s="14" t="s">
        <v>722</v>
      </c>
      <c r="E38" s="14" t="s">
        <v>711</v>
      </c>
    </row>
    <row r="39" spans="1:10">
      <c r="C39" s="14" t="s">
        <v>723</v>
      </c>
      <c r="E39" s="14" t="s">
        <v>5</v>
      </c>
    </row>
    <row r="40" spans="1:10">
      <c r="C40" s="14" t="s">
        <v>808</v>
      </c>
      <c r="E40" s="14" t="s">
        <v>815</v>
      </c>
    </row>
    <row r="41" spans="1:10">
      <c r="C41" s="14" t="s">
        <v>24</v>
      </c>
    </row>
    <row r="42" spans="1:10">
      <c r="C42" s="14" t="s">
        <v>726</v>
      </c>
    </row>
    <row r="43" spans="1:10">
      <c r="C43" s="14" t="s">
        <v>725</v>
      </c>
    </row>
    <row r="44" spans="1:10">
      <c r="C44" s="14" t="s">
        <v>727</v>
      </c>
    </row>
    <row r="45" spans="1:10">
      <c r="C45" s="14" t="s">
        <v>809</v>
      </c>
      <c r="E45" s="14" t="s">
        <v>64</v>
      </c>
    </row>
    <row r="47" spans="1:10">
      <c r="A47" s="14" t="s">
        <v>16</v>
      </c>
      <c r="B47" s="14" t="s">
        <v>737</v>
      </c>
      <c r="C47" s="14" t="s">
        <v>821</v>
      </c>
    </row>
    <row r="48" spans="1:10">
      <c r="C48" s="14" t="s">
        <v>822</v>
      </c>
      <c r="E48" s="14" t="s">
        <v>774</v>
      </c>
      <c r="J48" s="14" t="s">
        <v>807</v>
      </c>
    </row>
    <row r="49" spans="1:10">
      <c r="C49" s="14" t="s">
        <v>806</v>
      </c>
      <c r="E49" s="14" t="s">
        <v>776</v>
      </c>
      <c r="J49" s="14" t="s">
        <v>813</v>
      </c>
    </row>
    <row r="50" spans="1:10">
      <c r="C50" s="14" t="s">
        <v>805</v>
      </c>
      <c r="E50" s="14" t="s">
        <v>775</v>
      </c>
    </row>
    <row r="52" spans="1:10">
      <c r="A52" s="14" t="s">
        <v>16</v>
      </c>
      <c r="B52" s="14" t="s">
        <v>759</v>
      </c>
      <c r="C52" s="14" t="s">
        <v>740</v>
      </c>
      <c r="E52" s="14" t="s">
        <v>739</v>
      </c>
    </row>
    <row r="54" spans="1:10">
      <c r="A54" s="14" t="s">
        <v>16</v>
      </c>
      <c r="B54" s="14" t="s">
        <v>742</v>
      </c>
      <c r="C54" s="16" t="s">
        <v>804</v>
      </c>
      <c r="E54" s="14" t="s">
        <v>818</v>
      </c>
    </row>
    <row r="55" spans="1:10">
      <c r="C55" s="14" t="s">
        <v>803</v>
      </c>
      <c r="E55" s="14" t="s">
        <v>817</v>
      </c>
    </row>
    <row r="57" spans="1:10">
      <c r="A57" s="14" t="s">
        <v>16</v>
      </c>
      <c r="B57" s="14" t="s">
        <v>744</v>
      </c>
      <c r="C57" s="14" t="s">
        <v>812</v>
      </c>
    </row>
    <row r="59" spans="1:10">
      <c r="A59" s="14" t="s">
        <v>16</v>
      </c>
      <c r="B59" s="14" t="s">
        <v>659</v>
      </c>
      <c r="C59" s="14" t="s">
        <v>813</v>
      </c>
      <c r="J59" s="14" t="s">
        <v>807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702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738</v>
      </c>
      <c r="L10" t="s">
        <v>705</v>
      </c>
    </row>
    <row r="11" spans="1:18">
      <c r="C11" t="s">
        <v>738</v>
      </c>
    </row>
    <row r="12" spans="1:18">
      <c r="C12" t="s">
        <v>708</v>
      </c>
      <c r="I12" t="b">
        <f>D2=J12</f>
        <v>1</v>
      </c>
      <c r="J12" t="s">
        <v>762</v>
      </c>
    </row>
    <row r="13" spans="1:18">
      <c r="C13" t="s">
        <v>708</v>
      </c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createPDF:imagelist,./Output/Images/,./Output/APAC_Daily_Sales_20230202143957.pdf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20230202143957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720</v>
      </c>
      <c r="E96" t="s">
        <v>713</v>
      </c>
    </row>
    <row r="97" spans="1:10">
      <c r="C97" t="s">
        <v>340</v>
      </c>
      <c r="E97" t="s">
        <v>712</v>
      </c>
    </row>
    <row r="98" spans="1:10">
      <c r="C98" t="s">
        <v>722</v>
      </c>
      <c r="E98" t="s">
        <v>711</v>
      </c>
    </row>
    <row r="99" spans="1:10">
      <c r="C99" t="s">
        <v>723</v>
      </c>
      <c r="E99" t="s">
        <v>5</v>
      </c>
    </row>
    <row r="100" spans="1:10">
      <c r="C100" t="s">
        <v>724</v>
      </c>
      <c r="E100" t="s">
        <v>714</v>
      </c>
    </row>
    <row r="101" spans="1:10">
      <c r="C101" t="s">
        <v>24</v>
      </c>
    </row>
    <row r="102" spans="1:10">
      <c r="C102" t="s">
        <v>726</v>
      </c>
      <c r="E102" t="s">
        <v>721</v>
      </c>
    </row>
    <row r="103" spans="1:10">
      <c r="C103" t="s">
        <v>725</v>
      </c>
    </row>
    <row r="104" spans="1:10">
      <c r="C104" t="s">
        <v>1</v>
      </c>
      <c r="E104" t="s">
        <v>728</v>
      </c>
    </row>
    <row r="105" spans="1:10">
      <c r="C105" t="s">
        <v>765</v>
      </c>
      <c r="E105" t="s">
        <v>64</v>
      </c>
    </row>
    <row r="107" spans="1:10">
      <c r="A107" t="s">
        <v>16</v>
      </c>
      <c r="B107" t="s">
        <v>737</v>
      </c>
      <c r="C107" t="s">
        <v>743</v>
      </c>
      <c r="J107" t="s">
        <v>740</v>
      </c>
    </row>
    <row r="108" spans="1:10">
      <c r="C108" t="s">
        <v>768</v>
      </c>
    </row>
    <row r="112" spans="1:10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766</v>
      </c>
      <c r="E116" s="11" t="s">
        <v>730</v>
      </c>
    </row>
    <row r="117" spans="1:10">
      <c r="C117" t="s">
        <v>767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75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810</v>
      </c>
      <c r="E10" t="s">
        <v>811</v>
      </c>
      <c r="L10" t="s">
        <v>705</v>
      </c>
    </row>
    <row r="11" spans="1:18">
      <c r="C11" t="s">
        <v>810</v>
      </c>
    </row>
    <row r="12" spans="1:18">
      <c r="I12" t="b">
        <f>D2=J12</f>
        <v>1</v>
      </c>
      <c r="J12" t="s">
        <v>762</v>
      </c>
    </row>
    <row r="13" spans="1:18"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createPDF:imagelist,./Output/Images/,./Output/APAC_Daily_Sales_20230202143957.pdf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20230202143957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772</v>
      </c>
      <c r="E96" t="s">
        <v>713</v>
      </c>
    </row>
    <row r="97" spans="1:12">
      <c r="C97" t="s">
        <v>773</v>
      </c>
      <c r="E97" t="s">
        <v>712</v>
      </c>
    </row>
    <row r="98" spans="1:12">
      <c r="C98" t="s">
        <v>722</v>
      </c>
      <c r="E98" t="s">
        <v>711</v>
      </c>
    </row>
    <row r="99" spans="1:12">
      <c r="C99" t="s">
        <v>723</v>
      </c>
      <c r="E99" t="s">
        <v>5</v>
      </c>
    </row>
    <row r="100" spans="1:12">
      <c r="C100" t="s">
        <v>808</v>
      </c>
      <c r="E100" t="s">
        <v>714</v>
      </c>
      <c r="G100" t="s">
        <v>724</v>
      </c>
    </row>
    <row r="101" spans="1:12">
      <c r="C101" t="s">
        <v>24</v>
      </c>
    </row>
    <row r="102" spans="1:12">
      <c r="C102" t="s">
        <v>726</v>
      </c>
      <c r="E102" t="s">
        <v>721</v>
      </c>
    </row>
    <row r="103" spans="1:12">
      <c r="C103" t="s">
        <v>725</v>
      </c>
    </row>
    <row r="104" spans="1:12">
      <c r="C104" t="s">
        <v>1</v>
      </c>
      <c r="E104" t="s">
        <v>728</v>
      </c>
    </row>
    <row r="105" spans="1:12">
      <c r="C105" t="s">
        <v>809</v>
      </c>
      <c r="E105" t="s">
        <v>64</v>
      </c>
      <c r="L105" t="s">
        <v>765</v>
      </c>
    </row>
    <row r="107" spans="1:12">
      <c r="A107" t="s">
        <v>16</v>
      </c>
      <c r="B107" t="s">
        <v>737</v>
      </c>
      <c r="C107" t="s">
        <v>807</v>
      </c>
      <c r="E107" t="s">
        <v>774</v>
      </c>
      <c r="J107" t="s">
        <v>740</v>
      </c>
    </row>
    <row r="108" spans="1:12">
      <c r="C108" t="s">
        <v>806</v>
      </c>
      <c r="E108" t="s">
        <v>776</v>
      </c>
    </row>
    <row r="109" spans="1:12">
      <c r="C109" t="s">
        <v>805</v>
      </c>
      <c r="E109" t="s">
        <v>775</v>
      </c>
    </row>
    <row r="112" spans="1:12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803</v>
      </c>
      <c r="E116" s="11" t="s">
        <v>730</v>
      </c>
    </row>
    <row r="117" spans="1:10">
      <c r="C117" t="s">
        <v>804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A122" t="s">
        <v>16</v>
      </c>
      <c r="B122" t="s">
        <v>25</v>
      </c>
      <c r="C122" t="s">
        <v>807</v>
      </c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763</v>
      </c>
      <c r="D2" t="s">
        <v>762</v>
      </c>
      <c r="E2" t="s">
        <v>92</v>
      </c>
    </row>
    <row r="3" spans="1:10">
      <c r="C3" t="s">
        <v>764</v>
      </c>
      <c r="D3" t="s">
        <v>761</v>
      </c>
      <c r="E3" t="s">
        <v>92</v>
      </c>
    </row>
    <row r="6" spans="1:10">
      <c r="A6" t="s">
        <v>15</v>
      </c>
      <c r="B6" t="s">
        <v>645</v>
      </c>
      <c r="C6" t="s">
        <v>719</v>
      </c>
      <c r="D6">
        <v>0</v>
      </c>
      <c r="E6" t="s">
        <v>646</v>
      </c>
    </row>
    <row r="7" spans="1:10">
      <c r="C7" t="s">
        <v>719</v>
      </c>
      <c r="E7" t="s">
        <v>703</v>
      </c>
    </row>
    <row r="9" spans="1:10">
      <c r="A9" t="s">
        <v>15</v>
      </c>
      <c r="B9" t="s">
        <v>704</v>
      </c>
      <c r="C9" t="s">
        <v>820</v>
      </c>
      <c r="J9" t="s">
        <v>820</v>
      </c>
    </row>
    <row r="10" spans="1:10">
      <c r="C10" t="s">
        <v>820</v>
      </c>
      <c r="E10" t="s">
        <v>715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748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760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819</v>
      </c>
      <c r="E22" t="s">
        <v>370</v>
      </c>
      <c r="J22" t="s">
        <v>416</v>
      </c>
    </row>
    <row r="23" spans="1:10">
      <c r="E23" t="s">
        <v>717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706</v>
      </c>
    </row>
    <row r="33" spans="1:10">
      <c r="C33" t="s">
        <v>658</v>
      </c>
      <c r="E33" t="s">
        <v>707</v>
      </c>
    </row>
    <row r="34" spans="1:10">
      <c r="C34" t="s">
        <v>24</v>
      </c>
    </row>
    <row r="37" spans="1:10">
      <c r="A37" t="s">
        <v>16</v>
      </c>
      <c r="B37" t="s">
        <v>814</v>
      </c>
      <c r="C37" t="s">
        <v>24</v>
      </c>
    </row>
    <row r="38" spans="1:10">
      <c r="C38" t="s">
        <v>722</v>
      </c>
      <c r="E38" t="s">
        <v>711</v>
      </c>
    </row>
    <row r="39" spans="1:10">
      <c r="C39" t="s">
        <v>723</v>
      </c>
      <c r="E39" t="s">
        <v>5</v>
      </c>
    </row>
    <row r="40" spans="1:10">
      <c r="C40" t="s">
        <v>808</v>
      </c>
      <c r="E40" t="s">
        <v>815</v>
      </c>
    </row>
    <row r="41" spans="1:10">
      <c r="C41" t="s">
        <v>24</v>
      </c>
    </row>
    <row r="42" spans="1:10">
      <c r="C42" t="s">
        <v>726</v>
      </c>
    </row>
    <row r="43" spans="1:10">
      <c r="C43" t="s">
        <v>725</v>
      </c>
    </row>
    <row r="44" spans="1:10">
      <c r="C44" t="s">
        <v>727</v>
      </c>
    </row>
    <row r="45" spans="1:10">
      <c r="C45" t="s">
        <v>809</v>
      </c>
      <c r="E45" t="s">
        <v>64</v>
      </c>
    </row>
    <row r="47" spans="1:10">
      <c r="A47" t="s">
        <v>16</v>
      </c>
      <c r="B47" t="s">
        <v>737</v>
      </c>
      <c r="C47" t="s">
        <v>821</v>
      </c>
    </row>
    <row r="48" spans="1:10">
      <c r="C48" t="s">
        <v>816</v>
      </c>
      <c r="E48" t="s">
        <v>774</v>
      </c>
      <c r="J48" t="s">
        <v>807</v>
      </c>
    </row>
    <row r="49" spans="1:10">
      <c r="C49" t="s">
        <v>778</v>
      </c>
      <c r="E49" t="s">
        <v>776</v>
      </c>
      <c r="J49" t="s">
        <v>813</v>
      </c>
    </row>
    <row r="50" spans="1:10">
      <c r="C50" t="s">
        <v>768</v>
      </c>
      <c r="E50" t="s">
        <v>775</v>
      </c>
    </row>
    <row r="52" spans="1:10">
      <c r="A52" t="s">
        <v>16</v>
      </c>
      <c r="B52" t="s">
        <v>759</v>
      </c>
      <c r="C52" t="s">
        <v>740</v>
      </c>
      <c r="E52" t="s">
        <v>739</v>
      </c>
    </row>
    <row r="54" spans="1:10">
      <c r="A54" t="s">
        <v>16</v>
      </c>
      <c r="B54" t="s">
        <v>742</v>
      </c>
      <c r="C54" t="s">
        <v>767</v>
      </c>
      <c r="E54" t="s">
        <v>818</v>
      </c>
    </row>
    <row r="55" spans="1:10">
      <c r="C55" t="s">
        <v>803</v>
      </c>
      <c r="E55" t="s">
        <v>817</v>
      </c>
    </row>
    <row r="57" spans="1:10">
      <c r="A57" t="s">
        <v>16</v>
      </c>
      <c r="B57" t="s">
        <v>744</v>
      </c>
      <c r="C57" t="s">
        <v>812</v>
      </c>
    </row>
    <row r="59" spans="1:10">
      <c r="A59" t="s">
        <v>16</v>
      </c>
      <c r="B59" t="s">
        <v>659</v>
      </c>
      <c r="C59" t="s">
        <v>813</v>
      </c>
      <c r="J59" t="s">
        <v>807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82" workbookViewId="0">
      <selection activeCell="D55" sqref="D5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754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749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createPDF:imagelist,./Output/Images/,./Output/APAC_Daily_Sales_20230202143957.pdf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20230202143957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750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751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workbookViewId="0">
      <selection activeCell="C428" sqref="C428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752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753</v>
      </c>
      <c r="G426" t="s">
        <v>686</v>
      </c>
    </row>
    <row r="427" spans="1:7">
      <c r="G427" t="s">
        <v>753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D5" sqref="D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createPDF:imagelist,./Output/Images/,./Output/APAC_Daily_Sales_20230202143957.pdf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20230202143957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createPDF:imagelist,./Output/Images/,./Output/APAC_Daily_Sales_20230202143957.pdf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20230202143957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852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853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createPDF:imagelist,./Output/Images/,./Output/APAC_Daily_Sales_20230202143957.pdf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20230202143957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createPDF:imagelist,./Output/Images/,./Output/APAC_Daily_Sales_20230202143957.pdf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20230202143957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createPDF:imagelist,./Output/Images/,./Output/APAC_Daily_Sales_20230202143957.pdf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20230202143957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main (2)</vt:lpstr>
      <vt:lpstr>ReadMe</vt:lpstr>
      <vt:lpstr>main</vt:lpstr>
      <vt:lpstr>logon_OKTA</vt:lpstr>
      <vt:lpstr>DiorOrder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2023-02-02T06:39:57Z</dcterms:modified>
</cp:coreProperties>
</file>