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\Documents\python\Optimus\scripts\"/>
    </mc:Choice>
  </mc:AlternateContent>
  <xr:revisionPtr revIDLastSave="0" documentId="8_{0EA21AE2-ABB5-4559-A928-DD4B3DC91F3A}" xr6:coauthVersionLast="47" xr6:coauthVersionMax="47" xr10:uidLastSave="{00000000-0000-0000-0000-000000000000}"/>
  <bookViews>
    <workbookView xWindow="3510" yWindow="3510" windowWidth="21600" windowHeight="11385" tabRatio="766" activeTab="4" xr2:uid="{0D015D22-72E6-418D-80FA-246518C96D96}"/>
  </bookViews>
  <sheets>
    <sheet name="ReadMe" sheetId="8" r:id="rId1"/>
    <sheet name="main" sheetId="4" r:id="rId2"/>
    <sheet name="FoundationReport" sheetId="16" r:id="rId3"/>
    <sheet name="FoundationRCReport" sheetId="19" r:id="rId4"/>
    <sheet name="ServiceNow" sheetId="14" r:id="rId5"/>
    <sheet name="ServiceNow5" sheetId="20" r:id="rId6"/>
    <sheet name="ServiceNow (2)" sheetId="15" r:id="rId7"/>
    <sheet name="ServiceNow (3)" sheetId="17" r:id="rId8"/>
    <sheet name="ServiceNow (4)" sheetId="18" r:id="rId9"/>
    <sheet name="DCLICK2" sheetId="6" r:id="rId10"/>
    <sheet name="iCristal2" sheetId="7" r:id="rId11"/>
    <sheet name="DCLICK" sheetId="2" r:id="rId12"/>
    <sheet name="iCristal" sheetId="5" r:id="rId13"/>
    <sheet name="DCLICK2 (6.8)" sheetId="9" r:id="rId14"/>
    <sheet name="DCLICK (iCirstal PRD run)" sheetId="10" r:id="rId15"/>
    <sheet name="Template" sheetId="13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17" l="1"/>
  <c r="K44" i="17" s="1"/>
  <c r="I13" i="17"/>
  <c r="I12" i="17"/>
  <c r="K48" i="16"/>
  <c r="K44" i="16" s="1"/>
  <c r="I13" i="16"/>
  <c r="I12" i="16"/>
  <c r="K48" i="15"/>
  <c r="K44" i="15" s="1"/>
  <c r="I13" i="15"/>
  <c r="I12" i="15"/>
  <c r="D23" i="4" l="1"/>
  <c r="D24" i="4"/>
  <c r="E25" i="4" s="1"/>
  <c r="F25" i="4" a="1"/>
  <c r="F25" i="4" l="1"/>
  <c r="G25" i="4" s="1" a="1"/>
  <c r="G25" i="4" s="1"/>
  <c r="D25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<sst xmlns="http://schemas.openxmlformats.org/spreadsheetml/2006/main" count="3841" uniqueCount="881">
  <si>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</si>
  <si>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</si>
  <si>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</si>
  <si>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</si>
  <si>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</si>
  <si>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</si>
  <si>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</si>
  <si>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</si>
  <si>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</si>
  <si>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</si>
  <si>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</si>
  <si>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</si>
  <si>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</si>
  <si>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</si>
  <si>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</si>
  <si>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</si>
  <si>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</si>
  <si>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</si>
  <si>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</si>
  <si>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</si>
  <si>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</si>
  <si>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</si>
  <si>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</si>
  <si>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</si>
  <si>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</si>
  <si>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</si>
  <si>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</si>
  <si>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</si>
  <si>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</si>
  <si>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</si>
  <si>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</si>
  <si>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</si>
  <si>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</si>
  <si>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</si>
  <si>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</si>
  <si>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</si>
  <si>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</si>
  <si>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</si>
  <si>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</si>
  <si>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</si>
  <si>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</si>
  <si>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</si>
  <si>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</si>
  <si>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</si>
  <si>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</si>
  <si>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</si>
  <si>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</si>
  <si>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</si>
  <si>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</si>
  <si>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</si>
  <si>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</si>
  <si>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</si>
  <si>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</si>
  <si>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</si>
  <si>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</si>
  <si>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</si>
  <si>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</si>
  <si>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</si>
  <si>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</si>
  <si>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</si>
  <si>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</si>
  <si>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</si>
  <si>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</si>
  <si>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</si>
  <si>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</si>
  <si>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</si>
  <si>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</si>
  <si>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</si>
  <si>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</si>
  <si>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</si>
  <si>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</si>
  <si>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</si>
  <si>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</si>
  <si>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</si>
  <si>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</si>
  <si>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</si>
  <si>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</si>
  <si>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</si>
  <si>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</si>
  <si>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</si>
  <si>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</si>
  <si>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</si>
  <si>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</si>
  <si>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</si>
  <si>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</si>
  <si>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</si>
  <si>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</si>
  <si>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</si>
  <si>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</si>
  <si>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</si>
  <si>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</si>
  <si>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</si>
  <si>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</si>
  <si>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</si>
  <si>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</si>
  <si>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</si>
  <si>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</si>
  <si>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</si>
  <si>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</si>
  <si>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</si>
  <si>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</si>
  <si>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</si>
  <si>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</si>
  <si>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</si>
  <si>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</si>
  <si>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</si>
  <si>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</si>
  <si>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</si>
  <si>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</si>
  <si>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</si>
  <si>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</si>
  <si>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</si>
  <si>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</si>
  <si>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</si>
  <si>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</si>
  <si>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</si>
  <si>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</si>
  <si>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</si>
  <si>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</si>
  <si>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</si>
  <si>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</si>
  <si>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</si>
  <si>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</si>
  <si>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</si>
  <si>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</si>
  <si>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</si>
  <si>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</si>
  <si>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</si>
  <si>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</si>
  <si>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</si>
  <si>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</si>
  <si>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</si>
  <si>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</si>
  <si>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</si>
  <si>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</si>
  <si>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</si>
  <si>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</si>
  <si>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</si>
  <si>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</si>
  <si>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</si>
  <si>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</si>
  <si>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</si>
  <si>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</si>
  <si>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</si>
  <si>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</si>
  <si>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</si>
  <si>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</si>
  <si>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</si>
  <si>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</si>
  <si>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</si>
  <si>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</si>
  <si>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</si>
  <si>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</si>
  <si>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</si>
  <si>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</si>
  <si>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</si>
  <si>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</si>
  <si>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</si>
  <si>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</si>
  <si>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</si>
  <si>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</si>
  <si>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</si>
  <si>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</si>
  <si>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</si>
  <si>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</si>
  <si>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</si>
  <si>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</si>
  <si>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</si>
  <si>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</si>
  <si>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</si>
  <si>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</si>
  <si>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</si>
  <si>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</si>
  <si>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</si>
  <si>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</si>
  <si>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</si>
  <si>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</si>
  <si>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</si>
  <si>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</si>
  <si>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</si>
  <si>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</si>
  <si>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</si>
  <si>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</si>
  <si>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</si>
  <si>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</si>
  <si>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</si>
  <si>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</si>
  <si>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</si>
  <si>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</si>
  <si>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</si>
  <si>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</si>
  <si>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</si>
  <si>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</si>
  <si>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</si>
  <si>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</si>
  <si>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</si>
  <si>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</si>
  <si>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</si>
  <si>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</si>
  <si>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</si>
  <si>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</si>
  <si>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</si>
  <si>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</si>
  <si>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</si>
  <si>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</si>
  <si>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</si>
  <si>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</si>
  <si>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</si>
  <si>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</si>
  <si>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</si>
  <si>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</si>
  <si>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</si>
  <si>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</si>
  <si>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</si>
  <si>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</si>
  <si>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</si>
  <si>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</si>
  <si>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</si>
  <si>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</si>
  <si>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</si>
  <si>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</si>
  <si>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</si>
  <si>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</si>
  <si>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</si>
  <si>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</si>
  <si>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</si>
  <si>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</si>
  <si>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</si>
  <si>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</si>
  <si>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</si>
  <si>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</si>
  <si>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</si>
  <si>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</si>
  <si>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</si>
  <si>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</si>
  <si>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</si>
  <si>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</si>
  <si>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</si>
  <si>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</si>
  <si>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</si>
  <si>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</si>
  <si>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</si>
  <si>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</si>
  <si>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</si>
  <si>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</si>
  <si>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</si>
  <si>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</si>
  <si>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</si>
  <si>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</si>
  <si>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</si>
  <si>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</si>
  <si>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</si>
  <si>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</si>
  <si>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</si>
  <si>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</si>
  <si>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</si>
  <si>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</si>
  <si>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</si>
  <si>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</si>
  <si>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</si>
  <si>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</si>
  <si>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</si>
  <si>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</si>
  <si>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</si>
  <si>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</si>
  <si>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</si>
  <si>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</si>
  <si>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</si>
  <si>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</si>
  <si>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</si>
  <si>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</si>
  <si>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</si>
  <si>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</si>
  <si>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</si>
  <si>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</si>
  <si>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</si>
  <si>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</si>
  <si>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</si>
  <si>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</si>
  <si>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</si>
  <si>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</si>
  <si>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</si>
  <si>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</si>
  <si>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</si>
  <si>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</si>
  <si>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</si>
  <si>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</si>
  <si>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</si>
  <si>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</si>
  <si>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</si>
  <si>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</si>
  <si>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</si>
  <si>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</si>
  <si>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</si>
  <si>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</si>
  <si>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</si>
  <si>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</si>
  <si>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</si>
  <si>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</si>
  <si>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</si>
  <si>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</si>
  <si>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</si>
  <si>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</si>
  <si>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</si>
  <si>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</si>
  <si>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</si>
  <si>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</si>
  <si>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</si>
  <si>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</si>
  <si>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</si>
  <si>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</si>
  <si>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</si>
  <si>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</si>
  <si>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</si>
  <si>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</si>
  <si>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</si>
  <si>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</si>
  <si>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</si>
  <si>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</si>
  <si>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</si>
  <si>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</si>
  <si>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</si>
  <si>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</si>
  <si>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</si>
  <si>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</si>
  <si>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</si>
  <si>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</si>
  <si>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</si>
  <si>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</si>
  <si>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</si>
  <si>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</si>
  <si>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</si>
  <si>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</si>
  <si>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</si>
  <si>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</si>
  <si>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</si>
  <si>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</si>
  <si>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</si>
  <si>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</si>
  <si>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</si>
  <si>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</si>
  <si>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</si>
  <si>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</si>
  <si>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</si>
  <si>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</si>
  <si>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</si>
  <si>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</si>
  <si>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</si>
  <si>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</si>
  <si>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</si>
  <si>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</si>
  <si>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</si>
  <si>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</si>
  <si>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</si>
  <si>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</si>
  <si>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</si>
  <si>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</si>
  <si>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</si>
  <si>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</si>
  <si>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</si>
  <si>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</si>
  <si>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</si>
  <si>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</si>
  <si>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</si>
  <si>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</si>
  <si>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</si>
  <si>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</si>
  <si>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</si>
  <si>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</si>
  <si>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</si>
  <si>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</si>
  <si>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</si>
  <si>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</si>
  <si>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</si>
  <si>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</si>
  <si>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</si>
  <si>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</si>
  <si>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</si>
  <si>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</si>
  <si>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</si>
  <si>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</si>
  <si>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</si>
  <si>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</si>
  <si>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</si>
  <si>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</si>
  <si>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</si>
  <si>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</si>
  <si>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</si>
  <si>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</si>
  <si>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</si>
  <si>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</si>
  <si>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</si>
  <si>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</si>
  <si>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</si>
  <si>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</si>
  <si>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</si>
  <si>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</si>
  <si>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</si>
  <si>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</si>
  <si>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</si>
  <si>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</si>
  <si>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</si>
  <si>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</si>
  <si>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</si>
  <si>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</si>
  <si>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</si>
  <si>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</si>
  <si>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</si>
  <si>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</si>
  <si>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</si>
  <si>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</si>
  <si>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</si>
  <si>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</si>
  <si>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</si>
  <si>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</si>
  <si>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</si>
  <si>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</si>
  <si>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</si>
  <si>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</si>
  <si>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</si>
  <si>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</si>
  <si>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</si>
  <si>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</si>
  <si>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</si>
  <si>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</si>
  <si>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</si>
  <si>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</si>
  <si>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</si>
  <si>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</si>
  <si>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</si>
  <si>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</si>
  <si>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</si>
  <si>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</si>
  <si>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</si>
  <si>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</si>
  <si>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</si>
  <si>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</si>
  <si>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</si>
  <si>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</si>
  <si>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</si>
  <si>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</si>
  <si>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</si>
  <si>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</si>
  <si>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</si>
  <si>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</si>
  <si>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</si>
  <si>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</si>
  <si>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</si>
  <si>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</si>
  <si>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</si>
  <si>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</si>
  <si>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</si>
  <si>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</si>
  <si>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</si>
  <si>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</si>
  <si>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</si>
  <si>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</si>
  <si>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</si>
  <si>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</si>
  <si>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</si>
  <si>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</si>
  <si>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</si>
  <si>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</si>
  <si>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</si>
  <si>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</si>
  <si>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</si>
  <si>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</si>
  <si>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</si>
  <si>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</si>
  <si>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</si>
  <si>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</si>
  <si>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</si>
  <si>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</si>
  <si>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</si>
  <si>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</si>
  <si>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</si>
  <si>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</si>
  <si>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</si>
  <si>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</si>
  <si>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</si>
  <si>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</si>
  <si>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</si>
  <si>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</si>
  <si>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</si>
  <si>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</si>
  <si>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</si>
  <si>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</si>
  <si>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</si>
  <si>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</si>
  <si>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</si>
  <si>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</si>
  <si>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</si>
  <si>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</si>
  <si>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</si>
  <si>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</si>
  <si>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</si>
  <si>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</si>
  <si>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</si>
  <si>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</si>
  <si>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</si>
  <si>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</si>
  <si>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</si>
  <si>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</si>
  <si>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</si>
  <si>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</si>
  <si>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</si>
  <si>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</si>
  <si>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</si>
  <si>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</si>
  <si>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</si>
  <si>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</si>
  <si>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</si>
  <si>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</si>
  <si>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</si>
  <si>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</si>
  <si>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</si>
  <si>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</si>
  <si>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</si>
  <si>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</si>
  <si>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</si>
  <si>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</si>
  <si>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</si>
  <si>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</si>
  <si>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</si>
  <si>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</si>
  <si>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</si>
  <si>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</si>
  <si>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</si>
  <si>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</si>
  <si>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</si>
  <si>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</si>
  <si>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</si>
  <si>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</si>
  <si>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</si>
  <si>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</si>
  <si>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</si>
  <si>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</si>
  <si>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</si>
  <si>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</si>
  <si>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</si>
  <si>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</si>
  <si>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</si>
  <si>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</si>
  <si>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</si>
  <si>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</si>
  <si>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</si>
  <si>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</si>
  <si>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</si>
  <si>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</si>
  <si>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</si>
  <si>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</si>
  <si>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</si>
  <si>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</si>
  <si>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</si>
  <si>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</si>
  <si>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</si>
  <si>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</si>
  <si>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</si>
  <si>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</si>
  <si>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</si>
  <si>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</si>
  <si>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</si>
  <si>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</si>
  <si>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</si>
  <si>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</si>
  <si>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</si>
  <si>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</si>
  <si>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</si>
  <si>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</si>
  <si>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</si>
  <si>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</si>
  <si>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</si>
  <si>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</si>
  <si>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</si>
  <si>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</si>
  <si>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</si>
  <si>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</si>
  <si>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</si>
  <si>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</si>
  <si>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</si>
  <si>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</si>
  <si>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</si>
  <si>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</si>
  <si>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</si>
  <si>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</si>
  <si>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</si>
  <si>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</si>
  <si>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</si>
  <si>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</si>
  <si>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</si>
  <si>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</si>
  <si>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</si>
  <si>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</si>
  <si>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</si>
  <si>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</si>
  <si>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</si>
  <si>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</si>
  <si>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</si>
  <si>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</si>
  <si>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</si>
  <si>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</si>
  <si>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</si>
  <si>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</si>
  <si>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</si>
  <si>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</si>
  <si>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</si>
  <si>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</si>
  <si>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</si>
  <si>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</si>
  <si>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</si>
  <si>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</si>
  <si>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</si>
  <si>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</si>
  <si>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</si>
  <si>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</si>
  <si>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</si>
  <si>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</si>
  <si>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</si>
  <si>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</si>
  <si>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</si>
  <si>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</si>
  <si>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</si>
  <si>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</si>
  <si>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</si>
  <si>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</si>
  <si>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</si>
  <si>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</si>
  <si>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</si>
  <si>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</si>
  <si>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</si>
  <si>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</si>
  <si>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</si>
  <si>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</si>
  <si>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</si>
  <si>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</si>
  <si>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</si>
  <si>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</si>
  <si>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</si>
  <si>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</si>
  <si>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</si>
  <si>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</si>
  <si>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</si>
  <si>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</si>
  <si>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</si>
  <si>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</si>
  <si>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</si>
  <si>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</si>
  <si>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</si>
  <si>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</si>
  <si>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</si>
  <si>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</si>
  <si>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</si>
  <si>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</si>
  <si>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</si>
  <si>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</si>
  <si>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</si>
  <si>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</si>
  <si>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</si>
  <si>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</si>
  <si>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</si>
  <si>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</si>
  <si>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</si>
  <si>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</si>
  <si>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</si>
  <si>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</si>
  <si>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</si>
  <si>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</si>
  <si>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</si>
  <si>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</si>
  <si>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</si>
  <si>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</si>
  <si>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</si>
  <si>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</si>
  <si>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</si>
  <si>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</si>
  <si>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</si>
  <si>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</si>
  <si>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</si>
  <si>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</si>
  <si>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</si>
  <si>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</si>
  <si>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</si>
  <si>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</si>
  <si>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</si>
  <si>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</si>
  <si>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</si>
  <si>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</si>
  <si>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</si>
  <si>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</si>
  <si>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</si>
  <si>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</si>
  <si>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</si>
  <si>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</si>
  <si>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runServiceNow</t>
  </si>
  <si>
    <t>Files to check</t>
  </si>
  <si>
    <t>Exist</t>
  </si>
  <si>
    <t>ModifiedDatetime</t>
  </si>
  <si>
    <t>Today</t>
  </si>
  <si>
    <t>if:&lt;runServiceNow&gt;:runServiceNow</t>
  </si>
  <si>
    <t>NowTime</t>
  </si>
  <si>
    <t>print:***** RUN SERVICENOW ****** | runServiceNow: &lt;runServiceNow&gt; | NowTime: &lt;NowTime&gt;</t>
  </si>
  <si>
    <t>Moved to main sheet</t>
  </si>
  <si>
    <t>snap:log,</t>
  </si>
  <si>
    <t>snap:page or log,&lt;saveFile&gt;.  log - saves a snapshot to log folder for troubleshooting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</si>
  <si>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</si>
  <si>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</si>
  <si>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</si>
  <si>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</si>
  <si>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</si>
  <si>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</si>
  <si>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</si>
  <si>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</si>
  <si>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</si>
  <si>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</si>
  <si>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</si>
  <si>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</si>
  <si>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</si>
  <si>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</si>
  <si>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</si>
  <si>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</si>
  <si>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</si>
  <si>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</si>
  <si>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</si>
  <si>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</si>
  <si>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</si>
  <si>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</si>
  <si>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</si>
  <si>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</si>
  <si>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</si>
  <si>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</si>
  <si>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</si>
  <si>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</si>
  <si>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</si>
  <si>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</si>
  <si>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</si>
  <si>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</si>
  <si>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</si>
  <si>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</si>
  <si>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</si>
  <si>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</si>
  <si>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</si>
  <si>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</si>
  <si>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</si>
  <si>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</si>
  <si>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</si>
  <si>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</si>
  <si>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</si>
  <si>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</si>
  <si>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</si>
  <si>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</si>
  <si>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</si>
  <si>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</si>
  <si>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</si>
  <si>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</si>
  <si>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</si>
  <si>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</si>
  <si>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</si>
  <si>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</si>
  <si>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</si>
  <si>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</si>
  <si>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</si>
  <si>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</si>
  <si>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</si>
  <si>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</si>
  <si>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</si>
  <si>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</si>
  <si>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</si>
  <si>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</si>
  <si>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</si>
  <si>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</si>
  <si>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</si>
  <si>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</si>
  <si>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</si>
  <si>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</si>
  <si>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</si>
  <si>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</si>
  <si>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</si>
  <si>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</si>
  <si>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</si>
  <si>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</si>
  <si>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</si>
  <si>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</si>
  <si>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</si>
  <si>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</si>
  <si>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</si>
  <si>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</si>
  <si>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</si>
  <si>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</si>
  <si>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</si>
  <si>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</si>
  <si>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</si>
  <si>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</si>
  <si>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</si>
  <si>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</si>
  <si>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</si>
  <si>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</si>
  <si>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</si>
  <si>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</si>
  <si>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</si>
  <si>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</si>
  <si>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</si>
  <si>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</si>
  <si>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</si>
  <si>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</si>
  <si>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</si>
  <si>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</si>
  <si>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</si>
  <si>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</si>
  <si>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</si>
  <si>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</si>
  <si>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</si>
  <si>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</si>
  <si>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</si>
  <si>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</si>
  <si>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</si>
  <si>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</si>
  <si>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</si>
  <si>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</si>
  <si>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</si>
  <si>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</si>
  <si>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</si>
  <si>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</si>
  <si>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</si>
  <si>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</si>
  <si>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</si>
  <si>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</si>
  <si>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</si>
  <si>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</si>
  <si>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</si>
  <si>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</si>
  <si>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</si>
  <si>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</si>
  <si>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</si>
  <si>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</si>
  <si>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</si>
  <si>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</si>
  <si>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</si>
  <si>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</si>
  <si>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</si>
  <si>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</si>
  <si>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</si>
  <si>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</si>
  <si>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</si>
  <si>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</si>
  <si>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</si>
  <si>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</si>
  <si>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</si>
  <si>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</si>
  <si>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</si>
  <si>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</si>
  <si>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</si>
  <si>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</si>
  <si>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</si>
  <si>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</si>
  <si>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</si>
  <si>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</si>
  <si>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runModule:ServiceNow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</si>
  <si>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</si>
  <si>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</si>
  <si>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</si>
  <si>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</si>
  <si>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</si>
  <si>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</si>
  <si>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</si>
  <si>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</si>
  <si>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</si>
  <si>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</si>
  <si>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</si>
  <si>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</si>
  <si>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</si>
  <si>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</si>
  <si>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</si>
  <si>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</si>
  <si>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</si>
  <si>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ClickImage</t>
  </si>
  <si>
    <t>rclick:&lt;tbl@URL_pages:ClickImage&gt;</t>
  </si>
  <si>
    <t>Incident_Priority.PNG</t>
  </si>
  <si>
    <t>ServiceRequest_RequestItem.PNG</t>
  </si>
  <si>
    <t>wait:10,dashboard-my-apps-title,logon_OKTA2</t>
  </si>
  <si>
    <t>C:/OneDrive-Sync/Christian Dior Couture/APAC Helpdesk - Report/serviceNow/</t>
  </si>
  <si>
    <t>C:/Users/roh/Christian Dior Couture/APAC Helpdesk - Report/serviceNow/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</si>
</sst>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  <xf numFmtId="0" fontId="0" fillId="0" borderId="0" xfId="0"/>
    <xf numFmtId="0" fontId="1" fillId="0" borderId="0" xfId="1"/>
    <xf numFmtId="0" fontId="2" fillId="0" borderId="0" xfId="0" applyFont="1"/>
    <xf numFmtId="0" fontId="0" fillId="0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0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779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58"/>
  <sheetViews>
    <sheetView topLeftCell="A25" workbookViewId="0">
      <selection activeCell="C43" sqref="C43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11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11">
      <c r="A2" t="s">
        <v>16</v>
      </c>
      <c r="B2" t="s">
        <v>25</v>
      </c>
      <c r="C2" t="s">
        <v>529</v>
      </c>
    </row>
    <row r="3" spans="1:11">
      <c r="C3" t="s">
        <v>530</v>
      </c>
      <c r="E3" t="s">
        <v>526</v>
      </c>
    </row>
    <row r="4" spans="1:11">
      <c r="C4" t="s">
        <v>0</v>
      </c>
    </row>
    <row r="5" spans="1:11">
      <c r="C5" t="s">
        <v>687</v>
      </c>
    </row>
    <row r="6" spans="1:11">
      <c r="C6" t="s">
        <v>698</v>
      </c>
      <c r="E6" t="s">
        <v>38</v>
      </c>
    </row>
    <row r="7" spans="1:11">
      <c r="C7" t="s">
        <v>525</v>
      </c>
      <c r="E7" t="s">
        <v>527</v>
      </c>
    </row>
    <row r="8" spans="1:11">
      <c r="C8" t="s">
        <v>531</v>
      </c>
    </row>
    <row r="9" spans="1:11" s="14" customFormat="1"/>
    <row r="10" spans="1:11">
      <c r="A10" s="14" t="s">
        <v>16</v>
      </c>
      <c r="B10" s="14" t="s">
        <v>851</v>
      </c>
      <c r="C10" s="14" t="s">
        <v>529</v>
      </c>
      <c r="D10" s="14"/>
      <c r="E10" s="14"/>
      <c r="F10" s="14"/>
      <c r="G10" s="14"/>
      <c r="H10" s="14"/>
      <c r="I10" s="14"/>
      <c r="J10" s="14"/>
      <c r="K10" s="14"/>
    </row>
    <row r="11" spans="1:11" s="14" customFormat="1">
      <c r="C11" s="14" t="s">
        <v>530</v>
      </c>
      <c r="E11" s="14" t="s">
        <v>526</v>
      </c>
    </row>
    <row r="12" spans="1:11" s="14" customFormat="1">
      <c r="C12" s="14" t="s">
        <v>0</v>
      </c>
    </row>
    <row r="13" spans="1:11" s="14" customFormat="1">
      <c r="C13" s="14" t="s">
        <v>429</v>
      </c>
    </row>
    <row r="14" spans="1:11" s="14" customFormat="1">
      <c r="C14" s="14" t="s">
        <v>850</v>
      </c>
      <c r="E14" s="14" t="s">
        <v>38</v>
      </c>
    </row>
    <row r="15" spans="1:11" s="14" customFormat="1">
      <c r="C15" s="14" t="s">
        <v>525</v>
      </c>
      <c r="E15" s="14" t="s">
        <v>527</v>
      </c>
    </row>
    <row r="16" spans="1:11" s="14" customFormat="1">
      <c r="C16" s="14" t="s">
        <v>531</v>
      </c>
    </row>
    <row r="17" spans="1:11" s="14" customFormat="1"/>
    <row r="18" spans="1:11">
      <c r="A18" t="s">
        <v>16</v>
      </c>
      <c r="B18" t="s">
        <v>693</v>
      </c>
      <c r="C18" t="s">
        <v>700</v>
      </c>
    </row>
    <row r="19" spans="1:11">
      <c r="C19" t="s">
        <v>856</v>
      </c>
    </row>
    <row r="21" spans="1:11">
      <c r="A21" t="s">
        <v>15</v>
      </c>
      <c r="B21" s="3" t="s">
        <v>357</v>
      </c>
      <c r="C21" t="s">
        <v>36</v>
      </c>
      <c r="D21" t="b">
        <v>0</v>
      </c>
      <c r="E21" t="s">
        <v>152</v>
      </c>
    </row>
    <row r="22" spans="1:11">
      <c r="C22" t="s">
        <v>528</v>
      </c>
      <c r="D22">
        <v>1.1000000000000001</v>
      </c>
    </row>
    <row r="23" spans="1:11">
      <c r="C23" t="s">
        <v>699</v>
      </c>
      <c r="D23" s="9">
        <f ca="1">NOW()</f>
        <v>44908.979048148147</v>
      </c>
      <c r="E23" s="6"/>
      <c r="J23" t="s">
        <v>758</v>
      </c>
    </row>
    <row r="24" spans="1:11">
      <c r="C24" t="s">
        <v>697</v>
      </c>
      <c r="D24" s="9">
        <f ca="1">TODAY()</f>
        <v>44908</v>
      </c>
      <c r="E24" t="s">
        <v>694</v>
      </c>
      <c r="F24" t="s">
        <v>695</v>
      </c>
      <c r="G24" t="s">
        <v>696</v>
      </c>
      <c r="H24" t="s">
        <v>771</v>
      </c>
      <c r="I24" t="s">
        <v>757</v>
      </c>
      <c r="J24" t="s">
        <v>759</v>
      </c>
      <c r="K24" t="s">
        <v>760</v>
      </c>
    </row>
    <row r="25" spans="1:11">
      <c r="C25" t="s">
        <v>693</v>
      </c>
      <c r="D25" t="b">
        <f ca="1">AND(OR(NOT(G25&gt;$D$24),I25),NOT(H25))</f>
        <v>1</v>
      </c>
      <c r="E25" t="str">
        <f ca="1">D24&amp;"\iCristalReport.pdf"</f>
        <v>44908\iCristalReport.pdf</v>
      </c>
      <c r="F25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t="b">
        <v>0</v>
      </c>
      <c r="I25" t="b">
        <v>1</v>
      </c>
    </row>
    <row r="27" spans="1:11">
      <c r="A27" t="s">
        <v>16</v>
      </c>
      <c r="B27" t="s">
        <v>429</v>
      </c>
      <c r="C27" t="s">
        <v>425</v>
      </c>
    </row>
    <row r="28" spans="1:11">
      <c r="C28" t="s">
        <v>428</v>
      </c>
    </row>
    <row r="29" spans="1:11">
      <c r="C29" t="s">
        <v>129</v>
      </c>
    </row>
    <row r="30" spans="1:11">
      <c r="C30" t="s">
        <v>427</v>
      </c>
    </row>
    <row r="31" spans="1:11">
      <c r="C31" t="s">
        <v>426</v>
      </c>
    </row>
    <row r="32" spans="1:11">
      <c r="K32" s="4"/>
    </row>
    <row r="33" spans="1:5">
      <c r="A33" t="s">
        <v>15</v>
      </c>
      <c r="B33" t="s">
        <v>9</v>
      </c>
      <c r="C33" t="s">
        <v>19</v>
      </c>
      <c r="D33" t="s">
        <v>20</v>
      </c>
      <c r="E33" s="3" t="s">
        <v>433</v>
      </c>
    </row>
    <row r="34" spans="1:5">
      <c r="A34" t="s">
        <v>16</v>
      </c>
      <c r="B34" s="3" t="s">
        <v>0</v>
      </c>
      <c r="C34" t="s">
        <v>21</v>
      </c>
      <c r="D34" s="2"/>
      <c r="E34" t="s">
        <v>397</v>
      </c>
    </row>
    <row r="35" spans="1:5">
      <c r="B35" s="3"/>
      <c r="C35" t="s">
        <v>679</v>
      </c>
      <c r="D35" s="2"/>
    </row>
    <row r="36" spans="1:5">
      <c r="B36" s="3"/>
      <c r="C36" t="s">
        <v>338</v>
      </c>
      <c r="D36" s="2"/>
      <c r="E36" s="14" t="s">
        <v>340</v>
      </c>
    </row>
    <row r="37" spans="1:5">
      <c r="C37" t="s">
        <v>662</v>
      </c>
    </row>
    <row r="38" spans="1:5">
      <c r="C38" s="14" t="s">
        <v>338</v>
      </c>
      <c r="E38" t="s">
        <v>104</v>
      </c>
    </row>
    <row r="39" spans="1:5">
      <c r="C39" t="s">
        <v>878</v>
      </c>
      <c r="E39" t="s">
        <v>108</v>
      </c>
    </row>
    <row r="40" spans="1:5">
      <c r="A40" t="s">
        <v>16</v>
      </c>
      <c r="B40" s="1" t="s">
        <v>107</v>
      </c>
      <c r="C40" t="s">
        <v>340</v>
      </c>
      <c r="E40" s="1"/>
    </row>
    <row r="41" spans="1:5">
      <c r="B41" s="1"/>
      <c r="C41" t="s">
        <v>857</v>
      </c>
      <c r="E41" s="1" t="s">
        <v>343</v>
      </c>
    </row>
    <row r="42" spans="1:5">
      <c r="B42" s="1"/>
      <c r="C42" t="s">
        <v>22</v>
      </c>
      <c r="E42" s="1" t="s">
        <v>105</v>
      </c>
    </row>
    <row r="43" spans="1:5">
      <c r="C43" t="s">
        <v>34</v>
      </c>
      <c r="E43" t="s">
        <v>106</v>
      </c>
    </row>
    <row r="44" spans="1:5">
      <c r="C44" t="s">
        <v>411</v>
      </c>
      <c r="E44" t="s">
        <v>38</v>
      </c>
    </row>
    <row r="45" spans="1:5">
      <c r="C45" t="s">
        <v>7</v>
      </c>
      <c r="E45" t="s">
        <v>110</v>
      </c>
    </row>
    <row r="46" spans="1:5">
      <c r="C46" t="s">
        <v>449</v>
      </c>
      <c r="E46" t="s">
        <v>450</v>
      </c>
    </row>
    <row r="47" spans="1:5">
      <c r="C47" t="s">
        <v>452</v>
      </c>
      <c r="E47" t="s">
        <v>453</v>
      </c>
    </row>
    <row r="48" spans="1:5">
      <c r="C48" t="s">
        <v>858</v>
      </c>
      <c r="E48" t="s">
        <v>111</v>
      </c>
    </row>
    <row r="50" spans="1:5">
      <c r="A50" t="s">
        <v>16</v>
      </c>
      <c r="B50" t="s">
        <v>410</v>
      </c>
      <c r="C50" t="s">
        <v>37</v>
      </c>
    </row>
    <row r="51" spans="1:5">
      <c r="C51" t="s">
        <v>456</v>
      </c>
      <c r="E51" t="s">
        <v>455</v>
      </c>
    </row>
    <row r="52" spans="1:5">
      <c r="C52" t="s">
        <v>702</v>
      </c>
      <c r="E52" t="s">
        <v>703</v>
      </c>
    </row>
    <row r="53" spans="1:5">
      <c r="C53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702</v>
      </c>
      <c r="E56" t="s">
        <v>703</v>
      </c>
    </row>
    <row r="57" spans="1:5">
      <c r="C57" t="s">
        <v>27</v>
      </c>
    </row>
    <row r="58" spans="1:5">
      <c r="B5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C144" sqref="C14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802</v>
      </c>
      <c r="D2" s="2" t="s">
        <v>785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786</v>
      </c>
    </row>
    <row r="6" spans="1:18">
      <c r="A6" t="s">
        <v>15</v>
      </c>
      <c r="B6" t="s">
        <v>645</v>
      </c>
      <c r="C6" t="s">
        <v>788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801</v>
      </c>
      <c r="L10" t="s">
        <v>707</v>
      </c>
    </row>
    <row r="11" spans="1:18">
      <c r="C11" t="s">
        <v>740</v>
      </c>
    </row>
    <row r="12" spans="1:18">
      <c r="I12" t="b">
        <f>D2=J12</f>
        <v>0</v>
      </c>
      <c r="J12" t="s">
        <v>764</v>
      </c>
    </row>
    <row r="13" spans="1:18">
      <c r="I13" t="b">
        <f>D3=J13</f>
        <v>0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803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803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782</v>
      </c>
      <c r="D26" s="2" t="s">
        <v>783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781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createPDF:imagelist,./Output/Images/,./Output/APAC_Daily_Sales_20221213232950.pdf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20221213232950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784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790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708</v>
      </c>
    </row>
    <row r="81" spans="1:5">
      <c r="C81" t="s">
        <v>658</v>
      </c>
      <c r="E81" t="s">
        <v>709</v>
      </c>
    </row>
    <row r="82" spans="1:5">
      <c r="C82" t="s">
        <v>729</v>
      </c>
    </row>
    <row r="83" spans="1:5">
      <c r="C83" t="s">
        <v>718</v>
      </c>
      <c r="E83" t="s">
        <v>719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710</v>
      </c>
      <c r="C94" t="s">
        <v>431</v>
      </c>
    </row>
    <row r="96" spans="1:5">
      <c r="A96" t="s">
        <v>16</v>
      </c>
      <c r="B96" t="s">
        <v>711</v>
      </c>
      <c r="C96" t="s">
        <v>24</v>
      </c>
    </row>
    <row r="97" spans="1:10">
      <c r="C97" t="s">
        <v>774</v>
      </c>
      <c r="E97" t="s">
        <v>715</v>
      </c>
    </row>
    <row r="98" spans="1:10">
      <c r="C98" t="s">
        <v>775</v>
      </c>
      <c r="E98" t="s">
        <v>714</v>
      </c>
    </row>
    <row r="99" spans="1:10">
      <c r="C99" t="s">
        <v>724</v>
      </c>
      <c r="E99" t="s">
        <v>713</v>
      </c>
    </row>
    <row r="100" spans="1:10">
      <c r="C100" t="s">
        <v>725</v>
      </c>
      <c r="E100" t="s">
        <v>5</v>
      </c>
    </row>
    <row r="101" spans="1:10">
      <c r="C101" t="s">
        <v>726</v>
      </c>
      <c r="E101" t="s">
        <v>716</v>
      </c>
    </row>
    <row r="102" spans="1:10">
      <c r="C102" t="s">
        <v>24</v>
      </c>
    </row>
    <row r="103" spans="1:10">
      <c r="C103" t="s">
        <v>728</v>
      </c>
      <c r="E103" t="s">
        <v>723</v>
      </c>
    </row>
    <row r="104" spans="1:10">
      <c r="C104" t="s">
        <v>727</v>
      </c>
    </row>
    <row r="105" spans="1:10">
      <c r="C105" t="s">
        <v>1</v>
      </c>
      <c r="E105" t="s">
        <v>730</v>
      </c>
    </row>
    <row r="106" spans="1:10">
      <c r="C106" t="s">
        <v>767</v>
      </c>
      <c r="E106" t="s">
        <v>64</v>
      </c>
    </row>
    <row r="108" spans="1:10">
      <c r="A108" t="s">
        <v>16</v>
      </c>
      <c r="B108" t="s">
        <v>739</v>
      </c>
      <c r="C108" t="s">
        <v>745</v>
      </c>
      <c r="E108" t="s">
        <v>776</v>
      </c>
      <c r="J108" t="s">
        <v>742</v>
      </c>
    </row>
    <row r="109" spans="1:10">
      <c r="C109" t="s">
        <v>780</v>
      </c>
      <c r="E109" t="s">
        <v>778</v>
      </c>
    </row>
    <row r="110" spans="1:10">
      <c r="C110" t="s">
        <v>770</v>
      </c>
      <c r="E110" t="s">
        <v>777</v>
      </c>
    </row>
    <row r="113" spans="1:10">
      <c r="A113" t="s">
        <v>16</v>
      </c>
      <c r="B113" t="s">
        <v>712</v>
      </c>
      <c r="C113" t="s">
        <v>720</v>
      </c>
      <c r="F113" t="s">
        <v>707</v>
      </c>
    </row>
    <row r="115" spans="1:10">
      <c r="A115" t="s">
        <v>16</v>
      </c>
      <c r="B115" t="s">
        <v>761</v>
      </c>
      <c r="C115" t="s">
        <v>742</v>
      </c>
      <c r="E115" t="s">
        <v>741</v>
      </c>
      <c r="J115" t="s">
        <v>742</v>
      </c>
    </row>
    <row r="116" spans="1:10">
      <c r="E116" s="11" t="s">
        <v>731</v>
      </c>
      <c r="J116" t="s">
        <v>743</v>
      </c>
    </row>
    <row r="117" spans="1:10">
      <c r="A117" t="s">
        <v>16</v>
      </c>
      <c r="B117" t="s">
        <v>744</v>
      </c>
      <c r="C117" t="s">
        <v>768</v>
      </c>
      <c r="E117" s="11" t="s">
        <v>732</v>
      </c>
    </row>
    <row r="118" spans="1:10">
      <c r="C118" t="s">
        <v>769</v>
      </c>
    </row>
    <row r="119" spans="1:10">
      <c r="E119" s="12" t="s">
        <v>733</v>
      </c>
    </row>
    <row r="121" spans="1:10">
      <c r="A121" t="s">
        <v>16</v>
      </c>
      <c r="B121" t="s">
        <v>746</v>
      </c>
      <c r="C121" t="s">
        <v>747</v>
      </c>
      <c r="E121" s="13" t="s">
        <v>734</v>
      </c>
    </row>
    <row r="122" spans="1:10">
      <c r="E122" s="12"/>
    </row>
    <row r="123" spans="1:10">
      <c r="E123" s="12" t="s">
        <v>735</v>
      </c>
    </row>
    <row r="124" spans="1:10">
      <c r="A124" t="s">
        <v>16</v>
      </c>
      <c r="B124" t="s">
        <v>787</v>
      </c>
      <c r="C124" t="s">
        <v>788</v>
      </c>
    </row>
    <row r="125" spans="1:10">
      <c r="C125" t="s">
        <v>789</v>
      </c>
    </row>
    <row r="126" spans="1:10">
      <c r="C126" t="s">
        <v>791</v>
      </c>
      <c r="E126" t="s">
        <v>736</v>
      </c>
    </row>
    <row r="127" spans="1:10">
      <c r="C127" t="s">
        <v>792</v>
      </c>
    </row>
    <row r="128" spans="1:10">
      <c r="C128" t="s">
        <v>793</v>
      </c>
    </row>
    <row r="129" spans="3:5">
      <c r="C129" t="s">
        <v>338</v>
      </c>
      <c r="E129" t="s">
        <v>737</v>
      </c>
    </row>
    <row r="130" spans="3:5">
      <c r="C130" t="s">
        <v>794</v>
      </c>
    </row>
    <row r="131" spans="3:5">
      <c r="C131" t="s">
        <v>792</v>
      </c>
    </row>
    <row r="132" spans="3:5">
      <c r="C132" t="s">
        <v>795</v>
      </c>
    </row>
    <row r="133" spans="3:5">
      <c r="C133" t="s">
        <v>338</v>
      </c>
    </row>
    <row r="134" spans="3:5">
      <c r="C134" t="s">
        <v>800</v>
      </c>
    </row>
    <row r="135" spans="3:5">
      <c r="C135" t="s">
        <v>792</v>
      </c>
    </row>
    <row r="136" spans="3:5">
      <c r="C136" t="s">
        <v>796</v>
      </c>
    </row>
    <row r="137" spans="3:5">
      <c r="C137" t="s">
        <v>338</v>
      </c>
    </row>
    <row r="138" spans="3:5">
      <c r="C138" t="s">
        <v>797</v>
      </c>
    </row>
    <row r="139" spans="3:5">
      <c r="C139" t="s">
        <v>729</v>
      </c>
    </row>
    <row r="140" spans="3:5">
      <c r="C140" t="s">
        <v>798</v>
      </c>
    </row>
    <row r="141" spans="3:5">
      <c r="C141" t="s">
        <v>799</v>
      </c>
    </row>
    <row r="142" spans="3:5">
      <c r="C142" t="s">
        <v>729</v>
      </c>
    </row>
    <row r="143" spans="3:5">
      <c r="C143" t="s">
        <v>804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workbookViewId="0">
      <selection activeCell="C13" sqref="C1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5">
      <c r="A2" s="14" t="s">
        <v>15</v>
      </c>
      <c r="B2" s="14" t="s">
        <v>415</v>
      </c>
      <c r="C2" s="14" t="s">
        <v>825</v>
      </c>
      <c r="D2" s="15" t="s">
        <v>826</v>
      </c>
      <c r="E2" s="14" t="s">
        <v>827</v>
      </c>
    </row>
    <row r="4" spans="1:5">
      <c r="A4" s="14" t="s">
        <v>15</v>
      </c>
      <c r="B4" s="14" t="s">
        <v>645</v>
      </c>
      <c r="C4" s="14" t="s">
        <v>788</v>
      </c>
      <c r="D4" s="14">
        <v>0</v>
      </c>
      <c r="E4" s="14" t="s">
        <v>646</v>
      </c>
    </row>
    <row r="6" spans="1:5">
      <c r="A6" s="14" t="s">
        <v>15</v>
      </c>
      <c r="B6" s="14" t="s">
        <v>706</v>
      </c>
      <c r="C6" s="14" t="s">
        <v>828</v>
      </c>
      <c r="D6" s="14"/>
      <c r="E6" s="14"/>
    </row>
    <row r="8" spans="1:5">
      <c r="A8" s="14" t="s">
        <v>15</v>
      </c>
      <c r="B8" s="16" t="s">
        <v>357</v>
      </c>
      <c r="C8" s="14" t="s">
        <v>359</v>
      </c>
      <c r="D8" s="14" t="s">
        <v>829</v>
      </c>
      <c r="E8" s="14"/>
    </row>
    <row r="9" spans="1:5">
      <c r="A9" s="14"/>
      <c r="B9" s="16"/>
      <c r="C9" s="14" t="s">
        <v>830</v>
      </c>
      <c r="D9" s="14" t="s">
        <v>831</v>
      </c>
      <c r="E9" s="14"/>
    </row>
    <row r="10" spans="1:5">
      <c r="A10" s="14"/>
      <c r="B10" s="14"/>
      <c r="C10" s="14" t="s">
        <v>36</v>
      </c>
      <c r="D10" s="14" t="b">
        <v>0</v>
      </c>
      <c r="E10" s="14"/>
    </row>
    <row r="12" spans="1:5">
      <c r="A12" s="14" t="s">
        <v>15</v>
      </c>
      <c r="B12" s="14" t="s">
        <v>9</v>
      </c>
      <c r="C12" s="14" t="s">
        <v>782</v>
      </c>
      <c r="D12" s="15" t="s">
        <v>783</v>
      </c>
      <c r="E12" s="16" t="s">
        <v>433</v>
      </c>
    </row>
    <row r="13" spans="1:5">
      <c r="A13" s="14"/>
      <c r="B13" s="14"/>
      <c r="C13" s="14"/>
      <c r="D13" s="14"/>
      <c r="E13" s="16"/>
    </row>
    <row r="14" spans="1:5">
      <c r="A14" s="14" t="s">
        <v>16</v>
      </c>
      <c r="B14" s="16" t="s">
        <v>25</v>
      </c>
      <c r="C14" s="14" t="s">
        <v>781</v>
      </c>
      <c r="D14" s="14"/>
      <c r="E14" s="14" t="s">
        <v>148</v>
      </c>
    </row>
    <row r="15" spans="1:5">
      <c r="A15" s="14"/>
      <c r="B15" s="16"/>
      <c r="C15" s="14" t="s">
        <v>644</v>
      </c>
      <c r="D15" s="16"/>
      <c r="E15" s="14"/>
    </row>
    <row r="16" spans="1:5">
      <c r="A16" s="14"/>
      <c r="B16" s="14"/>
      <c r="C16" s="14" t="s">
        <v>637</v>
      </c>
      <c r="D16" s="14"/>
      <c r="E16" s="14"/>
    </row>
    <row r="17" spans="1:5">
      <c r="A17" s="14"/>
      <c r="B17" s="14"/>
      <c r="C17" s="14" t="s">
        <v>416</v>
      </c>
      <c r="D17" s="14"/>
      <c r="E17" s="14" t="s">
        <v>370</v>
      </c>
    </row>
    <row r="19" spans="1:5">
      <c r="A19" s="14" t="s">
        <v>16</v>
      </c>
      <c r="B19" s="16" t="s">
        <v>637</v>
      </c>
      <c r="C19" s="14" t="s">
        <v>784</v>
      </c>
      <c r="D19" s="14"/>
      <c r="E19" s="14"/>
    </row>
    <row r="20" spans="1:5">
      <c r="A20" s="14"/>
      <c r="B20" s="16"/>
      <c r="C20" s="14" t="s">
        <v>1</v>
      </c>
      <c r="D20" s="14"/>
      <c r="E20" s="14"/>
    </row>
    <row r="21" spans="1:5">
      <c r="A21" s="14"/>
      <c r="B21" s="16"/>
      <c r="C21" s="14" t="s">
        <v>338</v>
      </c>
      <c r="D21" s="14"/>
      <c r="E21" s="14"/>
    </row>
    <row r="22" spans="1:5">
      <c r="A22" s="14"/>
      <c r="B22" s="14"/>
      <c r="C22" s="14" t="s">
        <v>638</v>
      </c>
      <c r="D22" s="14"/>
      <c r="E22" s="14"/>
    </row>
    <row r="23" spans="1:5">
      <c r="A23" s="14" t="s">
        <v>16</v>
      </c>
      <c r="B23" s="14" t="s">
        <v>638</v>
      </c>
      <c r="C23" s="14" t="s">
        <v>790</v>
      </c>
      <c r="D23" s="14"/>
      <c r="E23" s="14" t="s">
        <v>636</v>
      </c>
    </row>
    <row r="25" spans="1:5">
      <c r="A25" s="14" t="s">
        <v>16</v>
      </c>
      <c r="B25" s="16" t="s">
        <v>32</v>
      </c>
      <c r="C25" s="14" t="s">
        <v>399</v>
      </c>
      <c r="D25" s="14"/>
      <c r="E25" s="14"/>
    </row>
    <row r="26" spans="1:5">
      <c r="A26" s="14"/>
      <c r="B26" s="16"/>
      <c r="C26" s="14" t="s">
        <v>417</v>
      </c>
      <c r="D26" s="14"/>
      <c r="E26" s="14" t="s">
        <v>117</v>
      </c>
    </row>
    <row r="27" spans="1:5">
      <c r="A27" s="14"/>
      <c r="B27" s="14"/>
      <c r="C27" s="14" t="s">
        <v>118</v>
      </c>
      <c r="D27" s="14"/>
      <c r="E27" s="14"/>
    </row>
    <row r="28" spans="1:5">
      <c r="A28" s="14" t="s">
        <v>16</v>
      </c>
      <c r="B28" s="14" t="s">
        <v>118</v>
      </c>
      <c r="C28" s="14" t="s">
        <v>422</v>
      </c>
      <c r="D28" s="14"/>
      <c r="E28" s="14"/>
    </row>
    <row r="29" spans="1:5">
      <c r="A29" s="14"/>
      <c r="B29" s="14"/>
      <c r="C29" s="14" t="s">
        <v>647</v>
      </c>
      <c r="D29" s="14"/>
      <c r="E29" s="14" t="s">
        <v>708</v>
      </c>
    </row>
    <row r="30" spans="1:5">
      <c r="A30" s="14"/>
      <c r="B30" s="14"/>
      <c r="C30" s="14" t="s">
        <v>832</v>
      </c>
      <c r="D30" s="14"/>
      <c r="E30" s="14" t="s">
        <v>709</v>
      </c>
    </row>
    <row r="31" spans="1:5">
      <c r="A31" s="14"/>
      <c r="B31" s="14"/>
      <c r="C31" s="14" t="s">
        <v>718</v>
      </c>
      <c r="D31" s="14"/>
      <c r="E31" s="14" t="s">
        <v>719</v>
      </c>
    </row>
    <row r="33" spans="1:11">
      <c r="A33" s="14" t="s">
        <v>16</v>
      </c>
      <c r="B33" s="14" t="s">
        <v>787</v>
      </c>
      <c r="C33" s="14" t="s">
        <v>788</v>
      </c>
      <c r="D33" s="14"/>
      <c r="E33" s="14"/>
    </row>
    <row r="34" spans="1:11">
      <c r="A34" s="14"/>
      <c r="B34" s="14"/>
      <c r="C34" s="14" t="s">
        <v>833</v>
      </c>
      <c r="D34" s="14"/>
      <c r="E34" s="14"/>
    </row>
    <row r="35" spans="1:11">
      <c r="A35" s="14"/>
      <c r="B35" s="14"/>
      <c r="C35" s="14" t="s">
        <v>794</v>
      </c>
      <c r="D35" s="14"/>
      <c r="E35" s="14"/>
    </row>
    <row r="36" spans="1:11">
      <c r="A36" s="14"/>
      <c r="B36" s="14"/>
      <c r="C36" s="14" t="s">
        <v>792</v>
      </c>
      <c r="D36" s="14"/>
      <c r="E36" s="14"/>
    </row>
    <row r="37" spans="1:11">
      <c r="A37" s="14"/>
      <c r="B37" s="14"/>
      <c r="C37" s="14" t="s">
        <v>834</v>
      </c>
      <c r="D37" s="14"/>
      <c r="E37" s="14"/>
    </row>
    <row r="38" spans="1:11">
      <c r="A38" s="14"/>
      <c r="B38" s="14"/>
      <c r="C38" s="14" t="s">
        <v>835</v>
      </c>
      <c r="D38" s="14"/>
      <c r="E38" s="14"/>
    </row>
    <row r="39" spans="1:11">
      <c r="A39" s="14"/>
      <c r="B39" s="14"/>
      <c r="C39" s="14" t="s">
        <v>836</v>
      </c>
      <c r="D39" s="14"/>
      <c r="E39" s="14"/>
    </row>
    <row r="40" spans="1:11">
      <c r="A40" s="14"/>
      <c r="B40" s="14"/>
      <c r="C40" s="14" t="s">
        <v>338</v>
      </c>
      <c r="D40" s="14"/>
      <c r="E40" s="14"/>
    </row>
    <row r="41" spans="1:11">
      <c r="A41" s="14"/>
      <c r="B41" s="14"/>
      <c r="C41" s="14" t="s">
        <v>837</v>
      </c>
      <c r="D41" s="14"/>
      <c r="E41" s="14"/>
    </row>
    <row r="42" spans="1:11">
      <c r="A42" s="14"/>
      <c r="B42" s="14"/>
      <c r="C42" s="14" t="s">
        <v>838</v>
      </c>
      <c r="D42" s="14"/>
      <c r="E42" s="14"/>
    </row>
    <row r="43" spans="1:11">
      <c r="A43" s="14"/>
      <c r="B43" s="14"/>
      <c r="C43" s="14" t="s">
        <v>839</v>
      </c>
      <c r="D43" s="14"/>
      <c r="E43" s="14"/>
    </row>
    <row r="44" spans="1:11">
      <c r="A44" s="14"/>
      <c r="B44" s="14"/>
      <c r="C44" s="14" t="s">
        <v>840</v>
      </c>
      <c r="D44" s="14"/>
      <c r="E44" s="14"/>
    </row>
    <row r="45" spans="1:11">
      <c r="A45" s="14"/>
      <c r="B45" s="14"/>
      <c r="C45" s="14" t="s">
        <v>338</v>
      </c>
      <c r="D45" s="14"/>
      <c r="E45" s="14"/>
    </row>
    <row r="46" spans="1:11">
      <c r="A46" s="14"/>
      <c r="B46" s="14"/>
      <c r="C46" s="14" t="s">
        <v>1</v>
      </c>
      <c r="D46" s="14"/>
      <c r="E46" s="14"/>
    </row>
    <row r="47" spans="1:11">
      <c r="A47" s="14"/>
      <c r="B47" s="14"/>
      <c r="C47" s="14" t="s">
        <v>797</v>
      </c>
      <c r="D47" s="14"/>
      <c r="E47" s="14"/>
    </row>
    <row r="48" spans="1:11">
      <c r="A48" s="14"/>
      <c r="B48" s="14"/>
      <c r="C48" s="14" t="s">
        <v>841</v>
      </c>
      <c r="D48" s="14"/>
      <c r="E48" s="14" t="s">
        <v>842</v>
      </c>
      <c r="K48" s="4"/>
    </row>
    <row r="49" spans="1:10">
      <c r="A49" s="14"/>
      <c r="B49" s="14"/>
      <c r="C49" s="14" t="s">
        <v>798</v>
      </c>
      <c r="D49" s="14"/>
      <c r="E49" s="14"/>
      <c r="F49" s="14"/>
      <c r="G49" s="14"/>
      <c r="H49" s="14"/>
      <c r="I49" s="14"/>
      <c r="J49" s="14"/>
    </row>
    <row r="50" spans="1:10">
      <c r="A50" s="14"/>
      <c r="B50" s="14"/>
      <c r="C50" s="14" t="s">
        <v>799</v>
      </c>
      <c r="D50" s="14"/>
      <c r="E50" s="14"/>
      <c r="F50" s="14"/>
      <c r="G50" s="14"/>
      <c r="H50" s="14"/>
      <c r="I50" s="14"/>
      <c r="J50" s="14"/>
    </row>
    <row r="51" spans="1:10">
      <c r="A51" s="14"/>
      <c r="B51" s="14"/>
      <c r="C51" s="14" t="s">
        <v>843</v>
      </c>
      <c r="D51" s="14"/>
      <c r="E51" s="14"/>
      <c r="F51" s="14" t="s">
        <v>844</v>
      </c>
      <c r="G51" s="14" t="s">
        <v>845</v>
      </c>
      <c r="H51" s="14"/>
      <c r="I51" s="14"/>
      <c r="J51" s="14"/>
    </row>
    <row r="52" spans="1:10">
      <c r="A52" s="14"/>
      <c r="B52" s="14"/>
      <c r="C52" s="14" t="s">
        <v>846</v>
      </c>
      <c r="D52" s="14"/>
      <c r="E52" s="14" t="s">
        <v>847</v>
      </c>
      <c r="F52" s="14"/>
      <c r="G52" s="14"/>
      <c r="H52" s="14"/>
      <c r="I52" s="14"/>
      <c r="J52" s="14"/>
    </row>
    <row r="53" spans="1:10">
      <c r="A53" s="14"/>
      <c r="B53" s="14"/>
      <c r="C53" s="14" t="s">
        <v>848</v>
      </c>
      <c r="D53" s="14"/>
      <c r="E53" s="14"/>
      <c r="F53" s="14"/>
      <c r="G53" s="14"/>
      <c r="H53" s="14"/>
      <c r="I53" s="14"/>
      <c r="J53" s="14"/>
    </row>
    <row r="54" spans="1:10">
      <c r="A54" s="14"/>
      <c r="B54" s="14"/>
      <c r="C54" s="14" t="s">
        <v>849</v>
      </c>
      <c r="D54" s="14"/>
      <c r="E54" s="14"/>
      <c r="F54" s="14"/>
      <c r="G54" s="14"/>
      <c r="H54" s="14"/>
      <c r="I54" s="14"/>
      <c r="J54" s="14"/>
    </row>
    <row r="55" spans="1:10">
      <c r="B55" s="1"/>
      <c r="E55" s="1"/>
    </row>
    <row r="56" spans="1:10">
      <c r="B56" s="1"/>
      <c r="E56" s="1"/>
    </row>
    <row r="57" spans="1:10">
      <c r="A57" s="14" t="s">
        <v>16</v>
      </c>
      <c r="B57" s="14" t="s">
        <v>739</v>
      </c>
      <c r="C57" s="14" t="s">
        <v>745</v>
      </c>
      <c r="D57" s="14"/>
      <c r="E57" s="14" t="s">
        <v>776</v>
      </c>
      <c r="F57" s="14"/>
      <c r="G57" s="14"/>
      <c r="H57" s="14"/>
      <c r="I57" s="14"/>
      <c r="J57" s="14" t="s">
        <v>742</v>
      </c>
    </row>
    <row r="58" spans="1:10">
      <c r="A58" s="14"/>
      <c r="B58" s="14"/>
      <c r="C58" s="14" t="s">
        <v>780</v>
      </c>
      <c r="D58" s="14"/>
      <c r="E58" s="14" t="s">
        <v>778</v>
      </c>
      <c r="F58" s="14"/>
      <c r="G58" s="14"/>
      <c r="H58" s="14"/>
      <c r="I58" s="14"/>
      <c r="J58" s="14"/>
    </row>
    <row r="59" spans="1:10">
      <c r="A59" s="14"/>
      <c r="B59" s="14"/>
      <c r="C59" s="14" t="s">
        <v>770</v>
      </c>
      <c r="D59" s="14"/>
      <c r="E59" s="14" t="s">
        <v>777</v>
      </c>
      <c r="F59" s="14"/>
      <c r="G59" s="14"/>
      <c r="H59" s="14"/>
      <c r="I59" s="14"/>
      <c r="J59" s="14"/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2"/>
  <sheetViews>
    <sheetView tabSelected="1" workbookViewId="0">
      <selection activeCell="D11" sqref="D11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 s="14" customFormat="1"/>
    <row r="3" spans="1:10" s="14" customFormat="1">
      <c r="A3" s="14" t="s">
        <v>15</v>
      </c>
      <c r="B3" s="14" t="s">
        <v>415</v>
      </c>
      <c r="C3" s="14" t="s">
        <v>11</v>
      </c>
      <c r="D3" s="14" t="s">
        <v>9</v>
      </c>
      <c r="E3" s="14" t="s">
        <v>645</v>
      </c>
      <c r="F3" s="14" t="s">
        <v>852</v>
      </c>
      <c r="G3" s="14" t="s">
        <v>860</v>
      </c>
      <c r="H3" s="14" t="s">
        <v>874</v>
      </c>
    </row>
    <row r="4" spans="1:10">
      <c r="C4" t="s">
        <v>765</v>
      </c>
      <c r="D4" t="s">
        <v>764</v>
      </c>
      <c r="E4" s="14" t="s">
        <v>721</v>
      </c>
      <c r="F4" s="14">
        <v>0</v>
      </c>
      <c r="G4" s="14" t="s">
        <v>822</v>
      </c>
      <c r="H4" t="s">
        <v>876</v>
      </c>
    </row>
    <row r="5" spans="1:10">
      <c r="C5" t="s">
        <v>766</v>
      </c>
      <c r="D5" t="s">
        <v>763</v>
      </c>
      <c r="E5" s="14" t="s">
        <v>721</v>
      </c>
      <c r="F5" s="14"/>
      <c r="G5" s="14" t="s">
        <v>822</v>
      </c>
      <c r="H5" t="s">
        <v>877</v>
      </c>
    </row>
    <row r="8" spans="1:10">
      <c r="A8" t="s">
        <v>15</v>
      </c>
      <c r="B8" t="s">
        <v>645</v>
      </c>
      <c r="C8" t="s">
        <v>721</v>
      </c>
      <c r="D8">
        <v>0</v>
      </c>
      <c r="E8" t="s">
        <v>646</v>
      </c>
    </row>
    <row r="9" spans="1:10">
      <c r="C9" t="s">
        <v>721</v>
      </c>
      <c r="E9" t="s">
        <v>705</v>
      </c>
    </row>
    <row r="11" spans="1:10">
      <c r="A11" t="s">
        <v>15</v>
      </c>
      <c r="B11" t="s">
        <v>706</v>
      </c>
      <c r="C11" t="s">
        <v>822</v>
      </c>
      <c r="J11" t="s">
        <v>822</v>
      </c>
    </row>
    <row r="12" spans="1:10">
      <c r="C12" t="s">
        <v>822</v>
      </c>
      <c r="E12" t="s">
        <v>717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t="s">
        <v>364</v>
      </c>
      <c r="D15" s="14" t="s">
        <v>880</v>
      </c>
      <c r="G15" s="14" t="s">
        <v>879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762</v>
      </c>
      <c r="E21" t="s">
        <v>148</v>
      </c>
    </row>
    <row r="22" spans="1:10">
      <c r="B22" s="3"/>
      <c r="C22" s="14" t="s">
        <v>853</v>
      </c>
      <c r="D22" s="3"/>
    </row>
    <row r="23" spans="1:10">
      <c r="C23" t="s">
        <v>637</v>
      </c>
    </row>
    <row r="24" spans="1:10">
      <c r="C24" t="s">
        <v>859</v>
      </c>
      <c r="E24" t="s">
        <v>370</v>
      </c>
      <c r="J24" t="s">
        <v>416</v>
      </c>
    </row>
    <row r="25" spans="1:10">
      <c r="E25" t="s">
        <v>719</v>
      </c>
    </row>
    <row r="26" spans="1:10">
      <c r="A26" t="s">
        <v>16</v>
      </c>
      <c r="B26" s="3" t="s">
        <v>637</v>
      </c>
      <c r="C26" t="s">
        <v>635</v>
      </c>
    </row>
    <row r="27" spans="1:10">
      <c r="C27" t="s">
        <v>638</v>
      </c>
    </row>
    <row r="28" spans="1:10">
      <c r="A28" t="s">
        <v>16</v>
      </c>
      <c r="B28" t="s">
        <v>638</v>
      </c>
      <c r="C28" t="s">
        <v>639</v>
      </c>
      <c r="E28" t="s">
        <v>636</v>
      </c>
    </row>
    <row r="30" spans="1:10">
      <c r="A30" t="s">
        <v>16</v>
      </c>
      <c r="B30" s="3" t="s">
        <v>32</v>
      </c>
      <c r="C30" t="s">
        <v>399</v>
      </c>
    </row>
    <row r="31" spans="1:10">
      <c r="B31" s="3"/>
      <c r="C31" t="s">
        <v>861</v>
      </c>
      <c r="E31" t="s">
        <v>117</v>
      </c>
    </row>
    <row r="32" spans="1:10">
      <c r="C32" t="s">
        <v>118</v>
      </c>
    </row>
    <row r="33" spans="1:7">
      <c r="A33" t="s">
        <v>16</v>
      </c>
      <c r="B33" t="s">
        <v>118</v>
      </c>
      <c r="C33" t="s">
        <v>422</v>
      </c>
    </row>
    <row r="34" spans="1:7">
      <c r="C34" t="s">
        <v>862</v>
      </c>
      <c r="E34" t="s">
        <v>708</v>
      </c>
    </row>
    <row r="35" spans="1:7">
      <c r="C35" t="s">
        <v>863</v>
      </c>
      <c r="E35" t="s">
        <v>709</v>
      </c>
    </row>
    <row r="36" spans="1:7">
      <c r="C36" t="s">
        <v>24</v>
      </c>
    </row>
    <row r="39" spans="1:7">
      <c r="A39" t="s">
        <v>16</v>
      </c>
      <c r="B39" t="s">
        <v>816</v>
      </c>
      <c r="C39" t="s">
        <v>24</v>
      </c>
    </row>
    <row r="40" spans="1:7">
      <c r="C40" s="14" t="s">
        <v>875</v>
      </c>
      <c r="E40" t="s">
        <v>713</v>
      </c>
      <c r="G40" s="14" t="s">
        <v>872</v>
      </c>
    </row>
    <row r="41" spans="1:7" s="14" customFormat="1">
      <c r="C41" s="14" t="s">
        <v>24</v>
      </c>
    </row>
    <row r="42" spans="1:7">
      <c r="C42" t="s">
        <v>871</v>
      </c>
      <c r="E42" t="s">
        <v>5</v>
      </c>
    </row>
    <row r="43" spans="1:7">
      <c r="C43" t="s">
        <v>870</v>
      </c>
      <c r="E43" t="s">
        <v>817</v>
      </c>
    </row>
    <row r="44" spans="1:7">
      <c r="C44" t="s">
        <v>24</v>
      </c>
    </row>
    <row r="45" spans="1:7">
      <c r="C45" t="s">
        <v>868</v>
      </c>
    </row>
    <row r="46" spans="1:7">
      <c r="C46" t="s">
        <v>869</v>
      </c>
    </row>
    <row r="47" spans="1:7">
      <c r="C47" t="s">
        <v>729</v>
      </c>
    </row>
    <row r="48" spans="1:7">
      <c r="C48" s="17" t="s">
        <v>873</v>
      </c>
      <c r="E48" t="s">
        <v>64</v>
      </c>
    </row>
    <row r="50" spans="1:10">
      <c r="A50" t="s">
        <v>16</v>
      </c>
      <c r="B50" t="s">
        <v>739</v>
      </c>
      <c r="C50" t="s">
        <v>823</v>
      </c>
    </row>
    <row r="51" spans="1:10">
      <c r="A51" s="17"/>
      <c r="B51" s="17"/>
      <c r="C51" t="s">
        <v>824</v>
      </c>
      <c r="E51" t="s">
        <v>776</v>
      </c>
      <c r="J51" t="s">
        <v>809</v>
      </c>
    </row>
    <row r="52" spans="1:10">
      <c r="C52" t="s">
        <v>864</v>
      </c>
      <c r="E52" t="s">
        <v>778</v>
      </c>
      <c r="J52" t="s">
        <v>815</v>
      </c>
    </row>
    <row r="53" spans="1:10">
      <c r="C53" t="s">
        <v>865</v>
      </c>
      <c r="E53" t="s">
        <v>777</v>
      </c>
    </row>
    <row r="55" spans="1:10">
      <c r="A55" t="s">
        <v>16</v>
      </c>
      <c r="B55" t="s">
        <v>761</v>
      </c>
      <c r="C55" t="s">
        <v>742</v>
      </c>
      <c r="E55" t="s">
        <v>741</v>
      </c>
    </row>
    <row r="57" spans="1:10">
      <c r="A57" t="s">
        <v>16</v>
      </c>
      <c r="B57" t="s">
        <v>744</v>
      </c>
      <c r="C57" s="3" t="s">
        <v>866</v>
      </c>
      <c r="E57" t="s">
        <v>820</v>
      </c>
    </row>
    <row r="58" spans="1:10">
      <c r="C58" t="s">
        <v>867</v>
      </c>
      <c r="E58" t="s">
        <v>819</v>
      </c>
    </row>
    <row r="60" spans="1:10">
      <c r="A60" t="s">
        <v>16</v>
      </c>
      <c r="B60" t="s">
        <v>746</v>
      </c>
      <c r="C60" t="s">
        <v>814</v>
      </c>
    </row>
    <row r="62" spans="1:10">
      <c r="A62" t="s">
        <v>16</v>
      </c>
      <c r="B62" t="s">
        <v>659</v>
      </c>
      <c r="C62" t="s">
        <v>815</v>
      </c>
      <c r="J62" t="s">
        <v>809</v>
      </c>
    </row>
  </sheetData>
  <hyperlinks>
    <hyperlink ref="C26" r:id="rId1" display="url:DCLICK" xr:uid="{11524327-24B7-4F40-B5C7-075E0D45EFC7}"/>
    <hyperlink ref="L31" r:id="rId2" display="url:URL_Dclick_Pages" xr:uid="{BD2A25AC-DFF1-4DD8-A8C2-D312570AD9F1}"/>
    <hyperlink ref="C31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C20" sqref="C20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47.28515625" style="14" customWidth="1"/>
    <col min="5" max="5" width="24.7109375" style="14" customWidth="1"/>
    <col min="6" max="10" width="9.140625" style="14"/>
    <col min="11" max="11" width="9.7109375" style="14" bestFit="1" customWidth="1"/>
    <col min="12" max="16384" width="9.140625" style="14"/>
  </cols>
  <sheetData>
    <row r="1" spans="1:10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10">
      <c r="A2" s="14" t="s">
        <v>15</v>
      </c>
      <c r="B2" s="14" t="s">
        <v>415</v>
      </c>
      <c r="C2" s="14" t="s">
        <v>765</v>
      </c>
      <c r="D2" s="14" t="s">
        <v>764</v>
      </c>
      <c r="E2" s="14" t="s">
        <v>92</v>
      </c>
    </row>
    <row r="3" spans="1:10">
      <c r="C3" s="14" t="s">
        <v>766</v>
      </c>
      <c r="D3" s="14" t="s">
        <v>763</v>
      </c>
      <c r="E3" s="14" t="s">
        <v>92</v>
      </c>
    </row>
    <row r="6" spans="1:10">
      <c r="A6" s="14" t="s">
        <v>15</v>
      </c>
      <c r="B6" s="14" t="s">
        <v>645</v>
      </c>
      <c r="C6" s="14" t="s">
        <v>721</v>
      </c>
      <c r="D6" s="14">
        <v>0</v>
      </c>
      <c r="E6" s="14" t="s">
        <v>646</v>
      </c>
    </row>
    <row r="7" spans="1:10">
      <c r="C7" s="14" t="s">
        <v>721</v>
      </c>
      <c r="E7" s="14" t="s">
        <v>705</v>
      </c>
    </row>
    <row r="9" spans="1:10">
      <c r="A9" s="14" t="s">
        <v>15</v>
      </c>
      <c r="B9" s="14" t="s">
        <v>706</v>
      </c>
      <c r="C9" s="14" t="s">
        <v>822</v>
      </c>
      <c r="J9" s="14" t="s">
        <v>822</v>
      </c>
    </row>
    <row r="10" spans="1:10">
      <c r="C10" s="14" t="s">
        <v>822</v>
      </c>
      <c r="E10" s="14" t="s">
        <v>717</v>
      </c>
    </row>
    <row r="12" spans="1:10">
      <c r="A12" s="14" t="s">
        <v>15</v>
      </c>
      <c r="B12" s="16" t="s">
        <v>357</v>
      </c>
      <c r="C12" s="14" t="s">
        <v>252</v>
      </c>
      <c r="D12" s="14" t="s">
        <v>632</v>
      </c>
      <c r="E12" s="16" t="s">
        <v>432</v>
      </c>
    </row>
    <row r="13" spans="1:10">
      <c r="C13" s="14" t="s">
        <v>364</v>
      </c>
      <c r="D13" s="14" t="s">
        <v>750</v>
      </c>
    </row>
    <row r="15" spans="1:10">
      <c r="A15" s="14" t="s">
        <v>15</v>
      </c>
      <c r="B15" s="14" t="s">
        <v>9</v>
      </c>
      <c r="C15" s="14" t="s">
        <v>634</v>
      </c>
      <c r="D15" s="14" t="s">
        <v>633</v>
      </c>
      <c r="E15" s="16" t="s">
        <v>433</v>
      </c>
    </row>
    <row r="17" spans="1:10">
      <c r="A17" s="14" t="s">
        <v>15</v>
      </c>
      <c r="B17" s="14" t="s">
        <v>404</v>
      </c>
      <c r="C17" s="14" t="s">
        <v>405</v>
      </c>
      <c r="E17" s="16" t="s">
        <v>436</v>
      </c>
    </row>
    <row r="18" spans="1:10">
      <c r="E18" s="16"/>
    </row>
    <row r="19" spans="1:10">
      <c r="A19" s="14" t="s">
        <v>16</v>
      </c>
      <c r="B19" s="16" t="s">
        <v>25</v>
      </c>
      <c r="C19" s="14" t="s">
        <v>762</v>
      </c>
      <c r="E19" s="14" t="s">
        <v>148</v>
      </c>
    </row>
    <row r="20" spans="1:10">
      <c r="B20" s="16"/>
      <c r="C20" s="14" t="s">
        <v>644</v>
      </c>
      <c r="D20" s="16"/>
    </row>
    <row r="21" spans="1:10">
      <c r="C21" s="14" t="s">
        <v>637</v>
      </c>
    </row>
    <row r="22" spans="1:10">
      <c r="C22" s="14" t="s">
        <v>821</v>
      </c>
      <c r="E22" s="14" t="s">
        <v>370</v>
      </c>
      <c r="J22" s="14" t="s">
        <v>416</v>
      </c>
    </row>
    <row r="23" spans="1:10">
      <c r="E23" s="14" t="s">
        <v>719</v>
      </c>
    </row>
    <row r="24" spans="1:10">
      <c r="A24" s="14" t="s">
        <v>16</v>
      </c>
      <c r="B24" s="16" t="s">
        <v>637</v>
      </c>
      <c r="C24" s="14" t="s">
        <v>635</v>
      </c>
    </row>
    <row r="25" spans="1:10">
      <c r="C25" s="14" t="s">
        <v>638</v>
      </c>
    </row>
    <row r="26" spans="1:10">
      <c r="A26" s="14" t="s">
        <v>16</v>
      </c>
      <c r="B26" s="14" t="s">
        <v>638</v>
      </c>
      <c r="C26" s="14" t="s">
        <v>639</v>
      </c>
      <c r="E26" s="14" t="s">
        <v>636</v>
      </c>
    </row>
    <row r="28" spans="1:10">
      <c r="A28" s="14" t="s">
        <v>16</v>
      </c>
      <c r="B28" s="16" t="s">
        <v>32</v>
      </c>
      <c r="C28" s="14" t="s">
        <v>399</v>
      </c>
    </row>
    <row r="29" spans="1:10">
      <c r="B29" s="16"/>
      <c r="C29" s="14" t="s">
        <v>417</v>
      </c>
      <c r="E29" s="14" t="s">
        <v>117</v>
      </c>
    </row>
    <row r="30" spans="1:10">
      <c r="C30" s="14" t="s">
        <v>118</v>
      </c>
    </row>
    <row r="31" spans="1:10">
      <c r="A31" s="14" t="s">
        <v>16</v>
      </c>
      <c r="B31" s="14" t="s">
        <v>118</v>
      </c>
      <c r="C31" s="14" t="s">
        <v>422</v>
      </c>
    </row>
    <row r="32" spans="1:10">
      <c r="C32" s="14" t="s">
        <v>647</v>
      </c>
      <c r="E32" s="14" t="s">
        <v>708</v>
      </c>
    </row>
    <row r="33" spans="1:10">
      <c r="C33" s="14" t="s">
        <v>658</v>
      </c>
      <c r="E33" s="14" t="s">
        <v>709</v>
      </c>
    </row>
    <row r="34" spans="1:10">
      <c r="C34" s="14" t="s">
        <v>24</v>
      </c>
    </row>
    <row r="37" spans="1:10">
      <c r="A37" s="14" t="s">
        <v>16</v>
      </c>
      <c r="B37" s="14" t="s">
        <v>816</v>
      </c>
      <c r="C37" s="14" t="s">
        <v>24</v>
      </c>
    </row>
    <row r="38" spans="1:10">
      <c r="C38" s="14" t="s">
        <v>724</v>
      </c>
      <c r="E38" s="14" t="s">
        <v>713</v>
      </c>
    </row>
    <row r="39" spans="1:10">
      <c r="C39" s="14" t="s">
        <v>725</v>
      </c>
      <c r="E39" s="14" t="s">
        <v>5</v>
      </c>
    </row>
    <row r="40" spans="1:10">
      <c r="C40" s="14" t="s">
        <v>810</v>
      </c>
      <c r="E40" s="14" t="s">
        <v>817</v>
      </c>
    </row>
    <row r="41" spans="1:10">
      <c r="C41" s="14" t="s">
        <v>24</v>
      </c>
    </row>
    <row r="42" spans="1:10">
      <c r="C42" s="14" t="s">
        <v>728</v>
      </c>
    </row>
    <row r="43" spans="1:10">
      <c r="C43" s="14" t="s">
        <v>727</v>
      </c>
    </row>
    <row r="44" spans="1:10">
      <c r="C44" s="14" t="s">
        <v>729</v>
      </c>
    </row>
    <row r="45" spans="1:10">
      <c r="C45" s="14" t="s">
        <v>811</v>
      </c>
      <c r="E45" s="14" t="s">
        <v>64</v>
      </c>
    </row>
    <row r="47" spans="1:10">
      <c r="A47" s="14" t="s">
        <v>16</v>
      </c>
      <c r="B47" s="14" t="s">
        <v>739</v>
      </c>
      <c r="C47" s="14" t="s">
        <v>823</v>
      </c>
    </row>
    <row r="48" spans="1:10">
      <c r="C48" s="14" t="s">
        <v>824</v>
      </c>
      <c r="E48" s="14" t="s">
        <v>776</v>
      </c>
      <c r="J48" s="14" t="s">
        <v>809</v>
      </c>
    </row>
    <row r="49" spans="1:10">
      <c r="C49" s="14" t="s">
        <v>808</v>
      </c>
      <c r="E49" s="14" t="s">
        <v>778</v>
      </c>
      <c r="J49" s="14" t="s">
        <v>815</v>
      </c>
    </row>
    <row r="50" spans="1:10">
      <c r="C50" s="14" t="s">
        <v>807</v>
      </c>
      <c r="E50" s="14" t="s">
        <v>777</v>
      </c>
    </row>
    <row r="52" spans="1:10">
      <c r="A52" s="14" t="s">
        <v>16</v>
      </c>
      <c r="B52" s="14" t="s">
        <v>761</v>
      </c>
      <c r="C52" s="14" t="s">
        <v>742</v>
      </c>
      <c r="E52" s="14" t="s">
        <v>741</v>
      </c>
    </row>
    <row r="54" spans="1:10">
      <c r="A54" s="14" t="s">
        <v>16</v>
      </c>
      <c r="B54" s="14" t="s">
        <v>744</v>
      </c>
      <c r="C54" s="16" t="s">
        <v>806</v>
      </c>
      <c r="E54" s="14" t="s">
        <v>820</v>
      </c>
    </row>
    <row r="55" spans="1:10">
      <c r="C55" s="14" t="s">
        <v>805</v>
      </c>
      <c r="E55" s="14" t="s">
        <v>819</v>
      </c>
    </row>
    <row r="57" spans="1:10">
      <c r="A57" s="14" t="s">
        <v>16</v>
      </c>
      <c r="B57" s="14" t="s">
        <v>746</v>
      </c>
      <c r="C57" s="14" t="s">
        <v>814</v>
      </c>
    </row>
    <row r="59" spans="1:10">
      <c r="A59" s="14" t="s">
        <v>16</v>
      </c>
      <c r="B59" s="14" t="s">
        <v>659</v>
      </c>
      <c r="C59" s="14" t="s">
        <v>815</v>
      </c>
      <c r="J59" s="14" t="s">
        <v>809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C45" sqref="C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704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740</v>
      </c>
      <c r="L10" t="s">
        <v>707</v>
      </c>
    </row>
    <row r="11" spans="1:18">
      <c r="C11" t="s">
        <v>740</v>
      </c>
    </row>
    <row r="12" spans="1:18">
      <c r="C12" t="s">
        <v>710</v>
      </c>
      <c r="I12" t="b">
        <f>D2=J12</f>
        <v>1</v>
      </c>
      <c r="J12" t="s">
        <v>764</v>
      </c>
    </row>
    <row r="13" spans="1:18">
      <c r="C13" t="s">
        <v>710</v>
      </c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createPDF:imagelist,./Output/Images/,./Output/APAC_Daily_Sales_20221213232950.pdf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20221213232950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722</v>
      </c>
      <c r="E96" t="s">
        <v>715</v>
      </c>
    </row>
    <row r="97" spans="1:10">
      <c r="C97" t="s">
        <v>340</v>
      </c>
      <c r="E97" t="s">
        <v>714</v>
      </c>
    </row>
    <row r="98" spans="1:10">
      <c r="C98" t="s">
        <v>724</v>
      </c>
      <c r="E98" t="s">
        <v>713</v>
      </c>
    </row>
    <row r="99" spans="1:10">
      <c r="C99" t="s">
        <v>725</v>
      </c>
      <c r="E99" t="s">
        <v>5</v>
      </c>
    </row>
    <row r="100" spans="1:10">
      <c r="C100" t="s">
        <v>726</v>
      </c>
      <c r="E100" t="s">
        <v>716</v>
      </c>
    </row>
    <row r="101" spans="1:10">
      <c r="C101" t="s">
        <v>24</v>
      </c>
    </row>
    <row r="102" spans="1:10">
      <c r="C102" t="s">
        <v>728</v>
      </c>
      <c r="E102" t="s">
        <v>723</v>
      </c>
    </row>
    <row r="103" spans="1:10">
      <c r="C103" t="s">
        <v>727</v>
      </c>
    </row>
    <row r="104" spans="1:10">
      <c r="C104" t="s">
        <v>1</v>
      </c>
      <c r="E104" t="s">
        <v>730</v>
      </c>
    </row>
    <row r="105" spans="1:10">
      <c r="C105" t="s">
        <v>767</v>
      </c>
      <c r="E105" t="s">
        <v>64</v>
      </c>
    </row>
    <row r="107" spans="1:10">
      <c r="A107" t="s">
        <v>16</v>
      </c>
      <c r="B107" t="s">
        <v>739</v>
      </c>
      <c r="C107" t="s">
        <v>745</v>
      </c>
      <c r="J107" t="s">
        <v>742</v>
      </c>
    </row>
    <row r="108" spans="1:10">
      <c r="C108" t="s">
        <v>770</v>
      </c>
    </row>
    <row r="112" spans="1:10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768</v>
      </c>
      <c r="E116" s="11" t="s">
        <v>732</v>
      </c>
    </row>
    <row r="117" spans="1:10">
      <c r="C117" t="s">
        <v>769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16" workbookViewId="0">
      <selection activeCell="B123" sqref="B12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812</v>
      </c>
      <c r="E10" t="s">
        <v>813</v>
      </c>
      <c r="L10" t="s">
        <v>707</v>
      </c>
    </row>
    <row r="11" spans="1:18">
      <c r="C11" t="s">
        <v>812</v>
      </c>
    </row>
    <row r="12" spans="1:18">
      <c r="I12" t="b">
        <f>D2=J12</f>
        <v>1</v>
      </c>
      <c r="J12" t="s">
        <v>764</v>
      </c>
    </row>
    <row r="13" spans="1:18"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createPDF:imagelist,./Output/Images/,./Output/APAC_Daily_Sales_20221213232950.pdf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20221213232950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774</v>
      </c>
      <c r="E96" t="s">
        <v>715</v>
      </c>
    </row>
    <row r="97" spans="1:12">
      <c r="C97" t="s">
        <v>775</v>
      </c>
      <c r="E97" t="s">
        <v>714</v>
      </c>
    </row>
    <row r="98" spans="1:12">
      <c r="C98" t="s">
        <v>724</v>
      </c>
      <c r="E98" t="s">
        <v>713</v>
      </c>
    </row>
    <row r="99" spans="1:12">
      <c r="C99" t="s">
        <v>725</v>
      </c>
      <c r="E99" t="s">
        <v>5</v>
      </c>
    </row>
    <row r="100" spans="1:12">
      <c r="C100" t="s">
        <v>810</v>
      </c>
      <c r="E100" t="s">
        <v>716</v>
      </c>
      <c r="G100" t="s">
        <v>726</v>
      </c>
    </row>
    <row r="101" spans="1:12">
      <c r="C101" t="s">
        <v>24</v>
      </c>
    </row>
    <row r="102" spans="1:12">
      <c r="C102" t="s">
        <v>728</v>
      </c>
      <c r="E102" t="s">
        <v>723</v>
      </c>
    </row>
    <row r="103" spans="1:12">
      <c r="C103" t="s">
        <v>727</v>
      </c>
    </row>
    <row r="104" spans="1:12">
      <c r="C104" t="s">
        <v>1</v>
      </c>
      <c r="E104" t="s">
        <v>730</v>
      </c>
    </row>
    <row r="105" spans="1:12">
      <c r="C105" t="s">
        <v>811</v>
      </c>
      <c r="E105" t="s">
        <v>64</v>
      </c>
      <c r="L105" t="s">
        <v>767</v>
      </c>
    </row>
    <row r="107" spans="1:12">
      <c r="A107" t="s">
        <v>16</v>
      </c>
      <c r="B107" t="s">
        <v>739</v>
      </c>
      <c r="C107" t="s">
        <v>809</v>
      </c>
      <c r="E107" t="s">
        <v>776</v>
      </c>
      <c r="J107" t="s">
        <v>742</v>
      </c>
    </row>
    <row r="108" spans="1:12">
      <c r="C108" t="s">
        <v>808</v>
      </c>
      <c r="E108" t="s">
        <v>778</v>
      </c>
    </row>
    <row r="109" spans="1:12">
      <c r="C109" t="s">
        <v>807</v>
      </c>
      <c r="E109" t="s">
        <v>777</v>
      </c>
    </row>
    <row r="112" spans="1:12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805</v>
      </c>
      <c r="E116" s="11" t="s">
        <v>732</v>
      </c>
    </row>
    <row r="117" spans="1:10">
      <c r="C117" t="s">
        <v>806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A122" t="s">
        <v>16</v>
      </c>
      <c r="B122" t="s">
        <v>25</v>
      </c>
      <c r="C122" t="s">
        <v>809</v>
      </c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8" workbookViewId="0">
      <selection activeCell="D48" sqref="D48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818</v>
      </c>
      <c r="E48" t="s">
        <v>776</v>
      </c>
      <c r="J48" t="s">
        <v>809</v>
      </c>
    </row>
    <row r="49" spans="1:10">
      <c r="C49" t="s">
        <v>780</v>
      </c>
      <c r="E49" t="s">
        <v>778</v>
      </c>
      <c r="J49" t="s">
        <v>815</v>
      </c>
    </row>
    <row r="50" spans="1:10">
      <c r="C50" t="s">
        <v>770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t="s">
        <v>769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50" workbookViewId="0">
      <selection activeCell="L56" sqref="L5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756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751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createPDF:imagelist,./Output/Images/,./Output/APAC_Daily_Sales_20221213232950.pdf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20221213232950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752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753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347" workbookViewId="0">
      <selection activeCell="D370" sqref="D370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754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755</v>
      </c>
      <c r="G426" t="s">
        <v>686</v>
      </c>
    </row>
    <row r="427" spans="1:7">
      <c r="G427" t="s">
        <v>755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createPDF:imagelist,./Output/Images/,./Output/APAC_Daily_Sales_20221213232950.pdf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20221213232950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302" workbookViewId="0">
      <selection activeCell="K315" sqref="K31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createPDF:imagelist,./Output/Images/,./Output/APAC_Daily_Sales_20221213232950.pdf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20221213232950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854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855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createPDF:imagelist,./Output/Images/,./Output/APAC_Daily_Sales_20221213232950.pdf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20221213232950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createPDF:imagelist,./Output/Images/,./Output/APAC_Daily_Sales_20221213232950.pdf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20221213232950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createPDF:imagelist,./Output/Images/,./Output/APAC_Daily_Sales_20221213232950.pdf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20221213232950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main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Raymond OH</cp:lastModifiedBy>
  <dcterms:created xsi:type="dcterms:W3CDTF">2022-07-22T14:45:30Z</dcterms:created>
  <dcterms:modified xsi:type="dcterms:W3CDTF">2022-12-13T15:29:49Z</dcterms:modified>
</cp:coreProperties>
</file>