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835509A6-F2D2-4BBF-9B5A-F6A66BAE201D}" xr6:coauthVersionLast="47" xr6:coauthVersionMax="47" xr10:uidLastSave="{00000000-0000-0000-0000-000000000000}"/>
  <bookViews>
    <workbookView xWindow="780" yWindow="780" windowWidth="21600" windowHeight="11385" tabRatio="792" activeTab="2" xr2:uid="{0D015D22-72E6-418D-80FA-246518C96D96}"/>
  </bookViews>
  <sheets>
    <sheet name="ReadMe" sheetId="8" r:id="rId1"/>
    <sheet name="CheckFiles" sheetId="18" r:id="rId2"/>
    <sheet name="main" sheetId="4" r:id="rId3"/>
    <sheet name="DCLICK_MGT" sheetId="22" r:id="rId4"/>
    <sheet name="DCLICK_MGT (2)" sheetId="23" r:id="rId5"/>
    <sheet name="DCLICK_MGT_2" sheetId="15" r:id="rId6"/>
    <sheet name="DCLICK_MGT_PDF" sheetId="21" r:id="rId7"/>
    <sheet name="DCLICK_CAT" sheetId="19" r:id="rId8"/>
    <sheet name="BAK DCLICK_MGT" sheetId="20" r:id="rId9"/>
    <sheet name="DeleteDCLICK_MGT_CAT" sheetId="16" r:id="rId10"/>
    <sheet name="DCLICK2" sheetId="6" r:id="rId11"/>
    <sheet name="iCristal2" sheetId="7" r:id="rId12"/>
    <sheet name="DCLICK" sheetId="2" r:id="rId13"/>
    <sheet name="iCristal" sheetId="5" r:id="rId14"/>
    <sheet name="DCLICK2 (6.8)" sheetId="9" r:id="rId15"/>
    <sheet name="DCLICK (iCirstal PRD run)" sheetId="10" r:id="rId16"/>
    <sheet name="Template" sheetId="13" r:id="rId17"/>
  </sheets>
  <functionGroups builtInGroupCount="19"/>
  <definedNames>
    <definedName name="const_now">CheckFiles!$AE$1</definedName>
    <definedName name="const_VM">CheckFiles!$AF$1</definedName>
    <definedName name="runDClick_CAT">CheckFiles!$AD$3</definedName>
    <definedName name="runDClick_MGT">CheckFiles!$AC$3</definedName>
    <definedName name="runDClick_MGT_PDF">CheckFiles!$AF$3</definedName>
    <definedName name="runiCristal">CheckFiles!$AE$3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5" i="23" l="1"/>
  <c r="H97" i="23"/>
  <c r="H85" i="23"/>
  <c r="C75" i="23"/>
  <c r="C74" i="23"/>
  <c r="H73" i="23"/>
  <c r="H98" i="23" s="1"/>
  <c r="C73" i="23"/>
  <c r="H72" i="23"/>
  <c r="C72" i="23"/>
  <c r="C71" i="23"/>
  <c r="H70" i="23"/>
  <c r="H95" i="23" s="1"/>
  <c r="C70" i="23"/>
  <c r="C69" i="23"/>
  <c r="C68" i="23"/>
  <c r="H67" i="23"/>
  <c r="H92" i="23" s="1"/>
  <c r="C67" i="23"/>
  <c r="C66" i="23"/>
  <c r="H65" i="23"/>
  <c r="H90" i="23" s="1"/>
  <c r="C65" i="23"/>
  <c r="C64" i="23"/>
  <c r="C63" i="23"/>
  <c r="C62" i="23"/>
  <c r="H61" i="23"/>
  <c r="H86" i="23" s="1"/>
  <c r="C61" i="23"/>
  <c r="H60" i="23"/>
  <c r="C60" i="23"/>
  <c r="C59" i="23"/>
  <c r="H58" i="23"/>
  <c r="H83" i="23" s="1"/>
  <c r="C58" i="23"/>
  <c r="C57" i="23"/>
  <c r="C56" i="23"/>
  <c r="H55" i="23"/>
  <c r="H80" i="23" s="1"/>
  <c r="C55" i="23"/>
  <c r="C54" i="23"/>
  <c r="H53" i="23"/>
  <c r="H78" i="23" s="1"/>
  <c r="C53" i="23"/>
  <c r="C52" i="23"/>
  <c r="H50" i="23"/>
  <c r="H75" i="23" s="1"/>
  <c r="H100" i="23" s="1"/>
  <c r="H49" i="23"/>
  <c r="H74" i="23" s="1"/>
  <c r="H99" i="23" s="1"/>
  <c r="H48" i="23"/>
  <c r="D48" i="23"/>
  <c r="E48" i="23" s="1"/>
  <c r="H47" i="23"/>
  <c r="H46" i="23"/>
  <c r="H71" i="23" s="1"/>
  <c r="H96" i="23" s="1"/>
  <c r="H45" i="23"/>
  <c r="D45" i="23"/>
  <c r="E45" i="23" s="1"/>
  <c r="H44" i="23"/>
  <c r="H69" i="23" s="1"/>
  <c r="H94" i="23" s="1"/>
  <c r="H43" i="23"/>
  <c r="H68" i="23" s="1"/>
  <c r="H93" i="23" s="1"/>
  <c r="H42" i="23"/>
  <c r="H41" i="23"/>
  <c r="H66" i="23" s="1"/>
  <c r="H91" i="23" s="1"/>
  <c r="E41" i="23"/>
  <c r="D41" i="23"/>
  <c r="H40" i="23"/>
  <c r="D40" i="23"/>
  <c r="E40" i="23" s="1"/>
  <c r="H39" i="23"/>
  <c r="H64" i="23" s="1"/>
  <c r="H89" i="23" s="1"/>
  <c r="H38" i="23"/>
  <c r="H63" i="23" s="1"/>
  <c r="H88" i="23" s="1"/>
  <c r="H37" i="23"/>
  <c r="H62" i="23" s="1"/>
  <c r="H87" i="23" s="1"/>
  <c r="H36" i="23"/>
  <c r="D36" i="23"/>
  <c r="E36" i="23" s="1"/>
  <c r="H35" i="23"/>
  <c r="H34" i="23"/>
  <c r="H59" i="23" s="1"/>
  <c r="H84" i="23" s="1"/>
  <c r="H33" i="23"/>
  <c r="D33" i="23"/>
  <c r="E33" i="23" s="1"/>
  <c r="H32" i="23"/>
  <c r="H57" i="23" s="1"/>
  <c r="H82" i="23" s="1"/>
  <c r="H31" i="23"/>
  <c r="H56" i="23" s="1"/>
  <c r="H81" i="23" s="1"/>
  <c r="H30" i="23"/>
  <c r="O29" i="23"/>
  <c r="D44" i="23" s="1"/>
  <c r="E44" i="23" s="1"/>
  <c r="H29" i="23"/>
  <c r="H54" i="23" s="1"/>
  <c r="H79" i="23" s="1"/>
  <c r="H28" i="23"/>
  <c r="D28" i="23"/>
  <c r="E28" i="23" s="1"/>
  <c r="L27" i="23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H27" i="23"/>
  <c r="H52" i="23" s="1"/>
  <c r="H77" i="23" s="1"/>
  <c r="D105" i="22"/>
  <c r="H92" i="22"/>
  <c r="C75" i="22"/>
  <c r="C74" i="22"/>
  <c r="C73" i="22"/>
  <c r="C72" i="22"/>
  <c r="C71" i="22"/>
  <c r="C70" i="22"/>
  <c r="C69" i="22"/>
  <c r="H68" i="22"/>
  <c r="H93" i="22" s="1"/>
  <c r="C68" i="22"/>
  <c r="H67" i="22"/>
  <c r="C67" i="22"/>
  <c r="C66" i="22"/>
  <c r="C65" i="22"/>
  <c r="C64" i="22"/>
  <c r="C63" i="22"/>
  <c r="C62" i="22"/>
  <c r="C61" i="22"/>
  <c r="H60" i="22"/>
  <c r="H85" i="22" s="1"/>
  <c r="C60" i="22"/>
  <c r="H59" i="22"/>
  <c r="H84" i="22" s="1"/>
  <c r="C59" i="22"/>
  <c r="C58" i="22"/>
  <c r="C57" i="22"/>
  <c r="C56" i="22"/>
  <c r="C55" i="22"/>
  <c r="C54" i="22"/>
  <c r="H53" i="22"/>
  <c r="H78" i="22" s="1"/>
  <c r="C53" i="22"/>
  <c r="C52" i="22"/>
  <c r="H50" i="22"/>
  <c r="H75" i="22" s="1"/>
  <c r="H100" i="22" s="1"/>
  <c r="D50" i="22"/>
  <c r="E50" i="22" s="1"/>
  <c r="H49" i="22"/>
  <c r="H74" i="22" s="1"/>
  <c r="H99" i="22" s="1"/>
  <c r="H48" i="22"/>
  <c r="H73" i="22" s="1"/>
  <c r="H98" i="22" s="1"/>
  <c r="H47" i="22"/>
  <c r="H72" i="22" s="1"/>
  <c r="H97" i="22" s="1"/>
  <c r="H46" i="22"/>
  <c r="H71" i="22" s="1"/>
  <c r="H96" i="22" s="1"/>
  <c r="H45" i="22"/>
  <c r="H44" i="22"/>
  <c r="H69" i="22" s="1"/>
  <c r="H94" i="22" s="1"/>
  <c r="H43" i="22"/>
  <c r="H42" i="22"/>
  <c r="H41" i="22"/>
  <c r="H66" i="22" s="1"/>
  <c r="H91" i="22" s="1"/>
  <c r="H40" i="22"/>
  <c r="H65" i="22" s="1"/>
  <c r="H90" i="22" s="1"/>
  <c r="H39" i="22"/>
  <c r="H64" i="22" s="1"/>
  <c r="H89" i="22" s="1"/>
  <c r="H38" i="22"/>
  <c r="H63" i="22" s="1"/>
  <c r="H88" i="22" s="1"/>
  <c r="H37" i="22"/>
  <c r="H62" i="22" s="1"/>
  <c r="H87" i="22" s="1"/>
  <c r="H36" i="22"/>
  <c r="H61" i="22" s="1"/>
  <c r="H86" i="22" s="1"/>
  <c r="H35" i="22"/>
  <c r="H34" i="22"/>
  <c r="H33" i="22"/>
  <c r="H32" i="22"/>
  <c r="H57" i="22" s="1"/>
  <c r="H82" i="22" s="1"/>
  <c r="H31" i="22"/>
  <c r="H56" i="22" s="1"/>
  <c r="H81" i="22" s="1"/>
  <c r="H30" i="22"/>
  <c r="H55" i="22" s="1"/>
  <c r="H80" i="22" s="1"/>
  <c r="O29" i="22"/>
  <c r="D44" i="22" s="1"/>
  <c r="E44" i="22" s="1"/>
  <c r="H29" i="22"/>
  <c r="H54" i="22" s="1"/>
  <c r="H79" i="22" s="1"/>
  <c r="H28" i="22"/>
  <c r="L27" i="22"/>
  <c r="L28" i="22" s="1"/>
  <c r="L29" i="22" s="1"/>
  <c r="L30" i="22" s="1"/>
  <c r="L31" i="22" s="1"/>
  <c r="L32" i="22" s="1"/>
  <c r="L33" i="22" s="1"/>
  <c r="L34" i="22" s="1"/>
  <c r="L35" i="22" s="1"/>
  <c r="L36" i="22" s="1"/>
  <c r="L37" i="22" s="1"/>
  <c r="L38" i="22" s="1"/>
  <c r="L39" i="22" s="1"/>
  <c r="L40" i="22" s="1"/>
  <c r="L41" i="22" s="1"/>
  <c r="L42" i="22" s="1"/>
  <c r="L43" i="22" s="1"/>
  <c r="L44" i="22" s="1"/>
  <c r="L45" i="22" s="1"/>
  <c r="L46" i="22" s="1"/>
  <c r="L47" i="22" s="1"/>
  <c r="L48" i="22" s="1"/>
  <c r="L49" i="22" s="1"/>
  <c r="L50" i="22" s="1"/>
  <c r="H27" i="22"/>
  <c r="H52" i="22" s="1"/>
  <c r="H77" i="22" s="1"/>
  <c r="X2" i="18"/>
  <c r="X142" i="18" s="1"/>
  <c r="AF5" i="18"/>
  <c r="AE5" i="18"/>
  <c r="AD5" i="18"/>
  <c r="AC5" i="18"/>
  <c r="F76" i="4"/>
  <c r="C76" i="4" s="1"/>
  <c r="N43" i="18"/>
  <c r="N42" i="18"/>
  <c r="O43" i="18"/>
  <c r="O42" i="18"/>
  <c r="P43" i="18"/>
  <c r="P42" i="18"/>
  <c r="R43" i="18"/>
  <c r="Q43" i="18"/>
  <c r="R42" i="18"/>
  <c r="Q42" i="18"/>
  <c r="D57" i="19"/>
  <c r="O17" i="19" s="1"/>
  <c r="D26" i="19" s="1"/>
  <c r="D106" i="15"/>
  <c r="O29" i="15" s="1"/>
  <c r="F58" i="4"/>
  <c r="C58" i="4" s="1"/>
  <c r="AE1" i="18"/>
  <c r="P2" i="18"/>
  <c r="P64" i="18" s="1"/>
  <c r="N2" i="18"/>
  <c r="N28" i="18" s="1"/>
  <c r="R32" i="18"/>
  <c r="Q32" i="18"/>
  <c r="R31" i="18"/>
  <c r="Q31" i="18"/>
  <c r="R30" i="18"/>
  <c r="Q30" i="18"/>
  <c r="R29" i="18"/>
  <c r="Q29" i="18"/>
  <c r="R28" i="18"/>
  <c r="Q28" i="18"/>
  <c r="R27" i="18"/>
  <c r="Q27" i="18"/>
  <c r="R26" i="18"/>
  <c r="Q26" i="18"/>
  <c r="R25" i="18"/>
  <c r="Q25" i="18"/>
  <c r="R24" i="18"/>
  <c r="Q24" i="18"/>
  <c r="R23" i="18"/>
  <c r="Q23" i="18"/>
  <c r="R22" i="18"/>
  <c r="Q22" i="18"/>
  <c r="R21" i="18"/>
  <c r="Q21" i="18"/>
  <c r="R20" i="18"/>
  <c r="Q20" i="18"/>
  <c r="R19" i="18"/>
  <c r="Q19" i="18"/>
  <c r="R18" i="18"/>
  <c r="Q18" i="18"/>
  <c r="R17" i="18"/>
  <c r="Q17" i="18"/>
  <c r="R16" i="18"/>
  <c r="Q16" i="18"/>
  <c r="R15" i="18"/>
  <c r="Q15" i="18"/>
  <c r="R14" i="18"/>
  <c r="Q14" i="18"/>
  <c r="R13" i="18"/>
  <c r="Q13" i="18"/>
  <c r="R12" i="18"/>
  <c r="Q12" i="18"/>
  <c r="R11" i="18"/>
  <c r="Q11" i="18"/>
  <c r="R10" i="18"/>
  <c r="Q10" i="18"/>
  <c r="R9" i="18"/>
  <c r="Q9" i="18"/>
  <c r="R8" i="18"/>
  <c r="Q8" i="18"/>
  <c r="R7" i="18"/>
  <c r="Q7" i="18"/>
  <c r="N5" i="18"/>
  <c r="N6" i="18" s="1"/>
  <c r="R6" i="18"/>
  <c r="Q6" i="18"/>
  <c r="C111" i="20"/>
  <c r="C110" i="20"/>
  <c r="C109" i="20"/>
  <c r="H108" i="20"/>
  <c r="H145" i="20" s="1"/>
  <c r="C108" i="20"/>
  <c r="C107" i="20"/>
  <c r="H106" i="20"/>
  <c r="H143" i="20" s="1"/>
  <c r="C106" i="20"/>
  <c r="C105" i="20"/>
  <c r="C104" i="20"/>
  <c r="C103" i="20"/>
  <c r="C102" i="20"/>
  <c r="H101" i="20"/>
  <c r="H138" i="20" s="1"/>
  <c r="C101" i="20"/>
  <c r="C100" i="20"/>
  <c r="C99" i="20"/>
  <c r="C98" i="20"/>
  <c r="C97" i="20"/>
  <c r="H96" i="20"/>
  <c r="H133" i="20" s="1"/>
  <c r="C96" i="20"/>
  <c r="C95" i="20"/>
  <c r="H94" i="20"/>
  <c r="H131" i="20" s="1"/>
  <c r="C94" i="20"/>
  <c r="C93" i="20"/>
  <c r="C92" i="20"/>
  <c r="C91" i="20"/>
  <c r="C90" i="20"/>
  <c r="H89" i="20"/>
  <c r="H126" i="20" s="1"/>
  <c r="C89" i="20"/>
  <c r="C88" i="20"/>
  <c r="C87" i="20"/>
  <c r="C86" i="20"/>
  <c r="C85" i="20"/>
  <c r="H84" i="20"/>
  <c r="H121" i="20" s="1"/>
  <c r="C84" i="20"/>
  <c r="C83" i="20"/>
  <c r="H82" i="20"/>
  <c r="H119" i="20" s="1"/>
  <c r="C82" i="20"/>
  <c r="C81" i="20"/>
  <c r="C80" i="20"/>
  <c r="C79" i="20"/>
  <c r="C78" i="20"/>
  <c r="H77" i="20"/>
  <c r="H114" i="20" s="1"/>
  <c r="C77" i="20"/>
  <c r="C76" i="20"/>
  <c r="H74" i="20"/>
  <c r="H111" i="20" s="1"/>
  <c r="H148" i="20" s="1"/>
  <c r="H73" i="20"/>
  <c r="H110" i="20" s="1"/>
  <c r="H147" i="20" s="1"/>
  <c r="H72" i="20"/>
  <c r="H109" i="20" s="1"/>
  <c r="H146" i="20" s="1"/>
  <c r="H71" i="20"/>
  <c r="H70" i="20"/>
  <c r="H107" i="20" s="1"/>
  <c r="H144" i="20" s="1"/>
  <c r="D70" i="20"/>
  <c r="E70" i="20" s="1"/>
  <c r="H69" i="20"/>
  <c r="H68" i="20"/>
  <c r="H105" i="20" s="1"/>
  <c r="H142" i="20" s="1"/>
  <c r="D68" i="20"/>
  <c r="E68" i="20" s="1"/>
  <c r="H67" i="20"/>
  <c r="H104" i="20" s="1"/>
  <c r="H141" i="20" s="1"/>
  <c r="H66" i="20"/>
  <c r="H103" i="20" s="1"/>
  <c r="H140" i="20" s="1"/>
  <c r="H65" i="20"/>
  <c r="H102" i="20" s="1"/>
  <c r="H139" i="20" s="1"/>
  <c r="D65" i="20"/>
  <c r="E65" i="20" s="1"/>
  <c r="H64" i="20"/>
  <c r="H63" i="20"/>
  <c r="H100" i="20" s="1"/>
  <c r="H137" i="20" s="1"/>
  <c r="H62" i="20"/>
  <c r="H99" i="20" s="1"/>
  <c r="H136" i="20" s="1"/>
  <c r="H61" i="20"/>
  <c r="H98" i="20" s="1"/>
  <c r="H135" i="20" s="1"/>
  <c r="H60" i="20"/>
  <c r="H97" i="20" s="1"/>
  <c r="H134" i="20" s="1"/>
  <c r="H59" i="20"/>
  <c r="H58" i="20"/>
  <c r="H95" i="20" s="1"/>
  <c r="H132" i="20" s="1"/>
  <c r="D58" i="20"/>
  <c r="E58" i="20" s="1"/>
  <c r="H57" i="20"/>
  <c r="H56" i="20"/>
  <c r="H93" i="20" s="1"/>
  <c r="H130" i="20" s="1"/>
  <c r="D56" i="20"/>
  <c r="E56" i="20" s="1"/>
  <c r="H55" i="20"/>
  <c r="H92" i="20" s="1"/>
  <c r="H129" i="20" s="1"/>
  <c r="H54" i="20"/>
  <c r="H91" i="20" s="1"/>
  <c r="H128" i="20" s="1"/>
  <c r="H53" i="20"/>
  <c r="H90" i="20" s="1"/>
  <c r="H127" i="20" s="1"/>
  <c r="D53" i="20"/>
  <c r="E53" i="20" s="1"/>
  <c r="H52" i="20"/>
  <c r="H51" i="20"/>
  <c r="H88" i="20" s="1"/>
  <c r="H125" i="20" s="1"/>
  <c r="H50" i="20"/>
  <c r="H87" i="20" s="1"/>
  <c r="H124" i="20" s="1"/>
  <c r="H49" i="20"/>
  <c r="H86" i="20" s="1"/>
  <c r="H123" i="20" s="1"/>
  <c r="H48" i="20"/>
  <c r="H85" i="20" s="1"/>
  <c r="H122" i="20" s="1"/>
  <c r="D48" i="20"/>
  <c r="E48" i="20" s="1"/>
  <c r="H47" i="20"/>
  <c r="H46" i="20"/>
  <c r="H83" i="20" s="1"/>
  <c r="H120" i="20" s="1"/>
  <c r="D46" i="20"/>
  <c r="E46" i="20" s="1"/>
  <c r="H45" i="20"/>
  <c r="H44" i="20"/>
  <c r="H81" i="20" s="1"/>
  <c r="H118" i="20" s="1"/>
  <c r="D44" i="20"/>
  <c r="E44" i="20" s="1"/>
  <c r="H43" i="20"/>
  <c r="H80" i="20" s="1"/>
  <c r="H117" i="20" s="1"/>
  <c r="H42" i="20"/>
  <c r="H79" i="20" s="1"/>
  <c r="H116" i="20" s="1"/>
  <c r="O41" i="20"/>
  <c r="D73" i="20" s="1"/>
  <c r="E73" i="20" s="1"/>
  <c r="H41" i="20"/>
  <c r="H78" i="20" s="1"/>
  <c r="H115" i="20" s="1"/>
  <c r="D41" i="20"/>
  <c r="E41" i="20" s="1"/>
  <c r="H40" i="20"/>
  <c r="L39" i="20"/>
  <c r="L40" i="20" s="1"/>
  <c r="L41" i="20" s="1"/>
  <c r="L42" i="20" s="1"/>
  <c r="L43" i="20" s="1"/>
  <c r="L44" i="20" s="1"/>
  <c r="L45" i="20" s="1"/>
  <c r="L46" i="20" s="1"/>
  <c r="L47" i="20" s="1"/>
  <c r="L48" i="20" s="1"/>
  <c r="L49" i="20" s="1"/>
  <c r="L50" i="20" s="1"/>
  <c r="L51" i="20" s="1"/>
  <c r="L52" i="20" s="1"/>
  <c r="L53" i="20" s="1"/>
  <c r="L54" i="20" s="1"/>
  <c r="L55" i="20" s="1"/>
  <c r="L56" i="20" s="1"/>
  <c r="L57" i="20" s="1"/>
  <c r="L58" i="20" s="1"/>
  <c r="L59" i="20" s="1"/>
  <c r="L60" i="20" s="1"/>
  <c r="L61" i="20" s="1"/>
  <c r="L62" i="20" s="1"/>
  <c r="L63" i="20" s="1"/>
  <c r="L64" i="20" s="1"/>
  <c r="L65" i="20" s="1"/>
  <c r="L66" i="20" s="1"/>
  <c r="L67" i="20" s="1"/>
  <c r="L68" i="20" s="1"/>
  <c r="L69" i="20" s="1"/>
  <c r="L70" i="20" s="1"/>
  <c r="L71" i="20" s="1"/>
  <c r="L72" i="20" s="1"/>
  <c r="L73" i="20" s="1"/>
  <c r="L74" i="20" s="1"/>
  <c r="H39" i="20"/>
  <c r="H76" i="20" s="1"/>
  <c r="H113" i="20" s="1"/>
  <c r="D39" i="20"/>
  <c r="E39" i="20" s="1"/>
  <c r="H26" i="19"/>
  <c r="H39" i="19" s="1"/>
  <c r="H52" i="19" s="1"/>
  <c r="H25" i="19"/>
  <c r="H38" i="19" s="1"/>
  <c r="H51" i="19" s="1"/>
  <c r="H24" i="19"/>
  <c r="H37" i="19" s="1"/>
  <c r="H50" i="19" s="1"/>
  <c r="H23" i="19"/>
  <c r="H36" i="19" s="1"/>
  <c r="H49" i="19" s="1"/>
  <c r="H22" i="19"/>
  <c r="H35" i="19" s="1"/>
  <c r="H48" i="19" s="1"/>
  <c r="H21" i="19"/>
  <c r="H34" i="19" s="1"/>
  <c r="H47" i="19" s="1"/>
  <c r="H20" i="19"/>
  <c r="H33" i="19" s="1"/>
  <c r="H46" i="19" s="1"/>
  <c r="H19" i="19"/>
  <c r="H32" i="19" s="1"/>
  <c r="H45" i="19" s="1"/>
  <c r="H18" i="19"/>
  <c r="H31" i="19" s="1"/>
  <c r="H44" i="19" s="1"/>
  <c r="H17" i="19"/>
  <c r="H30" i="19" s="1"/>
  <c r="H43" i="19" s="1"/>
  <c r="H16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L15" i="19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H15" i="19"/>
  <c r="H28" i="19" s="1"/>
  <c r="H41" i="19" s="1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R59" i="18"/>
  <c r="Q59" i="18"/>
  <c r="R58" i="18"/>
  <c r="Q58" i="18"/>
  <c r="R57" i="18"/>
  <c r="Q57" i="18"/>
  <c r="R56" i="18"/>
  <c r="Q56" i="18"/>
  <c r="R55" i="18"/>
  <c r="Q55" i="18"/>
  <c r="R54" i="18"/>
  <c r="Q54" i="18"/>
  <c r="R53" i="18"/>
  <c r="Q53" i="18"/>
  <c r="R52" i="18"/>
  <c r="Q52" i="18"/>
  <c r="R51" i="18"/>
  <c r="Q51" i="18"/>
  <c r="R50" i="18"/>
  <c r="Q50" i="18"/>
  <c r="R49" i="18"/>
  <c r="Q49" i="18"/>
  <c r="R48" i="18"/>
  <c r="Q48" i="18"/>
  <c r="R47" i="18"/>
  <c r="Q47" i="18"/>
  <c r="R46" i="18"/>
  <c r="Q46" i="18"/>
  <c r="R45" i="18"/>
  <c r="Q45" i="18"/>
  <c r="R44" i="18"/>
  <c r="Q44" i="18"/>
  <c r="R41" i="18"/>
  <c r="Q41" i="18"/>
  <c r="R40" i="18"/>
  <c r="Q40" i="18"/>
  <c r="R39" i="18"/>
  <c r="Q39" i="18"/>
  <c r="R38" i="18"/>
  <c r="Q38" i="18"/>
  <c r="R37" i="18"/>
  <c r="Q37" i="18"/>
  <c r="R36" i="18"/>
  <c r="Q36" i="18"/>
  <c r="R35" i="18"/>
  <c r="Q35" i="18"/>
  <c r="R34" i="18"/>
  <c r="Q34" i="18"/>
  <c r="O150" i="18"/>
  <c r="N150" i="18"/>
  <c r="O149" i="18"/>
  <c r="N149" i="18"/>
  <c r="O148" i="18"/>
  <c r="N148" i="18"/>
  <c r="O147" i="18"/>
  <c r="N147" i="18"/>
  <c r="O146" i="18"/>
  <c r="N146" i="18"/>
  <c r="O145" i="18"/>
  <c r="N145" i="18"/>
  <c r="O144" i="18"/>
  <c r="N144" i="18"/>
  <c r="O143" i="18"/>
  <c r="N143" i="18"/>
  <c r="O142" i="18"/>
  <c r="N142" i="18"/>
  <c r="O141" i="18"/>
  <c r="N141" i="18"/>
  <c r="O140" i="18"/>
  <c r="N140" i="18"/>
  <c r="O139" i="18"/>
  <c r="N139" i="18"/>
  <c r="O138" i="18"/>
  <c r="N138" i="18"/>
  <c r="O137" i="18"/>
  <c r="N137" i="18"/>
  <c r="O136" i="18"/>
  <c r="N136" i="18"/>
  <c r="O135" i="18"/>
  <c r="N135" i="18"/>
  <c r="O134" i="18"/>
  <c r="N134" i="18"/>
  <c r="O133" i="18"/>
  <c r="N133" i="18"/>
  <c r="O132" i="18"/>
  <c r="N132" i="18"/>
  <c r="O131" i="18"/>
  <c r="N131" i="18"/>
  <c r="O130" i="18"/>
  <c r="N130" i="18"/>
  <c r="O129" i="18"/>
  <c r="N129" i="18"/>
  <c r="O128" i="18"/>
  <c r="N128" i="18"/>
  <c r="O127" i="18"/>
  <c r="N127" i="18"/>
  <c r="O126" i="18"/>
  <c r="N126" i="18"/>
  <c r="O125" i="18"/>
  <c r="N125" i="18"/>
  <c r="O124" i="18"/>
  <c r="N124" i="18"/>
  <c r="O123" i="18"/>
  <c r="N123" i="18"/>
  <c r="O122" i="18"/>
  <c r="N122" i="18"/>
  <c r="O121" i="18"/>
  <c r="N121" i="18"/>
  <c r="O120" i="18"/>
  <c r="N120" i="18"/>
  <c r="O119" i="18"/>
  <c r="N119" i="18"/>
  <c r="O118" i="18"/>
  <c r="N118" i="18"/>
  <c r="O117" i="18"/>
  <c r="N117" i="18"/>
  <c r="O116" i="18"/>
  <c r="N116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9" i="18"/>
  <c r="N109" i="18"/>
  <c r="O108" i="18"/>
  <c r="N108" i="18"/>
  <c r="O107" i="18"/>
  <c r="N107" i="18"/>
  <c r="O106" i="18"/>
  <c r="N106" i="18"/>
  <c r="O105" i="18"/>
  <c r="N105" i="18"/>
  <c r="O104" i="18"/>
  <c r="N104" i="18"/>
  <c r="O103" i="18"/>
  <c r="N103" i="18"/>
  <c r="O102" i="18"/>
  <c r="N102" i="18"/>
  <c r="O101" i="18"/>
  <c r="N101" i="18"/>
  <c r="O100" i="18"/>
  <c r="N100" i="18"/>
  <c r="O99" i="18"/>
  <c r="N99" i="18"/>
  <c r="O98" i="18"/>
  <c r="N98" i="18"/>
  <c r="O97" i="18"/>
  <c r="N97" i="18"/>
  <c r="O96" i="18"/>
  <c r="N96" i="18"/>
  <c r="O95" i="18"/>
  <c r="N95" i="18"/>
  <c r="O94" i="18"/>
  <c r="N94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6" i="18"/>
  <c r="N86" i="18"/>
  <c r="O85" i="18"/>
  <c r="N85" i="18"/>
  <c r="O84" i="18"/>
  <c r="N84" i="18"/>
  <c r="O83" i="18"/>
  <c r="N83" i="18"/>
  <c r="O82" i="18"/>
  <c r="N82" i="18"/>
  <c r="O81" i="18"/>
  <c r="N81" i="18"/>
  <c r="O80" i="18"/>
  <c r="N80" i="18"/>
  <c r="O79" i="18"/>
  <c r="N79" i="18"/>
  <c r="O78" i="18"/>
  <c r="N78" i="18"/>
  <c r="O77" i="18"/>
  <c r="N77" i="18"/>
  <c r="O76" i="18"/>
  <c r="N76" i="18"/>
  <c r="O75" i="18"/>
  <c r="N75" i="18"/>
  <c r="O2" i="18"/>
  <c r="O62" i="18" s="1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H50" i="15"/>
  <c r="H75" i="15" s="1"/>
  <c r="H49" i="15"/>
  <c r="H74" i="15" s="1"/>
  <c r="H48" i="15"/>
  <c r="H73" i="15" s="1"/>
  <c r="H47" i="15"/>
  <c r="H72" i="15" s="1"/>
  <c r="H46" i="15"/>
  <c r="H71" i="15" s="1"/>
  <c r="H45" i="15"/>
  <c r="H70" i="15" s="1"/>
  <c r="H44" i="15"/>
  <c r="H69" i="15" s="1"/>
  <c r="H43" i="15"/>
  <c r="H68" i="15" s="1"/>
  <c r="H42" i="15"/>
  <c r="H67" i="15" s="1"/>
  <c r="H41" i="15"/>
  <c r="H66" i="15" s="1"/>
  <c r="H40" i="15"/>
  <c r="H65" i="15" s="1"/>
  <c r="H39" i="15"/>
  <c r="H64" i="15" s="1"/>
  <c r="H38" i="15"/>
  <c r="H63" i="15" s="1"/>
  <c r="H37" i="15"/>
  <c r="H62" i="15" s="1"/>
  <c r="H36" i="15"/>
  <c r="H61" i="15" s="1"/>
  <c r="H35" i="15"/>
  <c r="H60" i="15" s="1"/>
  <c r="H34" i="15"/>
  <c r="H59" i="15" s="1"/>
  <c r="H33" i="15"/>
  <c r="H58" i="15" s="1"/>
  <c r="H32" i="15"/>
  <c r="H57" i="15" s="1"/>
  <c r="H31" i="15"/>
  <c r="H56" i="15" s="1"/>
  <c r="H30" i="15"/>
  <c r="H55" i="15" s="1"/>
  <c r="H29" i="15"/>
  <c r="H54" i="15" s="1"/>
  <c r="H28" i="15"/>
  <c r="H53" i="15" s="1"/>
  <c r="H27" i="15"/>
  <c r="I142" i="18" a="1"/>
  <c r="I85" i="18" a="1"/>
  <c r="I127" i="18" a="1"/>
  <c r="I109" i="18" a="1"/>
  <c r="K65" i="20" a="1"/>
  <c r="I108" i="18" a="1"/>
  <c r="H127" i="18" a="1"/>
  <c r="H92" i="18" a="1"/>
  <c r="I82" i="18" a="1"/>
  <c r="H113" i="18" a="1"/>
  <c r="I89" i="18" a="1"/>
  <c r="I138" i="18" a="1"/>
  <c r="H133" i="18" a="1"/>
  <c r="H141" i="18" a="1"/>
  <c r="I148" i="18" a="1"/>
  <c r="H82" i="18" a="1"/>
  <c r="H111" i="18" a="1"/>
  <c r="H87" i="18" a="1"/>
  <c r="I129" i="18" a="1"/>
  <c r="I125" i="18" a="1"/>
  <c r="H99" i="18" a="1"/>
  <c r="H116" i="18" a="1"/>
  <c r="H97" i="18" a="1"/>
  <c r="I126" i="18" a="1"/>
  <c r="I122" i="18" a="1"/>
  <c r="H114" i="18" a="1"/>
  <c r="H123" i="18" a="1"/>
  <c r="I78" i="18" a="1"/>
  <c r="H140" i="18" a="1"/>
  <c r="I91" i="18" a="1"/>
  <c r="H125" i="18" a="1"/>
  <c r="I145" i="18" a="1"/>
  <c r="H124" i="18" a="1"/>
  <c r="H110" i="18" a="1"/>
  <c r="I128" i="18" a="1"/>
  <c r="I116" i="18" a="1"/>
  <c r="I124" i="18" a="1"/>
  <c r="H145" i="18" a="1"/>
  <c r="H86" i="18" a="1"/>
  <c r="K56" i="20" a="1"/>
  <c r="K70" i="20" a="1"/>
  <c r="H77" i="18" a="1"/>
  <c r="I88" i="18" a="1"/>
  <c r="I100" i="18" a="1"/>
  <c r="H147" i="18" a="1"/>
  <c r="H93" i="18" a="1"/>
  <c r="I79" i="18" a="1"/>
  <c r="I147" i="18" a="1"/>
  <c r="H144" i="18" a="1"/>
  <c r="H122" i="18" a="1"/>
  <c r="I140" i="18" a="1"/>
  <c r="I114" i="18" a="1"/>
  <c r="H132" i="18" a="1"/>
  <c r="H80" i="18" a="1"/>
  <c r="I106" i="18" a="1"/>
  <c r="I80" i="18" a="1"/>
  <c r="K68" i="20" a="1"/>
  <c r="K41" i="20" a="1"/>
  <c r="H95" i="18" a="1"/>
  <c r="K41" i="23" a="1"/>
  <c r="H85" i="18" a="1"/>
  <c r="I75" i="18" a="1"/>
  <c r="I115" i="18" a="1"/>
  <c r="I97" i="18" a="1"/>
  <c r="I98" i="18" a="1"/>
  <c r="H104" i="18" a="1"/>
  <c r="I84" i="18" a="1"/>
  <c r="I139" i="18" a="1"/>
  <c r="I96" i="18" a="1"/>
  <c r="H78" i="18" a="1"/>
  <c r="J64" i="18" a="1"/>
  <c r="H126" i="18" a="1"/>
  <c r="H130" i="18" a="1"/>
  <c r="I81" i="18" a="1"/>
  <c r="H139" i="18" a="1"/>
  <c r="I83" i="18" a="1"/>
  <c r="H42" i="18" a="1"/>
  <c r="I86" i="18" a="1"/>
  <c r="I92" i="18" a="1"/>
  <c r="I135" i="18" a="1"/>
  <c r="I105" i="18" a="1"/>
  <c r="K36" i="23" a="1"/>
  <c r="H101" i="18" a="1"/>
  <c r="H96" i="18" a="1"/>
  <c r="H89" i="18" a="1"/>
  <c r="H107" i="18" a="1"/>
  <c r="K40" i="23" a="1"/>
  <c r="H76" i="18" a="1"/>
  <c r="H83" i="18" a="1"/>
  <c r="H131" i="18" a="1"/>
  <c r="H136" i="18" a="1"/>
  <c r="K48" i="20" a="1"/>
  <c r="H121" i="18" a="1"/>
  <c r="I76" i="18" a="1"/>
  <c r="H81" i="18" a="1"/>
  <c r="H128" i="18" a="1"/>
  <c r="H75" i="18" a="1"/>
  <c r="H115" i="18" a="1"/>
  <c r="I134" i="18" a="1"/>
  <c r="I62" i="18" a="1"/>
  <c r="I102" i="18" a="1"/>
  <c r="I123" i="18" a="1"/>
  <c r="H98" i="18" a="1"/>
  <c r="I137" i="18" a="1"/>
  <c r="I130" i="18" a="1"/>
  <c r="I77" i="18" a="1"/>
  <c r="I101" i="18" a="1"/>
  <c r="I103" i="18" a="1"/>
  <c r="I111" i="18" a="1"/>
  <c r="K58" i="20" a="1"/>
  <c r="I93" i="18" a="1"/>
  <c r="H118" i="18" a="1"/>
  <c r="H129" i="18" a="1"/>
  <c r="H117" i="18" a="1"/>
  <c r="H102" i="18" a="1"/>
  <c r="H142" i="18" a="1"/>
  <c r="K44" i="23" a="1"/>
  <c r="K44" i="20" a="1"/>
  <c r="H108" i="18" a="1"/>
  <c r="I90" i="18" a="1"/>
  <c r="I119" i="18" a="1"/>
  <c r="I143" i="18" a="1"/>
  <c r="K44" i="22" a="1"/>
  <c r="I87" i="18" a="1"/>
  <c r="I141" i="18" a="1"/>
  <c r="I107" i="18" a="1"/>
  <c r="H112" i="18" a="1"/>
  <c r="I112" i="18" a="1"/>
  <c r="I149" i="18" a="1"/>
  <c r="H94" i="18" a="1"/>
  <c r="H143" i="18" a="1"/>
  <c r="H106" i="18" a="1"/>
  <c r="K50" i="22" a="1"/>
  <c r="I95" i="18" a="1"/>
  <c r="I132" i="18" a="1"/>
  <c r="H28" i="18" a="1"/>
  <c r="I144" i="18" a="1"/>
  <c r="K48" i="23" a="1"/>
  <c r="I104" i="18" a="1"/>
  <c r="H91" i="18" a="1"/>
  <c r="H137" i="18" a="1"/>
  <c r="K73" i="20" a="1"/>
  <c r="I150" i="18" a="1"/>
  <c r="I121" i="18" a="1"/>
  <c r="H84" i="18" a="1"/>
  <c r="H120" i="18" a="1"/>
  <c r="K28" i="23" a="1"/>
  <c r="H79" i="18" a="1"/>
  <c r="I94" i="18" a="1"/>
  <c r="H138" i="18" a="1"/>
  <c r="H43" i="18" a="1"/>
  <c r="I117" i="18" a="1"/>
  <c r="I120" i="18" a="1"/>
  <c r="H150" i="18" a="1"/>
  <c r="K33" i="23" a="1"/>
  <c r="I110" i="18" a="1"/>
  <c r="I113" i="18" a="1"/>
  <c r="H105" i="18" a="1"/>
  <c r="I118" i="18" a="1"/>
  <c r="I146" i="18" a="1"/>
  <c r="H90" i="18" a="1"/>
  <c r="I131" i="18" a="1"/>
  <c r="H103" i="18" a="1"/>
  <c r="K53" i="20" a="1"/>
  <c r="H100" i="18" a="1"/>
  <c r="H148" i="18" a="1"/>
  <c r="H134" i="18" a="1"/>
  <c r="K46" i="20" a="1"/>
  <c r="H149" i="18" a="1"/>
  <c r="I133" i="18" a="1"/>
  <c r="H119" i="18" a="1"/>
  <c r="H109" i="18" a="1"/>
  <c r="K45" i="23" a="1"/>
  <c r="H135" i="18" a="1"/>
  <c r="H88" i="18" a="1"/>
  <c r="I99" i="18" a="1"/>
  <c r="I136" i="18" a="1"/>
  <c r="K39" i="20" a="1"/>
  <c r="H146" i="18" a="1"/>
  <c r="K44" i="23" l="1"/>
  <c r="C44" i="23" s="1"/>
  <c r="K41" i="23"/>
  <c r="C41" i="23" s="1"/>
  <c r="K28" i="23"/>
  <c r="C28" i="23" s="1"/>
  <c r="K33" i="23"/>
  <c r="C33" i="23" s="1"/>
  <c r="K45" i="23"/>
  <c r="C45" i="23" s="1"/>
  <c r="K36" i="23"/>
  <c r="C36" i="23" s="1"/>
  <c r="K48" i="23"/>
  <c r="C48" i="23" s="1"/>
  <c r="K40" i="23"/>
  <c r="C40" i="23" s="1"/>
  <c r="D39" i="23"/>
  <c r="D29" i="23"/>
  <c r="D34" i="23"/>
  <c r="D46" i="23"/>
  <c r="D31" i="23"/>
  <c r="D43" i="23"/>
  <c r="D38" i="23"/>
  <c r="D50" i="23"/>
  <c r="D35" i="23"/>
  <c r="D47" i="23"/>
  <c r="D30" i="23"/>
  <c r="D42" i="23"/>
  <c r="D37" i="23"/>
  <c r="D49" i="23"/>
  <c r="D27" i="23"/>
  <c r="D32" i="23"/>
  <c r="D33" i="22"/>
  <c r="D34" i="22"/>
  <c r="D43" i="22"/>
  <c r="D35" i="22"/>
  <c r="D45" i="22"/>
  <c r="D46" i="22"/>
  <c r="D47" i="22"/>
  <c r="D41" i="22"/>
  <c r="D28" i="22"/>
  <c r="D38" i="22"/>
  <c r="K44" i="22"/>
  <c r="C44" i="22" s="1"/>
  <c r="K50" i="22"/>
  <c r="C50" i="22" s="1"/>
  <c r="D33" i="15"/>
  <c r="D34" i="15"/>
  <c r="E34" i="15" s="1"/>
  <c r="D39" i="22"/>
  <c r="H58" i="22"/>
  <c r="H83" i="22" s="1"/>
  <c r="H70" i="22"/>
  <c r="H95" i="22" s="1"/>
  <c r="D29" i="22"/>
  <c r="D36" i="22"/>
  <c r="D48" i="22"/>
  <c r="D31" i="22"/>
  <c r="D40" i="22"/>
  <c r="D30" i="22"/>
  <c r="D42" i="22"/>
  <c r="D37" i="22"/>
  <c r="D49" i="22"/>
  <c r="D27" i="22"/>
  <c r="D32" i="22"/>
  <c r="H42" i="18"/>
  <c r="H43" i="18"/>
  <c r="P34" i="18"/>
  <c r="P48" i="18"/>
  <c r="P66" i="18"/>
  <c r="P35" i="18"/>
  <c r="P49" i="18"/>
  <c r="P67" i="18"/>
  <c r="P65" i="18"/>
  <c r="P36" i="18"/>
  <c r="P50" i="18"/>
  <c r="P68" i="18"/>
  <c r="P37" i="18"/>
  <c r="P51" i="18"/>
  <c r="C68" i="4"/>
  <c r="P69" i="18"/>
  <c r="P38" i="18"/>
  <c r="P52" i="18"/>
  <c r="C64" i="4"/>
  <c r="P70" i="18"/>
  <c r="X42" i="18"/>
  <c r="P47" i="18"/>
  <c r="P39" i="18"/>
  <c r="P53" i="18"/>
  <c r="P71" i="18"/>
  <c r="P40" i="18"/>
  <c r="P54" i="18"/>
  <c r="P72" i="18"/>
  <c r="X43" i="18"/>
  <c r="P41" i="18"/>
  <c r="P55" i="18"/>
  <c r="P61" i="18"/>
  <c r="P44" i="18"/>
  <c r="P56" i="18"/>
  <c r="P62" i="18"/>
  <c r="P45" i="18"/>
  <c r="P57" i="18"/>
  <c r="P63" i="18"/>
  <c r="P59" i="18"/>
  <c r="P46" i="18"/>
  <c r="P58" i="18"/>
  <c r="J64" i="18"/>
  <c r="F57" i="4"/>
  <c r="D15" i="19"/>
  <c r="D16" i="19"/>
  <c r="D17" i="19"/>
  <c r="D18" i="19"/>
  <c r="D19" i="19"/>
  <c r="D20" i="19"/>
  <c r="D21" i="19"/>
  <c r="D22" i="19"/>
  <c r="D23" i="19"/>
  <c r="D24" i="19"/>
  <c r="D25" i="19"/>
  <c r="N11" i="18"/>
  <c r="N24" i="18"/>
  <c r="N12" i="18"/>
  <c r="N25" i="18"/>
  <c r="N13" i="18"/>
  <c r="N26" i="18"/>
  <c r="N14" i="18"/>
  <c r="N27" i="18"/>
  <c r="N23" i="18"/>
  <c r="N15" i="18"/>
  <c r="N29" i="18"/>
  <c r="N17" i="18"/>
  <c r="N30" i="18"/>
  <c r="N18" i="18"/>
  <c r="N31" i="18"/>
  <c r="N32" i="18"/>
  <c r="N19" i="18"/>
  <c r="N7" i="18"/>
  <c r="N20" i="18"/>
  <c r="N61" i="18"/>
  <c r="N8" i="18"/>
  <c r="N21" i="18"/>
  <c r="N10" i="18"/>
  <c r="N9" i="18"/>
  <c r="N22" i="18"/>
  <c r="O16" i="18"/>
  <c r="O28" i="18"/>
  <c r="N16" i="18"/>
  <c r="O17" i="18"/>
  <c r="O29" i="18"/>
  <c r="O18" i="18"/>
  <c r="O30" i="18"/>
  <c r="O7" i="18"/>
  <c r="O19" i="18"/>
  <c r="O31" i="18"/>
  <c r="O8" i="18"/>
  <c r="O20" i="18"/>
  <c r="O32" i="18"/>
  <c r="O9" i="18"/>
  <c r="O21" i="18"/>
  <c r="O10" i="18"/>
  <c r="O22" i="18"/>
  <c r="O11" i="18"/>
  <c r="O23" i="18"/>
  <c r="O12" i="18"/>
  <c r="O24" i="18"/>
  <c r="O13" i="18"/>
  <c r="O25" i="18"/>
  <c r="O14" i="18"/>
  <c r="O26" i="18"/>
  <c r="O15" i="18"/>
  <c r="O27" i="18"/>
  <c r="X22" i="18"/>
  <c r="X18" i="18"/>
  <c r="X26" i="18"/>
  <c r="X30" i="18"/>
  <c r="X10" i="18"/>
  <c r="X14" i="18"/>
  <c r="X9" i="18"/>
  <c r="X13" i="18"/>
  <c r="X17" i="18"/>
  <c r="X21" i="18"/>
  <c r="X25" i="18"/>
  <c r="X29" i="18"/>
  <c r="X7" i="18"/>
  <c r="X11" i="18"/>
  <c r="X15" i="18"/>
  <c r="X19" i="18"/>
  <c r="X23" i="18"/>
  <c r="X27" i="18"/>
  <c r="X31" i="18"/>
  <c r="X8" i="18"/>
  <c r="X12" i="18"/>
  <c r="X16" i="18"/>
  <c r="X20" i="18"/>
  <c r="X24" i="18"/>
  <c r="X28" i="18"/>
  <c r="X32" i="18"/>
  <c r="H28" i="18"/>
  <c r="O5" i="18"/>
  <c r="O6" i="18" s="1"/>
  <c r="X6" i="18"/>
  <c r="K44" i="20"/>
  <c r="C44" i="20" s="1"/>
  <c r="K56" i="20"/>
  <c r="C56" i="20" s="1"/>
  <c r="K68" i="20"/>
  <c r="C68" i="20" s="1"/>
  <c r="K41" i="20"/>
  <c r="C41" i="20" s="1"/>
  <c r="K46" i="20"/>
  <c r="C46" i="20" s="1"/>
  <c r="K58" i="20"/>
  <c r="C58" i="20" s="1"/>
  <c r="K70" i="20"/>
  <c r="C70" i="20" s="1"/>
  <c r="K73" i="20"/>
  <c r="C73" i="20" s="1"/>
  <c r="K53" i="20"/>
  <c r="C53" i="20" s="1"/>
  <c r="K65" i="20"/>
  <c r="C65" i="20" s="1"/>
  <c r="K48" i="20"/>
  <c r="C48" i="20" s="1"/>
  <c r="K39" i="20"/>
  <c r="C39" i="20" s="1"/>
  <c r="D51" i="20"/>
  <c r="D63" i="20"/>
  <c r="D60" i="20"/>
  <c r="D72" i="20"/>
  <c r="D43" i="20"/>
  <c r="D55" i="20"/>
  <c r="D67" i="20"/>
  <c r="D50" i="20"/>
  <c r="D62" i="20"/>
  <c r="D74" i="20"/>
  <c r="D40" i="20"/>
  <c r="D45" i="20"/>
  <c r="D57" i="20"/>
  <c r="D69" i="20"/>
  <c r="D52" i="20"/>
  <c r="D64" i="20"/>
  <c r="D47" i="20"/>
  <c r="D59" i="20"/>
  <c r="D71" i="20"/>
  <c r="D42" i="20"/>
  <c r="D54" i="20"/>
  <c r="D66" i="20"/>
  <c r="D49" i="20"/>
  <c r="D61" i="20"/>
  <c r="H29" i="19"/>
  <c r="H42" i="19" s="1"/>
  <c r="Y2" i="18"/>
  <c r="X62" i="18"/>
  <c r="X130" i="18"/>
  <c r="X139" i="18"/>
  <c r="X91" i="18"/>
  <c r="X94" i="18"/>
  <c r="X93" i="18"/>
  <c r="X118" i="18"/>
  <c r="X80" i="18"/>
  <c r="X82" i="18"/>
  <c r="X48" i="18"/>
  <c r="X127" i="18"/>
  <c r="X117" i="18"/>
  <c r="X52" i="18"/>
  <c r="X128" i="18"/>
  <c r="X81" i="18"/>
  <c r="X61" i="18"/>
  <c r="X129" i="18"/>
  <c r="X140" i="18"/>
  <c r="X92" i="18"/>
  <c r="X34" i="18"/>
  <c r="X103" i="18"/>
  <c r="X116" i="18"/>
  <c r="X49" i="18"/>
  <c r="X106" i="18"/>
  <c r="X104" i="18"/>
  <c r="X105" i="18"/>
  <c r="X141" i="18"/>
  <c r="X79" i="18"/>
  <c r="X107" i="18"/>
  <c r="X115" i="18"/>
  <c r="X144" i="18"/>
  <c r="X109" i="18"/>
  <c r="X145" i="18"/>
  <c r="X65" i="18"/>
  <c r="X98" i="18"/>
  <c r="X134" i="18"/>
  <c r="X146" i="18"/>
  <c r="X83" i="18"/>
  <c r="X119" i="18"/>
  <c r="X84" i="18"/>
  <c r="X120" i="18"/>
  <c r="X133" i="18"/>
  <c r="X35" i="18"/>
  <c r="X75" i="18"/>
  <c r="X87" i="18"/>
  <c r="X99" i="18"/>
  <c r="X111" i="18"/>
  <c r="X123" i="18"/>
  <c r="X135" i="18"/>
  <c r="X147" i="18"/>
  <c r="X131" i="18"/>
  <c r="X108" i="18"/>
  <c r="X64" i="18"/>
  <c r="X121" i="18"/>
  <c r="X122" i="18"/>
  <c r="X40" i="18"/>
  <c r="X76" i="18"/>
  <c r="X88" i="18"/>
  <c r="X100" i="18"/>
  <c r="X112" i="18"/>
  <c r="X124" i="18"/>
  <c r="X136" i="18"/>
  <c r="X148" i="18"/>
  <c r="X143" i="18"/>
  <c r="X96" i="18"/>
  <c r="X132" i="18"/>
  <c r="X85" i="18"/>
  <c r="X97" i="18"/>
  <c r="X110" i="18"/>
  <c r="X41" i="18"/>
  <c r="X77" i="18"/>
  <c r="X89" i="18"/>
  <c r="X101" i="18"/>
  <c r="X113" i="18"/>
  <c r="X125" i="18"/>
  <c r="X137" i="18"/>
  <c r="X149" i="18"/>
  <c r="X95" i="18"/>
  <c r="X63" i="18"/>
  <c r="X86" i="18"/>
  <c r="X44" i="18"/>
  <c r="X78" i="18"/>
  <c r="X90" i="18"/>
  <c r="X102" i="18"/>
  <c r="X114" i="18"/>
  <c r="X126" i="18"/>
  <c r="X138" i="18"/>
  <c r="X150" i="18"/>
  <c r="X50" i="18"/>
  <c r="X66" i="18"/>
  <c r="X51" i="18"/>
  <c r="X67" i="18"/>
  <c r="X68" i="18"/>
  <c r="X36" i="18"/>
  <c r="X53" i="18"/>
  <c r="X69" i="18"/>
  <c r="X37" i="18"/>
  <c r="X54" i="18"/>
  <c r="X70" i="18"/>
  <c r="X38" i="18"/>
  <c r="X55" i="18"/>
  <c r="X71" i="18"/>
  <c r="X39" i="18"/>
  <c r="X56" i="18"/>
  <c r="X72" i="18"/>
  <c r="X45" i="18"/>
  <c r="X57" i="18"/>
  <c r="X46" i="18"/>
  <c r="X58" i="18"/>
  <c r="X47" i="18"/>
  <c r="X59" i="18"/>
  <c r="I98" i="18"/>
  <c r="I116" i="18"/>
  <c r="I134" i="18"/>
  <c r="H139" i="18"/>
  <c r="I140" i="18"/>
  <c r="H145" i="18"/>
  <c r="I146" i="18"/>
  <c r="H127" i="18"/>
  <c r="H102" i="18"/>
  <c r="I115" i="18"/>
  <c r="H120" i="18"/>
  <c r="I121" i="18"/>
  <c r="H126" i="18"/>
  <c r="I127" i="18"/>
  <c r="H132" i="18"/>
  <c r="I133" i="18"/>
  <c r="H138" i="18"/>
  <c r="I139" i="18"/>
  <c r="H144" i="18"/>
  <c r="I145" i="18"/>
  <c r="H150" i="18"/>
  <c r="H91" i="18"/>
  <c r="I128" i="18"/>
  <c r="H114" i="18"/>
  <c r="H97" i="18"/>
  <c r="H109" i="18"/>
  <c r="I97" i="18"/>
  <c r="I96" i="18"/>
  <c r="H107" i="18"/>
  <c r="H113" i="18"/>
  <c r="H119" i="18"/>
  <c r="I120" i="18"/>
  <c r="H125" i="18"/>
  <c r="I126" i="18"/>
  <c r="H131" i="18"/>
  <c r="I132" i="18"/>
  <c r="H137" i="18"/>
  <c r="I138" i="18"/>
  <c r="H143" i="18"/>
  <c r="I144" i="18"/>
  <c r="H149" i="18"/>
  <c r="I150" i="18"/>
  <c r="I92" i="18"/>
  <c r="I85" i="18"/>
  <c r="I108" i="18"/>
  <c r="H121" i="18"/>
  <c r="H90" i="18"/>
  <c r="I109" i="18"/>
  <c r="I102" i="18"/>
  <c r="I89" i="18"/>
  <c r="I95" i="18"/>
  <c r="H100" i="18"/>
  <c r="I101" i="18"/>
  <c r="H106" i="18"/>
  <c r="I107" i="18"/>
  <c r="H112" i="18"/>
  <c r="I113" i="18"/>
  <c r="I119" i="18"/>
  <c r="H124" i="18"/>
  <c r="I125" i="18"/>
  <c r="H130" i="18"/>
  <c r="I131" i="18"/>
  <c r="H136" i="18"/>
  <c r="I137" i="18"/>
  <c r="H142" i="18"/>
  <c r="I143" i="18"/>
  <c r="H148" i="18"/>
  <c r="I149" i="18"/>
  <c r="H96" i="18"/>
  <c r="H108" i="18"/>
  <c r="H95" i="18"/>
  <c r="H101" i="18"/>
  <c r="H88" i="18"/>
  <c r="H94" i="18"/>
  <c r="H118" i="18"/>
  <c r="H103" i="18"/>
  <c r="H115" i="18"/>
  <c r="H87" i="18"/>
  <c r="H93" i="18"/>
  <c r="I94" i="18"/>
  <c r="I100" i="18"/>
  <c r="H105" i="18"/>
  <c r="I106" i="18"/>
  <c r="H111" i="18"/>
  <c r="I112" i="18"/>
  <c r="H117" i="18"/>
  <c r="I118" i="18"/>
  <c r="H123" i="18"/>
  <c r="I124" i="18"/>
  <c r="H129" i="18"/>
  <c r="I130" i="18"/>
  <c r="H135" i="18"/>
  <c r="I136" i="18"/>
  <c r="H141" i="18"/>
  <c r="I142" i="18"/>
  <c r="H147" i="18"/>
  <c r="I148" i="18"/>
  <c r="I110" i="18"/>
  <c r="H133" i="18"/>
  <c r="I114" i="18"/>
  <c r="I88" i="18"/>
  <c r="H99" i="18"/>
  <c r="H85" i="18"/>
  <c r="I122" i="18"/>
  <c r="I103" i="18"/>
  <c r="I90" i="18"/>
  <c r="I87" i="18"/>
  <c r="I93" i="18"/>
  <c r="H98" i="18"/>
  <c r="I99" i="18"/>
  <c r="H104" i="18"/>
  <c r="I105" i="18"/>
  <c r="H110" i="18"/>
  <c r="I111" i="18"/>
  <c r="H116" i="18"/>
  <c r="I117" i="18"/>
  <c r="H122" i="18"/>
  <c r="I123" i="18"/>
  <c r="H128" i="18"/>
  <c r="I129" i="18"/>
  <c r="H134" i="18"/>
  <c r="I135" i="18"/>
  <c r="H140" i="18"/>
  <c r="I141" i="18"/>
  <c r="H146" i="18"/>
  <c r="I147" i="18"/>
  <c r="I86" i="18"/>
  <c r="I104" i="18"/>
  <c r="I91" i="18"/>
  <c r="H89" i="18"/>
  <c r="H86" i="18"/>
  <c r="H92" i="18"/>
  <c r="I79" i="18"/>
  <c r="H84" i="18"/>
  <c r="H79" i="18"/>
  <c r="I84" i="18"/>
  <c r="H78" i="18"/>
  <c r="I77" i="18"/>
  <c r="H82" i="18"/>
  <c r="I83" i="18"/>
  <c r="H76" i="18"/>
  <c r="I78" i="18"/>
  <c r="I76" i="18"/>
  <c r="H81" i="18"/>
  <c r="I82" i="18"/>
  <c r="H77" i="18"/>
  <c r="I80" i="18"/>
  <c r="H80" i="18"/>
  <c r="I81" i="18"/>
  <c r="H83" i="18"/>
  <c r="H75" i="18"/>
  <c r="I75" i="18"/>
  <c r="I62" i="18"/>
  <c r="O66" i="18"/>
  <c r="O67" i="18"/>
  <c r="O65" i="18"/>
  <c r="O46" i="18"/>
  <c r="N56" i="18"/>
  <c r="N49" i="18"/>
  <c r="O50" i="18"/>
  <c r="N57" i="18"/>
  <c r="N45" i="18"/>
  <c r="O51" i="18"/>
  <c r="N44" i="18"/>
  <c r="N55" i="18"/>
  <c r="O64" i="18"/>
  <c r="N63" i="18"/>
  <c r="N38" i="18"/>
  <c r="N64" i="18"/>
  <c r="N39" i="18"/>
  <c r="N65" i="18"/>
  <c r="N62" i="18"/>
  <c r="N40" i="18"/>
  <c r="O45" i="18"/>
  <c r="N41" i="18"/>
  <c r="O52" i="18"/>
  <c r="O53" i="18"/>
  <c r="O37" i="18"/>
  <c r="O54" i="18"/>
  <c r="O70" i="18"/>
  <c r="N67" i="18"/>
  <c r="O71" i="18"/>
  <c r="N66" i="18"/>
  <c r="O56" i="18"/>
  <c r="O40" i="18"/>
  <c r="O57" i="18"/>
  <c r="N35" i="18"/>
  <c r="N52" i="18"/>
  <c r="N68" i="18"/>
  <c r="O68" i="18"/>
  <c r="O36" i="18"/>
  <c r="O41" i="18"/>
  <c r="O58" i="18"/>
  <c r="N36" i="18"/>
  <c r="N53" i="18"/>
  <c r="N69" i="18"/>
  <c r="O69" i="18"/>
  <c r="O38" i="18"/>
  <c r="O55" i="18"/>
  <c r="N50" i="18"/>
  <c r="O39" i="18"/>
  <c r="N51" i="18"/>
  <c r="O44" i="18"/>
  <c r="O63" i="18"/>
  <c r="N37" i="18"/>
  <c r="N54" i="18"/>
  <c r="N70" i="18"/>
  <c r="O47" i="18"/>
  <c r="O59" i="18"/>
  <c r="O72" i="18"/>
  <c r="N46" i="18"/>
  <c r="N58" i="18"/>
  <c r="N71" i="18"/>
  <c r="O34" i="18"/>
  <c r="O48" i="18"/>
  <c r="O61" i="18"/>
  <c r="N34" i="18"/>
  <c r="N47" i="18"/>
  <c r="N59" i="18"/>
  <c r="N72" i="18"/>
  <c r="O35" i="18"/>
  <c r="O49" i="18"/>
  <c r="N48" i="18"/>
  <c r="D38" i="15"/>
  <c r="E38" i="15" s="1"/>
  <c r="D50" i="15"/>
  <c r="E50" i="15" s="1"/>
  <c r="D29" i="15"/>
  <c r="E29" i="15" s="1"/>
  <c r="D30" i="15"/>
  <c r="D31" i="15"/>
  <c r="D43" i="15"/>
  <c r="D39" i="15"/>
  <c r="E39" i="15" s="1"/>
  <c r="D41" i="15"/>
  <c r="D44" i="15"/>
  <c r="E44" i="15" s="1"/>
  <c r="E33" i="15"/>
  <c r="D46" i="15"/>
  <c r="E46" i="15" s="1"/>
  <c r="D27" i="15"/>
  <c r="E27" i="15" s="1"/>
  <c r="D42" i="15"/>
  <c r="E42" i="15" s="1"/>
  <c r="D32" i="15"/>
  <c r="D35" i="15"/>
  <c r="E35" i="15" s="1"/>
  <c r="D40" i="15"/>
  <c r="E40" i="15" s="1"/>
  <c r="D45" i="15"/>
  <c r="E45" i="15" s="1"/>
  <c r="D47" i="15"/>
  <c r="E47" i="15" s="1"/>
  <c r="D36" i="15"/>
  <c r="D48" i="15"/>
  <c r="E48" i="15" s="1"/>
  <c r="D28" i="15"/>
  <c r="E28" i="15" s="1"/>
  <c r="D37" i="15"/>
  <c r="D49" i="15"/>
  <c r="L98" i="18" a="1"/>
  <c r="K72" i="20" a="1"/>
  <c r="K29" i="15" a="1"/>
  <c r="K42" i="20" a="1"/>
  <c r="I52" i="18" a="1"/>
  <c r="K37" i="23" a="1"/>
  <c r="I34" i="18" a="1"/>
  <c r="H40" i="18" a="1"/>
  <c r="K113" i="18" a="1"/>
  <c r="L148" i="18" a="1"/>
  <c r="K66" i="20" a="1"/>
  <c r="L138" i="18" a="1"/>
  <c r="I57" i="18" a="1"/>
  <c r="K126" i="18" a="1"/>
  <c r="I48" i="18" a="1"/>
  <c r="I49" i="18" a="1"/>
  <c r="I37" i="18" a="1"/>
  <c r="H24" i="18" a="1"/>
  <c r="K74" i="20" a="1"/>
  <c r="K39" i="15" a="1"/>
  <c r="L120" i="18" a="1"/>
  <c r="J70" i="18" a="1"/>
  <c r="K145" i="18" a="1"/>
  <c r="K47" i="23" a="1"/>
  <c r="L62" i="18" a="1"/>
  <c r="K143" i="18" a="1"/>
  <c r="H19" i="18" a="1"/>
  <c r="K26" i="19" a="1"/>
  <c r="I36" i="18" a="1"/>
  <c r="K85" i="18" a="1"/>
  <c r="J48" i="18" a="1"/>
  <c r="H52" i="18" a="1"/>
  <c r="K48" i="22" a="1"/>
  <c r="K150" i="18" a="1"/>
  <c r="K33" i="22" a="1"/>
  <c r="K30" i="22" a="1"/>
  <c r="L86" i="18" a="1"/>
  <c r="K132" i="18" a="1"/>
  <c r="H51" i="18" a="1"/>
  <c r="L94" i="18" a="1"/>
  <c r="K119" i="18" a="1"/>
  <c r="K94" i="18" a="1"/>
  <c r="L99" i="18" a="1"/>
  <c r="J61" i="18" a="1"/>
  <c r="H63" i="18" a="1"/>
  <c r="H9" i="18" a="1"/>
  <c r="I46" i="18" a="1"/>
  <c r="K67" i="20" a="1"/>
  <c r="I45" i="18" a="1"/>
  <c r="I31" i="18" a="1"/>
  <c r="J36" i="18" a="1"/>
  <c r="K42" i="23" a="1"/>
  <c r="J57" i="18" a="1"/>
  <c r="K30" i="15" a="1"/>
  <c r="K135" i="18" a="1"/>
  <c r="K36" i="22" a="1"/>
  <c r="K69" i="20" a="1"/>
  <c r="J55" i="18" a="1"/>
  <c r="L135" i="18" a="1"/>
  <c r="L77" i="18" a="1"/>
  <c r="J50" i="18" a="1"/>
  <c r="J37" i="18" a="1"/>
  <c r="L143" i="18" a="1"/>
  <c r="L131" i="18" a="1"/>
  <c r="K109" i="18" a="1"/>
  <c r="K49" i="15" a="1"/>
  <c r="K100" i="18" a="1"/>
  <c r="K79" i="18" a="1"/>
  <c r="K38" i="23" a="1"/>
  <c r="H7" i="18" a="1"/>
  <c r="K77" i="18" a="1"/>
  <c r="J72" i="18" a="1"/>
  <c r="L124" i="18" a="1"/>
  <c r="L145" i="18" a="1"/>
  <c r="L75" i="18" a="1"/>
  <c r="K117" i="18" a="1"/>
  <c r="K102" i="18" a="1"/>
  <c r="K27" i="15" a="1"/>
  <c r="K82" i="18" a="1"/>
  <c r="K47" i="15" a="1"/>
  <c r="K129" i="18" a="1"/>
  <c r="K61" i="20" a="1"/>
  <c r="I39" i="18" a="1"/>
  <c r="I28" i="18" a="1"/>
  <c r="H18" i="18" a="1"/>
  <c r="J39" i="18" a="1"/>
  <c r="K34" i="15" a="1"/>
  <c r="K101" i="18" a="1"/>
  <c r="K49" i="23" a="1"/>
  <c r="L117" i="18" a="1"/>
  <c r="H34" i="18" a="1"/>
  <c r="H14" i="18" a="1"/>
  <c r="H69" i="18" a="1"/>
  <c r="K50" i="23" a="1"/>
  <c r="K29" i="22" a="1"/>
  <c r="K43" i="22" a="1"/>
  <c r="I56" i="18" a="1"/>
  <c r="J65" i="18" a="1"/>
  <c r="J51" i="18" a="1"/>
  <c r="H16" i="18" a="1"/>
  <c r="H6" i="18" a="1"/>
  <c r="L105" i="18" a="1"/>
  <c r="K134" i="18" a="1"/>
  <c r="J35" i="18" a="1"/>
  <c r="K148" i="18" a="1"/>
  <c r="I69" i="18" a="1"/>
  <c r="K33" i="15" a="1"/>
  <c r="I54" i="18" a="1"/>
  <c r="K35" i="22" a="1"/>
  <c r="H50" i="18" a="1"/>
  <c r="I8" i="18" a="1"/>
  <c r="H59" i="18" a="1"/>
  <c r="K37" i="22" a="1"/>
  <c r="J68" i="18" a="1"/>
  <c r="I43" i="18" a="1"/>
  <c r="K103" i="18" a="1"/>
  <c r="K30" i="23" a="1"/>
  <c r="K80" i="18" a="1"/>
  <c r="I26" i="18" a="1"/>
  <c r="K93" i="18" a="1"/>
  <c r="J52" i="18" a="1"/>
  <c r="L130" i="18" a="1"/>
  <c r="L146" i="18" a="1"/>
  <c r="K125" i="18" a="1"/>
  <c r="K47" i="20" a="1"/>
  <c r="K45" i="20" a="1"/>
  <c r="H55" i="18" a="1"/>
  <c r="K140" i="18" a="1"/>
  <c r="I70" i="18" a="1"/>
  <c r="K46" i="23" a="1"/>
  <c r="K39" i="23" a="1"/>
  <c r="K147" i="18" a="1"/>
  <c r="K87" i="18" a="1"/>
  <c r="K122" i="18" a="1"/>
  <c r="K55" i="20" a="1"/>
  <c r="J69" i="18" a="1"/>
  <c r="L141" i="18" a="1"/>
  <c r="K16" i="19" a="1"/>
  <c r="I72" i="18" a="1"/>
  <c r="I61" i="18" a="1"/>
  <c r="I18" i="18" a="1"/>
  <c r="K57" i="20" a="1"/>
  <c r="H36" i="18" a="1"/>
  <c r="K35" i="15" a="1"/>
  <c r="I63" i="18" a="1"/>
  <c r="I14" i="18" a="1"/>
  <c r="K71" i="20" a="1"/>
  <c r="L123" i="18" a="1"/>
  <c r="L101" i="18" a="1"/>
  <c r="I6" i="18" a="1"/>
  <c r="J67" i="18" a="1"/>
  <c r="K149" i="18" a="1"/>
  <c r="I38" i="18" a="1"/>
  <c r="H32" i="18" a="1"/>
  <c r="K107" i="18" a="1"/>
  <c r="H22" i="18" a="1"/>
  <c r="L116" i="18" a="1"/>
  <c r="J62" i="18" a="1"/>
  <c r="I11" i="18" a="1"/>
  <c r="I20" i="18" a="1"/>
  <c r="I68" i="18" a="1"/>
  <c r="K146" i="18" a="1"/>
  <c r="L126" i="18" a="1"/>
  <c r="H72" i="18" a="1"/>
  <c r="J49" i="18" a="1"/>
  <c r="H61" i="18" a="1"/>
  <c r="K136" i="18" a="1"/>
  <c r="K59" i="20" a="1"/>
  <c r="K28" i="18" a="1"/>
  <c r="J40" i="18" a="1"/>
  <c r="L125" i="18" a="1"/>
  <c r="K81" i="18" a="1"/>
  <c r="K88" i="18" a="1"/>
  <c r="L107" i="18" a="1"/>
  <c r="K104" i="18" a="1"/>
  <c r="K63" i="20" a="1"/>
  <c r="K18" i="19" a="1"/>
  <c r="I40" i="18" a="1"/>
  <c r="H37" i="18" a="1"/>
  <c r="H17" i="18" a="1"/>
  <c r="H65" i="18" a="1"/>
  <c r="L81" i="18" a="1"/>
  <c r="I10" i="18" a="1"/>
  <c r="K39" i="22" a="1"/>
  <c r="H67" i="18" a="1"/>
  <c r="K41" i="22" a="1"/>
  <c r="L122" i="18" a="1"/>
  <c r="L150" i="18" a="1"/>
  <c r="K25" i="19" a="1"/>
  <c r="K31" i="22" a="1"/>
  <c r="K43" i="20" a="1"/>
  <c r="I59" i="18" a="1"/>
  <c r="K34" i="23" a="1"/>
  <c r="L104" i="18" a="1"/>
  <c r="H11" i="18" a="1"/>
  <c r="H23" i="18" a="1"/>
  <c r="K31" i="23" a="1"/>
  <c r="L115" i="18" a="1"/>
  <c r="K44" i="15" a="1"/>
  <c r="H39" i="18" a="1"/>
  <c r="H15" i="18" a="1"/>
  <c r="I12" i="18" a="1"/>
  <c r="K28" i="22" a="1"/>
  <c r="L129" i="18" a="1"/>
  <c r="H41" i="18" a="1"/>
  <c r="I9" i="18" a="1"/>
  <c r="L85" i="18" a="1"/>
  <c r="I27" i="18" a="1"/>
  <c r="H53" i="18" a="1"/>
  <c r="I35" i="18" a="1"/>
  <c r="K27" i="22" a="1"/>
  <c r="K97" i="18" a="1"/>
  <c r="K78" i="18" a="1"/>
  <c r="K60" i="20" a="1"/>
  <c r="K22" i="19" a="1"/>
  <c r="K36" i="15" a="1"/>
  <c r="K20" i="19" a="1"/>
  <c r="H44" i="18" a="1"/>
  <c r="I65" i="18" a="1"/>
  <c r="L133" i="18" a="1"/>
  <c r="K144" i="18" a="1"/>
  <c r="H62" i="18" a="1"/>
  <c r="J71" i="18" a="1"/>
  <c r="K52" i="20" a="1"/>
  <c r="I23" i="18" a="1"/>
  <c r="H71" i="18" a="1"/>
  <c r="K43" i="15" a="1"/>
  <c r="L78" i="18" a="1"/>
  <c r="I41" i="18" a="1"/>
  <c r="I7" i="18" a="1"/>
  <c r="K45" i="22" a="1"/>
  <c r="K42" i="15" a="1"/>
  <c r="J63" i="18" a="1"/>
  <c r="K15" i="19" a="1"/>
  <c r="I53" i="18" a="1"/>
  <c r="K23" i="19" a="1"/>
  <c r="K112" i="18" a="1"/>
  <c r="H13" i="18" a="1"/>
  <c r="J34" i="18" a="1"/>
  <c r="K38" i="22" a="1"/>
  <c r="L127" i="18" a="1"/>
  <c r="K32" i="15" a="1"/>
  <c r="K51" i="20" a="1"/>
  <c r="K110" i="18" a="1"/>
  <c r="I22" i="18" a="1"/>
  <c r="H8" i="18" a="1"/>
  <c r="H47" i="18" a="1"/>
  <c r="K54" i="20" a="1"/>
  <c r="J43" i="18" a="1"/>
  <c r="H58" i="18" a="1"/>
  <c r="J47" i="18" a="1"/>
  <c r="H25" i="18" a="1"/>
  <c r="K37" i="15" a="1"/>
  <c r="I30" i="18" a="1"/>
  <c r="I17" i="18" a="1"/>
  <c r="I21" i="18" a="1"/>
  <c r="J66" i="18" a="1"/>
  <c r="H68" i="18" a="1"/>
  <c r="K24" i="19" a="1"/>
  <c r="K40" i="22" a="1"/>
  <c r="L118" i="18" a="1"/>
  <c r="H27" i="18" a="1"/>
  <c r="L108" i="18" a="1"/>
  <c r="L96" i="18" a="1"/>
  <c r="K89" i="18" a="1"/>
  <c r="K49" i="22" a="1"/>
  <c r="L83" i="18" a="1"/>
  <c r="K34" i="22" a="1"/>
  <c r="H57" i="18" a="1"/>
  <c r="K96" i="18" a="1"/>
  <c r="K133" i="18" a="1"/>
  <c r="K46" i="22" a="1"/>
  <c r="L137" i="18" a="1"/>
  <c r="K41" i="15" a="1"/>
  <c r="K111" i="18" a="1"/>
  <c r="K130" i="18" a="1"/>
  <c r="H46" i="18" a="1"/>
  <c r="I29" i="18" a="1"/>
  <c r="I15" i="18" a="1"/>
  <c r="J42" i="18" a="1"/>
  <c r="I44" i="18" a="1"/>
  <c r="I66" i="18" a="1"/>
  <c r="K21" i="19" a="1"/>
  <c r="K31" i="15" a="1"/>
  <c r="L149" i="18" a="1"/>
  <c r="K127" i="18" a="1"/>
  <c r="K35" i="23" a="1"/>
  <c r="H29" i="18" a="1"/>
  <c r="L89" i="18" a="1"/>
  <c r="K62" i="20" a="1"/>
  <c r="K38" i="15" a="1"/>
  <c r="I58" i="18" a="1"/>
  <c r="L92" i="18" a="1"/>
  <c r="K115" i="18" a="1"/>
  <c r="H26" i="18" a="1"/>
  <c r="I71" i="18" a="1"/>
  <c r="J56" i="18" a="1"/>
  <c r="J45" i="18" a="1"/>
  <c r="L136" i="18" a="1"/>
  <c r="K123" i="18" a="1"/>
  <c r="K29" i="23" a="1"/>
  <c r="I64" i="18" a="1"/>
  <c r="I50" i="18" a="1"/>
  <c r="H20" i="18" a="1"/>
  <c r="H10" i="18" a="1"/>
  <c r="K121" i="18" a="1"/>
  <c r="L113" i="18" a="1"/>
  <c r="K32" i="22" a="1"/>
  <c r="H35" i="18" a="1"/>
  <c r="I16" i="18" a="1"/>
  <c r="L110" i="18" a="1"/>
  <c r="H56" i="18" a="1"/>
  <c r="K50" i="20" a="1"/>
  <c r="H66" i="18" a="1"/>
  <c r="L79" i="18" a="1"/>
  <c r="I51" i="18" a="1"/>
  <c r="L103" i="18" a="1"/>
  <c r="I55" i="18" a="1"/>
  <c r="K105" i="18" a="1"/>
  <c r="K42" i="18" a="1"/>
  <c r="L132" i="18" a="1"/>
  <c r="L112" i="18" a="1"/>
  <c r="K128" i="18" a="1"/>
  <c r="H49" i="18" a="1"/>
  <c r="J58" i="18" a="1"/>
  <c r="K48" i="15" a="1"/>
  <c r="L102" i="18" a="1"/>
  <c r="H45" i="18" a="1"/>
  <c r="K43" i="18" a="1"/>
  <c r="I67" i="18" a="1"/>
  <c r="J53" i="18" a="1"/>
  <c r="H21" i="18" a="1"/>
  <c r="K32" i="23" a="1"/>
  <c r="K137" i="18" a="1"/>
  <c r="M64" i="18" a="1"/>
  <c r="I47" i="18" a="1"/>
  <c r="K64" i="20" a="1"/>
  <c r="K138" i="18" a="1"/>
  <c r="K84" i="18" a="1"/>
  <c r="H54" i="18" a="1"/>
  <c r="K98" i="18" a="1"/>
  <c r="I24" i="18" a="1"/>
  <c r="J44" i="18" a="1"/>
  <c r="J59" i="18" a="1"/>
  <c r="J38" i="18" a="1"/>
  <c r="I25" i="18" a="1"/>
  <c r="K42" i="22" a="1"/>
  <c r="L91" i="18" a="1"/>
  <c r="L121" i="18" a="1"/>
  <c r="K92" i="18" a="1"/>
  <c r="K27" i="23" a="1"/>
  <c r="L97" i="18" a="1"/>
  <c r="K76" i="18" a="1"/>
  <c r="K91" i="18" a="1"/>
  <c r="L90" i="18" a="1"/>
  <c r="K142" i="18" a="1"/>
  <c r="K40" i="15" a="1"/>
  <c r="L134" i="18" a="1"/>
  <c r="H30" i="18" a="1"/>
  <c r="H31" i="18" a="1"/>
  <c r="L139" i="18" a="1"/>
  <c r="J46" i="18" a="1"/>
  <c r="J41" i="18" a="1"/>
  <c r="K45" i="15" a="1"/>
  <c r="K108" i="18" a="1"/>
  <c r="I19" i="18" a="1"/>
  <c r="I42" i="18" a="1"/>
  <c r="L114" i="18" a="1"/>
  <c r="H12" i="18" a="1"/>
  <c r="K50" i="15" a="1"/>
  <c r="K49" i="20" a="1"/>
  <c r="K47" i="22" a="1"/>
  <c r="H64" i="18" a="1"/>
  <c r="L80" i="18" a="1"/>
  <c r="L88" i="18" a="1"/>
  <c r="H70" i="18" a="1"/>
  <c r="K99" i="18" a="1"/>
  <c r="K19" i="19" a="1"/>
  <c r="L95" i="18" a="1"/>
  <c r="K43" i="23" a="1"/>
  <c r="L109" i="18" a="1"/>
  <c r="K17" i="19" a="1"/>
  <c r="K46" i="15" a="1"/>
  <c r="I13" i="18" a="1"/>
  <c r="K83" i="18" a="1"/>
  <c r="K120" i="18" a="1"/>
  <c r="L128" i="18" a="1"/>
  <c r="K131" i="18" a="1"/>
  <c r="K90" i="18" a="1"/>
  <c r="K124" i="18" a="1"/>
  <c r="L106" i="18" a="1"/>
  <c r="L142" i="18" a="1"/>
  <c r="L87" i="18" a="1"/>
  <c r="K86" i="18" a="1"/>
  <c r="L76" i="18" a="1"/>
  <c r="H48" i="18" a="1"/>
  <c r="J54" i="18" a="1"/>
  <c r="L111" i="18" a="1"/>
  <c r="K118" i="18" a="1"/>
  <c r="L82" i="18" a="1"/>
  <c r="H38" i="18" a="1"/>
  <c r="K40" i="20" a="1"/>
  <c r="K28" i="15" a="1"/>
  <c r="I32" i="18" a="1"/>
  <c r="K139" i="18" a="1"/>
  <c r="L140" i="18" a="1"/>
  <c r="L147" i="18" a="1"/>
  <c r="K141" i="18" a="1"/>
  <c r="L144" i="18" a="1"/>
  <c r="K116" i="18" a="1"/>
  <c r="K114" i="18" a="1"/>
  <c r="L84" i="18" a="1"/>
  <c r="K75" i="18" a="1"/>
  <c r="L119" i="18" a="1"/>
  <c r="L93" i="18" a="1"/>
  <c r="K106" i="18" a="1"/>
  <c r="L100" i="18" a="1"/>
  <c r="K95" i="18" a="1"/>
  <c r="K32" i="23" l="1"/>
  <c r="C32" i="23" s="1"/>
  <c r="K46" i="23"/>
  <c r="C46" i="23" s="1"/>
  <c r="K27" i="23"/>
  <c r="C27" i="23" s="1"/>
  <c r="K34" i="23"/>
  <c r="C34" i="23" s="1"/>
  <c r="K49" i="23"/>
  <c r="C49" i="23" s="1"/>
  <c r="K29" i="23"/>
  <c r="C29" i="23" s="1"/>
  <c r="K42" i="23"/>
  <c r="C42" i="23" s="1"/>
  <c r="K30" i="23"/>
  <c r="C30" i="23" s="1"/>
  <c r="K47" i="23"/>
  <c r="C47" i="23" s="1"/>
  <c r="K39" i="23"/>
  <c r="C39" i="23" s="1"/>
  <c r="K35" i="23"/>
  <c r="C35" i="23" s="1"/>
  <c r="K50" i="23"/>
  <c r="C50" i="23" s="1"/>
  <c r="K38" i="23"/>
  <c r="C38" i="23" s="1"/>
  <c r="K43" i="23"/>
  <c r="C43" i="23" s="1"/>
  <c r="K37" i="23"/>
  <c r="C37" i="23" s="1"/>
  <c r="K31" i="23"/>
  <c r="C31" i="23" s="1"/>
  <c r="E32" i="23"/>
  <c r="E46" i="23"/>
  <c r="E27" i="23"/>
  <c r="E34" i="23"/>
  <c r="E49" i="23"/>
  <c r="E29" i="23"/>
  <c r="E42" i="23"/>
  <c r="E30" i="23"/>
  <c r="E47" i="23"/>
  <c r="E39" i="23"/>
  <c r="E35" i="23"/>
  <c r="E50" i="23"/>
  <c r="E38" i="23"/>
  <c r="E43" i="23"/>
  <c r="E37" i="23"/>
  <c r="E31" i="23"/>
  <c r="K38" i="22"/>
  <c r="C38" i="22" s="1"/>
  <c r="K28" i="22"/>
  <c r="C28" i="22" s="1"/>
  <c r="K41" i="22"/>
  <c r="C41" i="22" s="1"/>
  <c r="K47" i="22"/>
  <c r="C47" i="22" s="1"/>
  <c r="K46" i="22"/>
  <c r="C46" i="22" s="1"/>
  <c r="K45" i="22"/>
  <c r="C45" i="22" s="1"/>
  <c r="K35" i="22"/>
  <c r="C35" i="22" s="1"/>
  <c r="K43" i="22"/>
  <c r="C43" i="22" s="1"/>
  <c r="K34" i="22"/>
  <c r="C34" i="22" s="1"/>
  <c r="K33" i="22"/>
  <c r="C33" i="22" s="1"/>
  <c r="E38" i="22"/>
  <c r="E28" i="22"/>
  <c r="E41" i="22"/>
  <c r="E47" i="22"/>
  <c r="E46" i="22"/>
  <c r="E45" i="22"/>
  <c r="E35" i="22"/>
  <c r="E43" i="22"/>
  <c r="E34" i="22"/>
  <c r="E33" i="22"/>
  <c r="K42" i="22"/>
  <c r="C42" i="22" s="1"/>
  <c r="K30" i="22"/>
  <c r="C30" i="22" s="1"/>
  <c r="K40" i="22"/>
  <c r="C40" i="22" s="1"/>
  <c r="K31" i="22"/>
  <c r="C31" i="22" s="1"/>
  <c r="K48" i="22"/>
  <c r="C48" i="22" s="1"/>
  <c r="K36" i="22"/>
  <c r="C36" i="22" s="1"/>
  <c r="K29" i="22"/>
  <c r="C29" i="22" s="1"/>
  <c r="K32" i="22"/>
  <c r="C32" i="22" s="1"/>
  <c r="K27" i="22"/>
  <c r="C27" i="22" s="1"/>
  <c r="K39" i="22"/>
  <c r="C39" i="22" s="1"/>
  <c r="K49" i="22"/>
  <c r="C49" i="22" s="1"/>
  <c r="K37" i="22"/>
  <c r="C37" i="22" s="1"/>
  <c r="E42" i="22"/>
  <c r="E30" i="22"/>
  <c r="E40" i="22"/>
  <c r="E31" i="22"/>
  <c r="E48" i="22"/>
  <c r="E36" i="22"/>
  <c r="E29" i="22"/>
  <c r="E32" i="22"/>
  <c r="E27" i="22"/>
  <c r="E39" i="22"/>
  <c r="E49" i="22"/>
  <c r="E37" i="22"/>
  <c r="L141" i="18"/>
  <c r="L144" i="18"/>
  <c r="L148" i="18"/>
  <c r="L142" i="18"/>
  <c r="L149" i="18"/>
  <c r="L145" i="18"/>
  <c r="L146" i="18"/>
  <c r="L147" i="18"/>
  <c r="L143" i="18"/>
  <c r="L150" i="18"/>
  <c r="L139" i="18"/>
  <c r="K43" i="18"/>
  <c r="T43" i="18" s="1"/>
  <c r="L140" i="18"/>
  <c r="K42" i="18"/>
  <c r="T42" i="18" s="1"/>
  <c r="L138" i="18"/>
  <c r="L137" i="18"/>
  <c r="L133" i="18"/>
  <c r="L134" i="18"/>
  <c r="L135" i="18"/>
  <c r="L131" i="18"/>
  <c r="L127" i="18"/>
  <c r="L125" i="18"/>
  <c r="L132" i="18"/>
  <c r="L128" i="18"/>
  <c r="L126" i="18"/>
  <c r="L136" i="18"/>
  <c r="L130" i="18"/>
  <c r="L129" i="18"/>
  <c r="L124" i="18"/>
  <c r="L121" i="18"/>
  <c r="L122" i="18"/>
  <c r="L123" i="18"/>
  <c r="L120" i="18"/>
  <c r="L118" i="18"/>
  <c r="L119" i="18"/>
  <c r="L117" i="18"/>
  <c r="L116" i="18"/>
  <c r="L114" i="18"/>
  <c r="L115" i="18"/>
  <c r="L112" i="18"/>
  <c r="L113" i="18"/>
  <c r="L111" i="18"/>
  <c r="L105" i="18"/>
  <c r="L110" i="18"/>
  <c r="L106" i="18"/>
  <c r="L109" i="18"/>
  <c r="L103" i="18"/>
  <c r="L108" i="18"/>
  <c r="L107" i="18"/>
  <c r="L104" i="18"/>
  <c r="L95" i="18"/>
  <c r="L97" i="18"/>
  <c r="L84" i="18"/>
  <c r="L102" i="18"/>
  <c r="L93" i="18"/>
  <c r="L76" i="18"/>
  <c r="L87" i="18"/>
  <c r="L89" i="18"/>
  <c r="L78" i="18"/>
  <c r="L90" i="18"/>
  <c r="L82" i="18"/>
  <c r="L91" i="18"/>
  <c r="L100" i="18"/>
  <c r="L96" i="18"/>
  <c r="L79" i="18"/>
  <c r="L75" i="18"/>
  <c r="L83" i="18"/>
  <c r="L94" i="18"/>
  <c r="L85" i="18"/>
  <c r="L98" i="18"/>
  <c r="L86" i="18"/>
  <c r="L92" i="18"/>
  <c r="L99" i="18"/>
  <c r="L77" i="18"/>
  <c r="L80" i="18"/>
  <c r="L81" i="18"/>
  <c r="L88" i="18"/>
  <c r="L101" i="18"/>
  <c r="J65" i="18"/>
  <c r="I43" i="18"/>
  <c r="L43" i="18" s="1" a="1"/>
  <c r="J61" i="18"/>
  <c r="J70" i="18"/>
  <c r="J67" i="18"/>
  <c r="J59" i="18"/>
  <c r="J66" i="18"/>
  <c r="J42" i="18"/>
  <c r="J72" i="18"/>
  <c r="J69" i="18"/>
  <c r="J63" i="18"/>
  <c r="J43" i="18"/>
  <c r="J71" i="18"/>
  <c r="J62" i="18"/>
  <c r="I42" i="18"/>
  <c r="L42" i="18" s="1" a="1"/>
  <c r="J68" i="18"/>
  <c r="Y66" i="18"/>
  <c r="Z43" i="18"/>
  <c r="Y43" i="18"/>
  <c r="Z42" i="18"/>
  <c r="Y42" i="18"/>
  <c r="M64" i="18"/>
  <c r="Z150" i="18"/>
  <c r="Z138" i="18"/>
  <c r="Z126" i="18"/>
  <c r="Z114" i="18"/>
  <c r="Z102" i="18"/>
  <c r="Z90" i="18"/>
  <c r="Z78" i="18"/>
  <c r="Z64" i="18"/>
  <c r="Z51" i="18"/>
  <c r="Z37" i="18"/>
  <c r="Z91" i="18"/>
  <c r="Z149" i="18"/>
  <c r="Z137" i="18"/>
  <c r="Z125" i="18"/>
  <c r="Z113" i="18"/>
  <c r="Z101" i="18"/>
  <c r="Z89" i="18"/>
  <c r="Z77" i="18"/>
  <c r="Z63" i="18"/>
  <c r="Z50" i="18"/>
  <c r="Z36" i="18"/>
  <c r="Z67" i="18"/>
  <c r="Z79" i="18"/>
  <c r="Z148" i="18"/>
  <c r="Z136" i="18"/>
  <c r="Z124" i="18"/>
  <c r="Z112" i="18"/>
  <c r="Z100" i="18"/>
  <c r="Z88" i="18"/>
  <c r="Z76" i="18"/>
  <c r="Z62" i="18"/>
  <c r="Z49" i="18"/>
  <c r="Z35" i="18"/>
  <c r="Z139" i="18"/>
  <c r="Z147" i="18"/>
  <c r="Z135" i="18"/>
  <c r="Z123" i="18"/>
  <c r="Z111" i="18"/>
  <c r="Z99" i="18"/>
  <c r="Z87" i="18"/>
  <c r="Z75" i="18"/>
  <c r="Z61" i="18"/>
  <c r="Z48" i="18"/>
  <c r="Z65" i="18"/>
  <c r="Z146" i="18"/>
  <c r="Z134" i="18"/>
  <c r="Z122" i="18"/>
  <c r="Z110" i="18"/>
  <c r="Z98" i="18"/>
  <c r="Z86" i="18"/>
  <c r="Z72" i="18"/>
  <c r="Z59" i="18"/>
  <c r="Z47" i="18"/>
  <c r="Z54" i="18"/>
  <c r="Z103" i="18"/>
  <c r="Z38" i="18"/>
  <c r="Z145" i="18"/>
  <c r="Z133" i="18"/>
  <c r="Z121" i="18"/>
  <c r="Z109" i="18"/>
  <c r="Z97" i="18"/>
  <c r="Z85" i="18"/>
  <c r="Z71" i="18"/>
  <c r="Z58" i="18"/>
  <c r="Z46" i="18"/>
  <c r="Z115" i="18"/>
  <c r="Z144" i="18"/>
  <c r="Z132" i="18"/>
  <c r="Z120" i="18"/>
  <c r="Z108" i="18"/>
  <c r="Z96" i="18"/>
  <c r="Z84" i="18"/>
  <c r="Z70" i="18"/>
  <c r="Z57" i="18"/>
  <c r="Z45" i="18"/>
  <c r="Z81" i="18"/>
  <c r="Z52" i="18"/>
  <c r="Z143" i="18"/>
  <c r="Z131" i="18"/>
  <c r="Z119" i="18"/>
  <c r="Z107" i="18"/>
  <c r="Z95" i="18"/>
  <c r="Z83" i="18"/>
  <c r="Z69" i="18"/>
  <c r="Z56" i="18"/>
  <c r="Z44" i="18"/>
  <c r="Z127" i="18"/>
  <c r="Z142" i="18"/>
  <c r="Z130" i="18"/>
  <c r="Z118" i="18"/>
  <c r="Z106" i="18"/>
  <c r="Z94" i="18"/>
  <c r="Z82" i="18"/>
  <c r="Z68" i="18"/>
  <c r="Z55" i="18"/>
  <c r="Z41" i="18"/>
  <c r="Z141" i="18"/>
  <c r="Z129" i="18"/>
  <c r="Z117" i="18"/>
  <c r="Z105" i="18"/>
  <c r="Z93" i="18"/>
  <c r="Z40" i="18"/>
  <c r="Z140" i="18"/>
  <c r="Z128" i="18"/>
  <c r="Z116" i="18"/>
  <c r="Z104" i="18"/>
  <c r="Z92" i="18"/>
  <c r="Z80" i="18"/>
  <c r="Z66" i="18"/>
  <c r="Z53" i="18"/>
  <c r="Z39" i="18"/>
  <c r="Y47" i="18"/>
  <c r="Z2" i="18"/>
  <c r="J55" i="18"/>
  <c r="J52" i="18"/>
  <c r="J40" i="18"/>
  <c r="J37" i="18"/>
  <c r="J49" i="18"/>
  <c r="J57" i="18"/>
  <c r="J34" i="18"/>
  <c r="J44" i="18"/>
  <c r="J54" i="18"/>
  <c r="J51" i="18"/>
  <c r="J39" i="18"/>
  <c r="J36" i="18"/>
  <c r="J48" i="18"/>
  <c r="J56" i="18"/>
  <c r="J41" i="18"/>
  <c r="J53" i="18"/>
  <c r="J46" i="18"/>
  <c r="J47" i="18"/>
  <c r="J38" i="18"/>
  <c r="J50" i="18"/>
  <c r="J35" i="18"/>
  <c r="J58" i="18"/>
  <c r="J45" i="18"/>
  <c r="H27" i="18"/>
  <c r="H14" i="18"/>
  <c r="H20" i="18"/>
  <c r="H30" i="18"/>
  <c r="H7" i="18"/>
  <c r="H17" i="18"/>
  <c r="H26" i="18"/>
  <c r="H61" i="18"/>
  <c r="H22" i="18"/>
  <c r="H13" i="18"/>
  <c r="H9" i="18"/>
  <c r="H10" i="18"/>
  <c r="H19" i="18"/>
  <c r="H29" i="18"/>
  <c r="H25" i="18"/>
  <c r="H18" i="18"/>
  <c r="H32" i="18"/>
  <c r="H15" i="18"/>
  <c r="H12" i="18"/>
  <c r="H23" i="18"/>
  <c r="H21" i="18"/>
  <c r="H24" i="18"/>
  <c r="H8" i="18"/>
  <c r="H31" i="18"/>
  <c r="H11" i="18"/>
  <c r="H16" i="18"/>
  <c r="I28" i="18"/>
  <c r="L28" i="18" s="1" a="1"/>
  <c r="I16" i="18"/>
  <c r="L16" i="18" s="1" a="1"/>
  <c r="I27" i="18"/>
  <c r="L27" i="18" s="1" a="1"/>
  <c r="I21" i="18"/>
  <c r="L21" i="18" s="1" a="1"/>
  <c r="I15" i="18"/>
  <c r="L15" i="18" s="1" a="1"/>
  <c r="I9" i="18"/>
  <c r="L9" i="18" s="1" a="1"/>
  <c r="I26" i="18"/>
  <c r="L26" i="18" s="1" a="1"/>
  <c r="I32" i="18"/>
  <c r="L32" i="18" s="1" a="1"/>
  <c r="I14" i="18"/>
  <c r="L14" i="18" s="1" a="1"/>
  <c r="I20" i="18"/>
  <c r="L20" i="18" s="1" a="1"/>
  <c r="I25" i="18"/>
  <c r="L25" i="18" s="1" a="1"/>
  <c r="I8" i="18"/>
  <c r="L8" i="18" s="1" a="1"/>
  <c r="I13" i="18"/>
  <c r="I31" i="18"/>
  <c r="L31" i="18" s="1" a="1"/>
  <c r="I24" i="18"/>
  <c r="L24" i="18" s="1" a="1"/>
  <c r="I19" i="18"/>
  <c r="L19" i="18" s="1" a="1"/>
  <c r="I12" i="18"/>
  <c r="I7" i="18"/>
  <c r="L7" i="18" s="1" a="1"/>
  <c r="I23" i="18"/>
  <c r="L23" i="18" s="1" a="1"/>
  <c r="I30" i="18"/>
  <c r="L30" i="18" s="1" a="1"/>
  <c r="I11" i="18"/>
  <c r="I18" i="18"/>
  <c r="L18" i="18" s="1" a="1"/>
  <c r="I22" i="18"/>
  <c r="L22" i="18" s="1" a="1"/>
  <c r="I29" i="18"/>
  <c r="L29" i="18" s="1" a="1"/>
  <c r="I10" i="18"/>
  <c r="L10" i="18" s="1" a="1"/>
  <c r="I17" i="18"/>
  <c r="L17" i="18" s="1" a="1"/>
  <c r="Y67" i="18"/>
  <c r="Y36" i="18"/>
  <c r="Y69" i="18"/>
  <c r="Y51" i="18"/>
  <c r="Y148" i="18"/>
  <c r="Y143" i="18"/>
  <c r="Y32" i="18"/>
  <c r="Y28" i="18"/>
  <c r="Y24" i="18"/>
  <c r="Y20" i="18"/>
  <c r="Y16" i="18"/>
  <c r="Y12" i="18"/>
  <c r="Y8" i="18"/>
  <c r="Y26" i="18"/>
  <c r="Y30" i="18"/>
  <c r="Y31" i="18"/>
  <c r="Y27" i="18"/>
  <c r="Y23" i="18"/>
  <c r="Y19" i="18"/>
  <c r="Y15" i="18"/>
  <c r="Y11" i="18"/>
  <c r="Y7" i="18"/>
  <c r="Y22" i="18"/>
  <c r="Y10" i="18"/>
  <c r="Y18" i="18"/>
  <c r="Y14" i="18"/>
  <c r="Y29" i="18"/>
  <c r="Y25" i="18"/>
  <c r="Y21" i="18"/>
  <c r="Y17" i="18"/>
  <c r="Y13" i="18"/>
  <c r="Y9" i="18"/>
  <c r="Y52" i="18"/>
  <c r="Y63" i="18"/>
  <c r="Y61" i="18"/>
  <c r="K28" i="18"/>
  <c r="T28" i="18" s="1"/>
  <c r="Y131" i="18"/>
  <c r="I6" i="18"/>
  <c r="H6" i="18"/>
  <c r="Y101" i="18"/>
  <c r="Y6" i="18"/>
  <c r="Y48" i="18"/>
  <c r="Y56" i="18"/>
  <c r="Y53" i="18"/>
  <c r="Y112" i="18"/>
  <c r="Y71" i="18"/>
  <c r="Y44" i="18"/>
  <c r="Y39" i="18"/>
  <c r="Y141" i="18"/>
  <c r="Y58" i="18"/>
  <c r="Y40" i="18"/>
  <c r="Y65" i="18"/>
  <c r="Y116" i="18"/>
  <c r="Y86" i="18"/>
  <c r="Y46" i="18"/>
  <c r="Y38" i="18"/>
  <c r="Y35" i="18"/>
  <c r="Y104" i="18"/>
  <c r="Y132" i="18"/>
  <c r="Y50" i="18"/>
  <c r="Y68" i="18"/>
  <c r="Y64" i="18"/>
  <c r="Y145" i="18"/>
  <c r="Y120" i="18"/>
  <c r="Y70" i="18"/>
  <c r="Y55" i="18"/>
  <c r="Y62" i="18"/>
  <c r="Y126" i="18"/>
  <c r="Y108" i="18"/>
  <c r="Y57" i="18"/>
  <c r="Y41" i="18"/>
  <c r="Y114" i="18"/>
  <c r="Y130" i="18"/>
  <c r="Y72" i="18"/>
  <c r="Y45" i="18"/>
  <c r="Y37" i="18"/>
  <c r="Y102" i="18"/>
  <c r="Y84" i="18"/>
  <c r="Y59" i="18"/>
  <c r="Y54" i="18"/>
  <c r="Y49" i="18"/>
  <c r="Y78" i="18"/>
  <c r="Y82" i="18"/>
  <c r="Y34" i="18"/>
  <c r="Y146" i="18"/>
  <c r="Y134" i="18"/>
  <c r="Y122" i="18"/>
  <c r="Y115" i="18"/>
  <c r="K49" i="20"/>
  <c r="C49" i="20" s="1"/>
  <c r="K40" i="20"/>
  <c r="C40" i="20" s="1"/>
  <c r="K66" i="20"/>
  <c r="C66" i="20" s="1"/>
  <c r="K74" i="20"/>
  <c r="C74" i="20" s="1"/>
  <c r="K54" i="20"/>
  <c r="C54" i="20" s="1"/>
  <c r="K62" i="20"/>
  <c r="C62" i="20" s="1"/>
  <c r="K61" i="20"/>
  <c r="C61" i="20" s="1"/>
  <c r="K42" i="20"/>
  <c r="C42" i="20" s="1"/>
  <c r="K50" i="20"/>
  <c r="C50" i="20" s="1"/>
  <c r="K71" i="20"/>
  <c r="C71" i="20" s="1"/>
  <c r="K67" i="20"/>
  <c r="C67" i="20" s="1"/>
  <c r="K59" i="20"/>
  <c r="C59" i="20" s="1"/>
  <c r="K55" i="20"/>
  <c r="C55" i="20" s="1"/>
  <c r="K47" i="20"/>
  <c r="C47" i="20" s="1"/>
  <c r="K43" i="20"/>
  <c r="C43" i="20" s="1"/>
  <c r="K64" i="20"/>
  <c r="C64" i="20" s="1"/>
  <c r="K72" i="20"/>
  <c r="C72" i="20" s="1"/>
  <c r="K45" i="20"/>
  <c r="C45" i="20" s="1"/>
  <c r="K52" i="20"/>
  <c r="C52" i="20" s="1"/>
  <c r="K60" i="20"/>
  <c r="C60" i="20" s="1"/>
  <c r="K69" i="20"/>
  <c r="C69" i="20" s="1"/>
  <c r="K63" i="20"/>
  <c r="C63" i="20" s="1"/>
  <c r="K57" i="20"/>
  <c r="C57" i="20" s="1"/>
  <c r="K51" i="20"/>
  <c r="C51" i="20" s="1"/>
  <c r="E49" i="20"/>
  <c r="E40" i="20"/>
  <c r="E66" i="20"/>
  <c r="E74" i="20"/>
  <c r="E54" i="20"/>
  <c r="E62" i="20"/>
  <c r="E61" i="20"/>
  <c r="E42" i="20"/>
  <c r="E50" i="20"/>
  <c r="E71" i="20"/>
  <c r="E67" i="20"/>
  <c r="E59" i="20"/>
  <c r="E55" i="20"/>
  <c r="E47" i="20"/>
  <c r="E43" i="20"/>
  <c r="E64" i="20"/>
  <c r="E72" i="20"/>
  <c r="E45" i="20"/>
  <c r="E52" i="20"/>
  <c r="E60" i="20"/>
  <c r="E69" i="20"/>
  <c r="E63" i="20"/>
  <c r="E57" i="20"/>
  <c r="E51" i="20"/>
  <c r="K16" i="19"/>
  <c r="C16" i="19" s="1"/>
  <c r="E16" i="19"/>
  <c r="K21" i="19"/>
  <c r="C21" i="19" s="1"/>
  <c r="E21" i="19"/>
  <c r="K20" i="19"/>
  <c r="C20" i="19" s="1"/>
  <c r="Y92" i="18"/>
  <c r="Y88" i="18"/>
  <c r="Y96" i="18"/>
  <c r="E20" i="19"/>
  <c r="Y109" i="18"/>
  <c r="Y129" i="18"/>
  <c r="Y99" i="18"/>
  <c r="Y138" i="18"/>
  <c r="Y117" i="18"/>
  <c r="Y147" i="18"/>
  <c r="K15" i="19"/>
  <c r="C15" i="19" s="1"/>
  <c r="E15" i="19"/>
  <c r="K26" i="19"/>
  <c r="C26" i="19" s="1"/>
  <c r="K19" i="19"/>
  <c r="C19" i="19" s="1"/>
  <c r="Y137" i="18"/>
  <c r="Y80" i="18"/>
  <c r="Y119" i="18"/>
  <c r="Y110" i="18"/>
  <c r="Y87" i="18"/>
  <c r="E26" i="19"/>
  <c r="Y133" i="18"/>
  <c r="Y136" i="18"/>
  <c r="Y139" i="18"/>
  <c r="Y125" i="18"/>
  <c r="Y121" i="18"/>
  <c r="Y124" i="18"/>
  <c r="Y127" i="18"/>
  <c r="Y135" i="18"/>
  <c r="E19" i="19"/>
  <c r="K24" i="19"/>
  <c r="C24" i="19" s="1"/>
  <c r="Y76" i="18"/>
  <c r="Y90" i="18"/>
  <c r="Y100" i="18"/>
  <c r="Y98" i="18"/>
  <c r="Y142" i="18"/>
  <c r="Y77" i="18"/>
  <c r="Y118" i="18"/>
  <c r="Y94" i="18"/>
  <c r="Y106" i="18"/>
  <c r="Y113" i="18"/>
  <c r="E24" i="19"/>
  <c r="Y75" i="18"/>
  <c r="Y97" i="18"/>
  <c r="Y107" i="18"/>
  <c r="Y105" i="18"/>
  <c r="Y103" i="18"/>
  <c r="Y89" i="18"/>
  <c r="Y123" i="18"/>
  <c r="Y140" i="18"/>
  <c r="Y85" i="18"/>
  <c r="Y95" i="18"/>
  <c r="Y93" i="18"/>
  <c r="Y91" i="18"/>
  <c r="Y149" i="18"/>
  <c r="Y111" i="18"/>
  <c r="Y128" i="18"/>
  <c r="Y150" i="18"/>
  <c r="Y83" i="18"/>
  <c r="Y81" i="18"/>
  <c r="Y144" i="18"/>
  <c r="Y79" i="18"/>
  <c r="K25" i="19"/>
  <c r="C25" i="19" s="1"/>
  <c r="K22" i="19"/>
  <c r="C22" i="19" s="1"/>
  <c r="K17" i="19"/>
  <c r="C17" i="19" s="1"/>
  <c r="K18" i="19"/>
  <c r="C18" i="19" s="1"/>
  <c r="K23" i="19"/>
  <c r="C23" i="19" s="1"/>
  <c r="E25" i="19"/>
  <c r="E22" i="19"/>
  <c r="E17" i="19"/>
  <c r="E18" i="19"/>
  <c r="E23" i="19"/>
  <c r="K92" i="18"/>
  <c r="K147" i="18"/>
  <c r="K111" i="18"/>
  <c r="K101" i="18"/>
  <c r="K114" i="18"/>
  <c r="K128" i="18"/>
  <c r="K105" i="18"/>
  <c r="K108" i="18"/>
  <c r="K121" i="18"/>
  <c r="K91" i="18"/>
  <c r="K124" i="18"/>
  <c r="K122" i="18"/>
  <c r="K96" i="18"/>
  <c r="K125" i="18"/>
  <c r="K150" i="18"/>
  <c r="K102" i="18"/>
  <c r="K135" i="18"/>
  <c r="K112" i="18"/>
  <c r="K127" i="18"/>
  <c r="K86" i="18"/>
  <c r="K85" i="18"/>
  <c r="K148" i="18"/>
  <c r="K119" i="18"/>
  <c r="K144" i="18"/>
  <c r="K95" i="18"/>
  <c r="K129" i="18"/>
  <c r="K87" i="18"/>
  <c r="K106" i="18"/>
  <c r="K113" i="18"/>
  <c r="K145" i="18"/>
  <c r="K131" i="18"/>
  <c r="K146" i="18"/>
  <c r="K110" i="18"/>
  <c r="K115" i="18"/>
  <c r="K142" i="18"/>
  <c r="K149" i="18"/>
  <c r="K107" i="18"/>
  <c r="K138" i="18"/>
  <c r="K116" i="18"/>
  <c r="K99" i="18"/>
  <c r="K123" i="18"/>
  <c r="K103" i="18"/>
  <c r="K100" i="18"/>
  <c r="K139" i="18"/>
  <c r="K120" i="18"/>
  <c r="K140" i="18"/>
  <c r="K104" i="18"/>
  <c r="K133" i="18"/>
  <c r="K118" i="18"/>
  <c r="K136" i="18"/>
  <c r="K143" i="18"/>
  <c r="K132" i="18"/>
  <c r="K90" i="18"/>
  <c r="K89" i="18"/>
  <c r="K93" i="18"/>
  <c r="K117" i="18"/>
  <c r="K94" i="18"/>
  <c r="K109" i="18"/>
  <c r="K141" i="18"/>
  <c r="K134" i="18"/>
  <c r="K98" i="18"/>
  <c r="K88" i="18"/>
  <c r="K130" i="18"/>
  <c r="K137" i="18"/>
  <c r="K97" i="18"/>
  <c r="K126" i="18"/>
  <c r="K82" i="18"/>
  <c r="K83" i="18"/>
  <c r="K78" i="18"/>
  <c r="K76" i="18"/>
  <c r="K80" i="18"/>
  <c r="K81" i="18"/>
  <c r="K79" i="18"/>
  <c r="K77" i="18"/>
  <c r="K84" i="18"/>
  <c r="K75" i="18"/>
  <c r="I68" i="18"/>
  <c r="L68" i="18" s="1" a="1"/>
  <c r="H44" i="18"/>
  <c r="H52" i="18"/>
  <c r="H45" i="18"/>
  <c r="H55" i="18"/>
  <c r="I53" i="18"/>
  <c r="L53" i="18" s="1" a="1"/>
  <c r="H57" i="18"/>
  <c r="H41" i="18"/>
  <c r="I72" i="18"/>
  <c r="L72" i="18" s="1" a="1"/>
  <c r="I69" i="18"/>
  <c r="L69" i="18" s="1" a="1"/>
  <c r="H69" i="18"/>
  <c r="H65" i="18"/>
  <c r="H49" i="18"/>
  <c r="I51" i="18"/>
  <c r="L51" i="18" s="1" a="1"/>
  <c r="H46" i="18"/>
  <c r="I40" i="18"/>
  <c r="L40" i="18" s="1" a="1"/>
  <c r="H66" i="18"/>
  <c r="H39" i="18"/>
  <c r="H56" i="18"/>
  <c r="I34" i="18"/>
  <c r="L34" i="18" s="1" a="1"/>
  <c r="I39" i="18"/>
  <c r="L39" i="18" s="1" a="1"/>
  <c r="I52" i="18"/>
  <c r="L52" i="18" s="1" a="1"/>
  <c r="H48" i="18"/>
  <c r="I45" i="18"/>
  <c r="L45" i="18" s="1" a="1"/>
  <c r="I57" i="18"/>
  <c r="L57" i="18" s="1" a="1"/>
  <c r="I59" i="18"/>
  <c r="L59" i="18" s="1" a="1"/>
  <c r="I56" i="18"/>
  <c r="L56" i="18" s="1" a="1"/>
  <c r="H59" i="18"/>
  <c r="I71" i="18"/>
  <c r="L71" i="18" s="1" a="1"/>
  <c r="H64" i="18"/>
  <c r="I46" i="18"/>
  <c r="L46" i="18" s="1" a="1"/>
  <c r="I37" i="18"/>
  <c r="L37" i="18" s="1" a="1"/>
  <c r="H71" i="18"/>
  <c r="H58" i="18"/>
  <c r="I55" i="18"/>
  <c r="L55" i="18" s="1" a="1"/>
  <c r="I49" i="18"/>
  <c r="L49" i="18" s="1" a="1"/>
  <c r="H40" i="18"/>
  <c r="H72" i="18"/>
  <c r="H70" i="18"/>
  <c r="H47" i="18"/>
  <c r="H54" i="18"/>
  <c r="H34" i="18"/>
  <c r="H37" i="18"/>
  <c r="I58" i="18"/>
  <c r="L58" i="18" s="1" a="1"/>
  <c r="H67" i="18"/>
  <c r="H38" i="18"/>
  <c r="I65" i="18"/>
  <c r="L65" i="18" s="1" a="1"/>
  <c r="H51" i="18"/>
  <c r="H68" i="18"/>
  <c r="H50" i="18"/>
  <c r="I38" i="18"/>
  <c r="L38" i="18" s="1" a="1"/>
  <c r="I35" i="18"/>
  <c r="L35" i="18" s="1" a="1"/>
  <c r="H62" i="18"/>
  <c r="I47" i="18"/>
  <c r="L47" i="18" s="1" a="1"/>
  <c r="I61" i="18"/>
  <c r="I63" i="18"/>
  <c r="L63" i="18" s="1" a="1"/>
  <c r="I41" i="18"/>
  <c r="L41" i="18" s="1" a="1"/>
  <c r="I70" i="18"/>
  <c r="L70" i="18" s="1" a="1"/>
  <c r="H63" i="18"/>
  <c r="I67" i="18"/>
  <c r="L67" i="18" s="1" a="1"/>
  <c r="H35" i="18"/>
  <c r="I50" i="18"/>
  <c r="L50" i="18" s="1" a="1"/>
  <c r="H53" i="18"/>
  <c r="H36" i="18"/>
  <c r="I48" i="18"/>
  <c r="L48" i="18" s="1" a="1"/>
  <c r="I44" i="18"/>
  <c r="L44" i="18" s="1" a="1"/>
  <c r="I36" i="18"/>
  <c r="L36" i="18" s="1" a="1"/>
  <c r="I54" i="18"/>
  <c r="L54" i="18" s="1" a="1"/>
  <c r="I64" i="18"/>
  <c r="L64" i="18" s="1" a="1"/>
  <c r="I66" i="18"/>
  <c r="L66" i="18" s="1" a="1"/>
  <c r="L62" i="18"/>
  <c r="K49" i="15"/>
  <c r="K43" i="15"/>
  <c r="K31" i="15"/>
  <c r="K36" i="15"/>
  <c r="K46" i="15"/>
  <c r="K30" i="15"/>
  <c r="K35" i="15"/>
  <c r="K29" i="15"/>
  <c r="K42" i="15"/>
  <c r="K34" i="15"/>
  <c r="K47" i="15"/>
  <c r="K33" i="15"/>
  <c r="K32" i="15"/>
  <c r="K37" i="15"/>
  <c r="K48" i="15"/>
  <c r="K45" i="15"/>
  <c r="K50" i="15"/>
  <c r="K41" i="15"/>
  <c r="K39" i="15"/>
  <c r="K28" i="15"/>
  <c r="K27" i="15"/>
  <c r="K40" i="15"/>
  <c r="K44" i="15"/>
  <c r="K38" i="15"/>
  <c r="E30" i="15"/>
  <c r="E49" i="15"/>
  <c r="E43" i="15"/>
  <c r="E41" i="15"/>
  <c r="E37" i="15"/>
  <c r="E32" i="15"/>
  <c r="E31" i="15"/>
  <c r="E36" i="15"/>
  <c r="H108" i="16"/>
  <c r="H106" i="16"/>
  <c r="H104" i="16"/>
  <c r="H102" i="16"/>
  <c r="H100" i="16"/>
  <c r="H92" i="16"/>
  <c r="H90" i="16"/>
  <c r="H88" i="16"/>
  <c r="H80" i="16"/>
  <c r="H78" i="16"/>
  <c r="H76" i="16"/>
  <c r="H74" i="16"/>
  <c r="H111" i="16" s="1"/>
  <c r="D74" i="16"/>
  <c r="E74" i="16" s="1"/>
  <c r="H73" i="16"/>
  <c r="H110" i="16" s="1"/>
  <c r="E73" i="16"/>
  <c r="D73" i="16"/>
  <c r="H72" i="16"/>
  <c r="H109" i="16" s="1"/>
  <c r="D72" i="16"/>
  <c r="E72" i="16" s="1"/>
  <c r="H71" i="16"/>
  <c r="E71" i="16"/>
  <c r="D71" i="16"/>
  <c r="H70" i="16"/>
  <c r="H107" i="16" s="1"/>
  <c r="D70" i="16"/>
  <c r="E70" i="16" s="1"/>
  <c r="H69" i="16"/>
  <c r="D69" i="16"/>
  <c r="E69" i="16" s="1"/>
  <c r="H68" i="16"/>
  <c r="H105" i="16" s="1"/>
  <c r="D68" i="16"/>
  <c r="E68" i="16" s="1"/>
  <c r="H67" i="16"/>
  <c r="D67" i="16"/>
  <c r="E67" i="16" s="1"/>
  <c r="H66" i="16"/>
  <c r="H103" i="16" s="1"/>
  <c r="D66" i="16"/>
  <c r="E66" i="16" s="1"/>
  <c r="H65" i="16"/>
  <c r="E65" i="16"/>
  <c r="D65" i="16"/>
  <c r="H64" i="16"/>
  <c r="H101" i="16" s="1"/>
  <c r="E64" i="16"/>
  <c r="D64" i="16"/>
  <c r="H63" i="16"/>
  <c r="E63" i="16"/>
  <c r="D63" i="16"/>
  <c r="H62" i="16"/>
  <c r="H99" i="16" s="1"/>
  <c r="D62" i="16"/>
  <c r="E62" i="16" s="1"/>
  <c r="H61" i="16"/>
  <c r="H98" i="16" s="1"/>
  <c r="E61" i="16"/>
  <c r="D61" i="16"/>
  <c r="H60" i="16"/>
  <c r="H97" i="16" s="1"/>
  <c r="D60" i="16"/>
  <c r="E60" i="16" s="1"/>
  <c r="H59" i="16"/>
  <c r="H96" i="16" s="1"/>
  <c r="E59" i="16"/>
  <c r="D59" i="16"/>
  <c r="H58" i="16"/>
  <c r="H95" i="16" s="1"/>
  <c r="D58" i="16"/>
  <c r="E58" i="16" s="1"/>
  <c r="H57" i="16"/>
  <c r="H94" i="16" s="1"/>
  <c r="D57" i="16"/>
  <c r="E57" i="16" s="1"/>
  <c r="H56" i="16"/>
  <c r="H93" i="16" s="1"/>
  <c r="D56" i="16"/>
  <c r="E56" i="16" s="1"/>
  <c r="H55" i="16"/>
  <c r="E55" i="16"/>
  <c r="D55" i="16"/>
  <c r="H54" i="16"/>
  <c r="H91" i="16" s="1"/>
  <c r="D54" i="16"/>
  <c r="E54" i="16" s="1"/>
  <c r="H53" i="16"/>
  <c r="E53" i="16"/>
  <c r="D53" i="16"/>
  <c r="H52" i="16"/>
  <c r="H89" i="16" s="1"/>
  <c r="E52" i="16"/>
  <c r="D52" i="16"/>
  <c r="H51" i="16"/>
  <c r="E51" i="16"/>
  <c r="D51" i="16"/>
  <c r="H50" i="16"/>
  <c r="H87" i="16" s="1"/>
  <c r="D50" i="16"/>
  <c r="E50" i="16" s="1"/>
  <c r="H49" i="16"/>
  <c r="H86" i="16" s="1"/>
  <c r="E49" i="16"/>
  <c r="D49" i="16"/>
  <c r="H48" i="16"/>
  <c r="H85" i="16" s="1"/>
  <c r="D48" i="16"/>
  <c r="E48" i="16" s="1"/>
  <c r="H47" i="16"/>
  <c r="H84" i="16" s="1"/>
  <c r="D47" i="16"/>
  <c r="E47" i="16" s="1"/>
  <c r="H46" i="16"/>
  <c r="H83" i="16" s="1"/>
  <c r="D46" i="16"/>
  <c r="E46" i="16" s="1"/>
  <c r="H45" i="16"/>
  <c r="H82" i="16" s="1"/>
  <c r="D45" i="16"/>
  <c r="E45" i="16" s="1"/>
  <c r="H44" i="16"/>
  <c r="H81" i="16" s="1"/>
  <c r="D44" i="16"/>
  <c r="E44" i="16" s="1"/>
  <c r="H43" i="16"/>
  <c r="D43" i="16"/>
  <c r="E43" i="16" s="1"/>
  <c r="H42" i="16"/>
  <c r="H79" i="16" s="1"/>
  <c r="D42" i="16"/>
  <c r="E42" i="16" s="1"/>
  <c r="H41" i="16"/>
  <c r="D41" i="16"/>
  <c r="E41" i="16" s="1"/>
  <c r="H40" i="16"/>
  <c r="H77" i="16" s="1"/>
  <c r="E40" i="16"/>
  <c r="D40" i="16"/>
  <c r="L39" i="16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H39" i="16"/>
  <c r="E39" i="16"/>
  <c r="D39" i="16"/>
  <c r="L27" i="15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L41" i="15" s="1"/>
  <c r="L42" i="15" s="1"/>
  <c r="L43" i="15" s="1"/>
  <c r="L44" i="15" s="1"/>
  <c r="L45" i="15" s="1"/>
  <c r="L46" i="15" s="1"/>
  <c r="L47" i="15" s="1"/>
  <c r="L48" i="15" s="1"/>
  <c r="L49" i="15" s="1"/>
  <c r="L50" i="15" s="1"/>
  <c r="H52" i="15"/>
  <c r="H78" i="15" s="1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J101" i="4"/>
  <c r="I101" i="4"/>
  <c r="H101" i="4" s="1"/>
  <c r="J100" i="4"/>
  <c r="I100" i="4"/>
  <c r="K29" i="18" a="1"/>
  <c r="K26" i="18" a="1"/>
  <c r="M36" i="18" a="1"/>
  <c r="K68" i="18" a="1"/>
  <c r="K61" i="18" a="1"/>
  <c r="M47" i="18" a="1"/>
  <c r="K47" i="16" a="1"/>
  <c r="M55" i="18" a="1"/>
  <c r="K8" i="18" a="1"/>
  <c r="K69" i="16" a="1"/>
  <c r="K60" i="16" a="1"/>
  <c r="K45" i="16" a="1"/>
  <c r="K17" i="18" a="1"/>
  <c r="M44" i="18" a="1"/>
  <c r="K22" i="18" a="1"/>
  <c r="M45" i="18" a="1"/>
  <c r="K15" i="18" a="1"/>
  <c r="K48" i="16" a="1"/>
  <c r="K42" i="16" a="1"/>
  <c r="M48" i="18" a="1"/>
  <c r="K19" i="18" a="1"/>
  <c r="K20" i="18" a="1"/>
  <c r="K64" i="16" a="1"/>
  <c r="K63" i="18" a="1"/>
  <c r="K50" i="18" a="1"/>
  <c r="K27" i="18" a="1"/>
  <c r="M67" i="18" a="1"/>
  <c r="K59" i="18" a="1"/>
  <c r="K56" i="16" a="1"/>
  <c r="K55" i="18" a="1"/>
  <c r="L13" i="18" a="1"/>
  <c r="K21" i="18" a="1"/>
  <c r="M62" i="18" a="1"/>
  <c r="M39" i="18" a="1"/>
  <c r="K71" i="16" a="1"/>
  <c r="K40" i="16" a="1"/>
  <c r="K38" i="18" a="1"/>
  <c r="K44" i="16" a="1"/>
  <c r="K57" i="16" a="1"/>
  <c r="K41" i="16" a="1"/>
  <c r="K61" i="16" a="1"/>
  <c r="K32" i="18" a="1"/>
  <c r="M38" i="18" a="1"/>
  <c r="M57" i="18" a="1"/>
  <c r="K58" i="18" a="1"/>
  <c r="K67" i="18" a="1"/>
  <c r="K50" i="16" a="1"/>
  <c r="K69" i="18" a="1"/>
  <c r="M46" i="18" a="1"/>
  <c r="K10" i="18" a="1"/>
  <c r="K54" i="18" a="1"/>
  <c r="K65" i="18" a="1"/>
  <c r="K51" i="18" a="1"/>
  <c r="K71" i="18" a="1"/>
  <c r="K54" i="16" a="1"/>
  <c r="K23" i="18" a="1"/>
  <c r="M37" i="18" a="1"/>
  <c r="K62" i="16" a="1"/>
  <c r="M56" i="18" a="1"/>
  <c r="K59" i="16" a="1"/>
  <c r="M34" i="18" a="1"/>
  <c r="L12" i="18" a="1"/>
  <c r="K14" i="18" a="1"/>
  <c r="K6" i="18" a="1"/>
  <c r="K74" i="16" a="1"/>
  <c r="K58" i="16" a="1"/>
  <c r="M69" i="18" a="1"/>
  <c r="K40" i="18" a="1"/>
  <c r="K73" i="16" a="1"/>
  <c r="K66" i="16" a="1"/>
  <c r="K72" i="16" a="1"/>
  <c r="M72" i="18" a="1"/>
  <c r="K65" i="16" a="1"/>
  <c r="K49" i="16" a="1"/>
  <c r="K52" i="18" a="1"/>
  <c r="K30" i="18" a="1"/>
  <c r="M58" i="18" a="1"/>
  <c r="K12" i="18" a="1"/>
  <c r="K48" i="18" a="1"/>
  <c r="K18" i="18" a="1"/>
  <c r="K43" i="16" a="1"/>
  <c r="K62" i="18" a="1"/>
  <c r="K53" i="16" a="1"/>
  <c r="M53" i="18" a="1"/>
  <c r="K16" i="18" a="1"/>
  <c r="K45" i="18" a="1"/>
  <c r="K51" i="16" a="1"/>
  <c r="K7" i="18" a="1"/>
  <c r="K11" i="18" a="1"/>
  <c r="M49" i="18" a="1"/>
  <c r="K46" i="18" a="1"/>
  <c r="K70" i="18" a="1"/>
  <c r="K39" i="16" a="1"/>
  <c r="K44" i="18" a="1"/>
  <c r="K67" i="16" a="1"/>
  <c r="M61" i="18" a="1"/>
  <c r="M71" i="18" a="1"/>
  <c r="K41" i="18" a="1"/>
  <c r="K53" i="18" a="1"/>
  <c r="K9" i="18" a="1"/>
  <c r="M41" i="18" a="1"/>
  <c r="M52" i="18" a="1"/>
  <c r="M43" i="18" a="1"/>
  <c r="M54" i="18" a="1"/>
  <c r="M35" i="18" a="1"/>
  <c r="K13" i="18" a="1"/>
  <c r="K39" i="18" a="1"/>
  <c r="K64" i="18" a="1"/>
  <c r="M70" i="18" a="1"/>
  <c r="L6" i="18" a="1"/>
  <c r="M40" i="18" a="1"/>
  <c r="K49" i="18" a="1"/>
  <c r="M68" i="18" a="1"/>
  <c r="M66" i="18" a="1"/>
  <c r="K63" i="16" a="1"/>
  <c r="K55" i="16" a="1"/>
  <c r="M51" i="18" a="1"/>
  <c r="L11" i="18" a="1"/>
  <c r="K57" i="18" a="1"/>
  <c r="K56" i="18" a="1"/>
  <c r="K37" i="18" a="1"/>
  <c r="L61" i="18" a="1"/>
  <c r="K46" i="16" a="1"/>
  <c r="K68" i="16" a="1"/>
  <c r="M59" i="18" a="1"/>
  <c r="M42" i="18" a="1"/>
  <c r="K52" i="16" a="1"/>
  <c r="K35" i="18" a="1"/>
  <c r="K25" i="18" a="1"/>
  <c r="K70" i="16" a="1"/>
  <c r="M63" i="18" a="1"/>
  <c r="K31" i="18" a="1"/>
  <c r="M65" i="18" a="1"/>
  <c r="K36" i="18" a="1"/>
  <c r="K34" i="18" a="1"/>
  <c r="M50" i="18" a="1"/>
  <c r="K72" i="18" a="1"/>
  <c r="K47" i="18" a="1"/>
  <c r="K66" i="18" a="1"/>
  <c r="K24" i="18" a="1"/>
  <c r="K37" i="18" l="1"/>
  <c r="T37" i="18" s="1"/>
  <c r="K56" i="18"/>
  <c r="T56" i="18" s="1"/>
  <c r="K57" i="18"/>
  <c r="T57" i="18" s="1"/>
  <c r="K34" i="18"/>
  <c r="T34" i="18" s="1"/>
  <c r="K39" i="18"/>
  <c r="T39" i="18" s="1"/>
  <c r="K54" i="18"/>
  <c r="T54" i="18" s="1"/>
  <c r="K55" i="18"/>
  <c r="T55" i="18" s="1"/>
  <c r="K36" i="18"/>
  <c r="T36" i="18" s="1"/>
  <c r="K47" i="18"/>
  <c r="T47" i="18" s="1"/>
  <c r="K59" i="18"/>
  <c r="T59" i="18" s="1"/>
  <c r="AC3" i="18" s="1"/>
  <c r="E103" i="4" s="1"/>
  <c r="K45" i="18"/>
  <c r="T45" i="18" s="1"/>
  <c r="K53" i="18"/>
  <c r="T53" i="18" s="1"/>
  <c r="K46" i="18"/>
  <c r="T46" i="18" s="1"/>
  <c r="K52" i="18"/>
  <c r="T52" i="18" s="1"/>
  <c r="K38" i="18"/>
  <c r="T38" i="18" s="1"/>
  <c r="K50" i="18"/>
  <c r="T50" i="18" s="1"/>
  <c r="K44" i="18"/>
  <c r="T44" i="18" s="1"/>
  <c r="K58" i="18"/>
  <c r="T58" i="18" s="1"/>
  <c r="K35" i="18"/>
  <c r="T35" i="18" s="1"/>
  <c r="K49" i="18"/>
  <c r="T49" i="18" s="1"/>
  <c r="K51" i="18"/>
  <c r="T51" i="18" s="1"/>
  <c r="K48" i="18"/>
  <c r="T48" i="18" s="1"/>
  <c r="L10" i="18"/>
  <c r="U10" i="18" s="1"/>
  <c r="L8" i="18"/>
  <c r="U8" i="18" s="1"/>
  <c r="M43" i="18"/>
  <c r="V43" i="18" s="1"/>
  <c r="M63" i="18"/>
  <c r="V63" i="18" s="1"/>
  <c r="M69" i="18"/>
  <c r="V69" i="18" s="1"/>
  <c r="M72" i="18"/>
  <c r="V72" i="18" s="1"/>
  <c r="M42" i="18"/>
  <c r="V42" i="18" s="1"/>
  <c r="M66" i="18"/>
  <c r="V66" i="18" s="1"/>
  <c r="M59" i="18"/>
  <c r="V59" i="18" s="1"/>
  <c r="M67" i="18"/>
  <c r="V67" i="18" s="1"/>
  <c r="M68" i="18"/>
  <c r="V68" i="18" s="1"/>
  <c r="M70" i="18"/>
  <c r="V70" i="18" s="1"/>
  <c r="L42" i="18"/>
  <c r="M61" i="18"/>
  <c r="V61" i="18" s="1"/>
  <c r="M62" i="18"/>
  <c r="V62" i="18" s="1"/>
  <c r="L43" i="18"/>
  <c r="M71" i="18"/>
  <c r="V71" i="18" s="1"/>
  <c r="M65" i="18"/>
  <c r="V65" i="18" s="1"/>
  <c r="V64" i="18"/>
  <c r="L26" i="18"/>
  <c r="U26" i="18" s="1"/>
  <c r="L20" i="18"/>
  <c r="U20" i="18" s="1"/>
  <c r="Z24" i="18"/>
  <c r="Z12" i="18"/>
  <c r="Z23" i="18"/>
  <c r="Z11" i="18"/>
  <c r="Z22" i="18"/>
  <c r="Z10" i="18"/>
  <c r="Z15" i="18"/>
  <c r="Z34" i="18"/>
  <c r="Z21" i="18"/>
  <c r="Z9" i="18"/>
  <c r="Z27" i="18"/>
  <c r="Z32" i="18"/>
  <c r="Z20" i="18"/>
  <c r="Z8" i="18"/>
  <c r="Z31" i="18"/>
  <c r="Z19" i="18"/>
  <c r="Z7" i="18"/>
  <c r="Z25" i="18"/>
  <c r="Z30" i="18"/>
  <c r="Z18" i="18"/>
  <c r="Z6" i="18"/>
  <c r="Z13" i="18"/>
  <c r="Z29" i="18"/>
  <c r="Z17" i="18"/>
  <c r="Z28" i="18"/>
  <c r="Z16" i="18"/>
  <c r="Z26" i="18"/>
  <c r="Z14" i="18"/>
  <c r="M36" i="18"/>
  <c r="V36" i="18" s="1"/>
  <c r="M45" i="18"/>
  <c r="V45" i="18" s="1"/>
  <c r="M39" i="18"/>
  <c r="V39" i="18" s="1"/>
  <c r="M58" i="18"/>
  <c r="V58" i="18" s="1"/>
  <c r="M51" i="18"/>
  <c r="V51" i="18" s="1"/>
  <c r="M35" i="18"/>
  <c r="V35" i="18" s="1"/>
  <c r="M54" i="18"/>
  <c r="V54" i="18" s="1"/>
  <c r="M50" i="18"/>
  <c r="V50" i="18" s="1"/>
  <c r="M44" i="18"/>
  <c r="V44" i="18" s="1"/>
  <c r="M38" i="18"/>
  <c r="V38" i="18" s="1"/>
  <c r="M34" i="18"/>
  <c r="M47" i="18"/>
  <c r="V47" i="18" s="1"/>
  <c r="M57" i="18"/>
  <c r="V57" i="18" s="1"/>
  <c r="M46" i="18"/>
  <c r="V46" i="18" s="1"/>
  <c r="M49" i="18"/>
  <c r="V49" i="18" s="1"/>
  <c r="M53" i="18"/>
  <c r="V53" i="18" s="1"/>
  <c r="M37" i="18"/>
  <c r="V37" i="18" s="1"/>
  <c r="M41" i="18"/>
  <c r="V41" i="18" s="1"/>
  <c r="M40" i="18"/>
  <c r="V40" i="18" s="1"/>
  <c r="M56" i="18"/>
  <c r="V56" i="18" s="1"/>
  <c r="M52" i="18"/>
  <c r="V52" i="18" s="1"/>
  <c r="M48" i="18"/>
  <c r="V48" i="18" s="1"/>
  <c r="M55" i="18"/>
  <c r="V55" i="18" s="1"/>
  <c r="K31" i="18"/>
  <c r="T31" i="18" s="1"/>
  <c r="K10" i="18"/>
  <c r="T10" i="18" s="1"/>
  <c r="K8" i="18"/>
  <c r="T8" i="18" s="1"/>
  <c r="K9" i="18"/>
  <c r="T9" i="18" s="1"/>
  <c r="K24" i="18"/>
  <c r="T24" i="18" s="1"/>
  <c r="K13" i="18"/>
  <c r="T13" i="18" s="1"/>
  <c r="K21" i="18"/>
  <c r="T21" i="18" s="1"/>
  <c r="K22" i="18"/>
  <c r="K23" i="18"/>
  <c r="T23" i="18" s="1"/>
  <c r="K61" i="18"/>
  <c r="T61" i="18" s="1"/>
  <c r="R61" i="18" s="1"/>
  <c r="K12" i="18"/>
  <c r="K26" i="18"/>
  <c r="T26" i="18" s="1"/>
  <c r="K15" i="18"/>
  <c r="T15" i="18" s="1"/>
  <c r="K17" i="18"/>
  <c r="T17" i="18" s="1"/>
  <c r="K32" i="18"/>
  <c r="T32" i="18" s="1"/>
  <c r="K7" i="18"/>
  <c r="T7" i="18" s="1"/>
  <c r="K18" i="18"/>
  <c r="T18" i="18" s="1"/>
  <c r="K30" i="18"/>
  <c r="T30" i="18" s="1"/>
  <c r="K25" i="18"/>
  <c r="T25" i="18" s="1"/>
  <c r="K20" i="18"/>
  <c r="K29" i="18"/>
  <c r="T29" i="18" s="1"/>
  <c r="K14" i="18"/>
  <c r="T14" i="18" s="1"/>
  <c r="K11" i="18"/>
  <c r="T11" i="18" s="1"/>
  <c r="K19" i="18"/>
  <c r="T19" i="18" s="1"/>
  <c r="K27" i="18"/>
  <c r="T27" i="18" s="1"/>
  <c r="L16" i="18"/>
  <c r="U16" i="18" s="1"/>
  <c r="L28" i="18"/>
  <c r="U28" i="18" s="1"/>
  <c r="V28" i="18" s="1"/>
  <c r="W28" i="18" s="1"/>
  <c r="K16" i="18"/>
  <c r="L17" i="18"/>
  <c r="U17" i="18" s="1"/>
  <c r="L31" i="18"/>
  <c r="L13" i="18"/>
  <c r="U13" i="18" s="1"/>
  <c r="L18" i="18"/>
  <c r="U18" i="18" s="1"/>
  <c r="L11" i="18"/>
  <c r="L14" i="18"/>
  <c r="U14" i="18" s="1"/>
  <c r="L29" i="18"/>
  <c r="U29" i="18" s="1"/>
  <c r="L30" i="18"/>
  <c r="L32" i="18"/>
  <c r="U32" i="18" s="1"/>
  <c r="L23" i="18"/>
  <c r="U23" i="18" s="1"/>
  <c r="L7" i="18"/>
  <c r="U7" i="18" s="1"/>
  <c r="L9" i="18"/>
  <c r="L12" i="18"/>
  <c r="U12" i="18" s="1"/>
  <c r="L15" i="18"/>
  <c r="U15" i="18" s="1"/>
  <c r="L22" i="18"/>
  <c r="U22" i="18" s="1"/>
  <c r="L19" i="18"/>
  <c r="U19" i="18" s="1"/>
  <c r="L21" i="18"/>
  <c r="L25" i="18"/>
  <c r="L24" i="18"/>
  <c r="U24" i="18" s="1"/>
  <c r="L27" i="18"/>
  <c r="U27" i="18" s="1"/>
  <c r="L6" i="18"/>
  <c r="U6" i="18" s="1"/>
  <c r="K6" i="18"/>
  <c r="L72" i="18"/>
  <c r="L71" i="18"/>
  <c r="L68" i="18"/>
  <c r="L67" i="18"/>
  <c r="L65" i="18"/>
  <c r="L66" i="18"/>
  <c r="L70" i="18"/>
  <c r="L69" i="18"/>
  <c r="L64" i="18"/>
  <c r="AA81" i="18"/>
  <c r="T81" i="18"/>
  <c r="AA134" i="18"/>
  <c r="T134" i="18"/>
  <c r="AA133" i="18"/>
  <c r="T133" i="18"/>
  <c r="T149" i="18"/>
  <c r="AA149" i="18"/>
  <c r="T144" i="18"/>
  <c r="AA144" i="18"/>
  <c r="AA122" i="18"/>
  <c r="T122" i="18"/>
  <c r="T104" i="18"/>
  <c r="AA104" i="18"/>
  <c r="AA124" i="18"/>
  <c r="T124" i="18"/>
  <c r="AA76" i="18"/>
  <c r="T76" i="18"/>
  <c r="AA109" i="18"/>
  <c r="T109" i="18"/>
  <c r="AA140" i="18"/>
  <c r="T140" i="18"/>
  <c r="AA115" i="18"/>
  <c r="T115" i="18"/>
  <c r="AA148" i="18"/>
  <c r="T148" i="18"/>
  <c r="T91" i="18"/>
  <c r="AA91" i="18"/>
  <c r="AA78" i="18"/>
  <c r="T78" i="18"/>
  <c r="T120" i="18"/>
  <c r="AA120" i="18"/>
  <c r="AA110" i="18"/>
  <c r="T110" i="18"/>
  <c r="AA85" i="18"/>
  <c r="T85" i="18"/>
  <c r="AA121" i="18"/>
  <c r="T121" i="18"/>
  <c r="T142" i="18"/>
  <c r="AA142" i="18"/>
  <c r="AA83" i="18"/>
  <c r="T83" i="18"/>
  <c r="T117" i="18"/>
  <c r="AA117" i="18"/>
  <c r="T139" i="18"/>
  <c r="AA139" i="18"/>
  <c r="AA146" i="18"/>
  <c r="T146" i="18"/>
  <c r="AA86" i="18"/>
  <c r="T86" i="18"/>
  <c r="T108" i="18"/>
  <c r="AA108" i="18"/>
  <c r="T82" i="18"/>
  <c r="AA82" i="18"/>
  <c r="T93" i="18"/>
  <c r="AA93" i="18"/>
  <c r="AA100" i="18"/>
  <c r="T100" i="18"/>
  <c r="AA131" i="18"/>
  <c r="T131" i="18"/>
  <c r="AA127" i="18"/>
  <c r="T127" i="18"/>
  <c r="T105" i="18"/>
  <c r="AA105" i="18"/>
  <c r="AA126" i="18"/>
  <c r="T126" i="18"/>
  <c r="T89" i="18"/>
  <c r="AA89" i="18"/>
  <c r="AA103" i="18"/>
  <c r="T103" i="18"/>
  <c r="AA145" i="18"/>
  <c r="T145" i="18"/>
  <c r="AA112" i="18"/>
  <c r="T112" i="18"/>
  <c r="T128" i="18"/>
  <c r="AA128" i="18"/>
  <c r="T80" i="18"/>
  <c r="AA80" i="18"/>
  <c r="AA97" i="18"/>
  <c r="T97" i="18"/>
  <c r="AA90" i="18"/>
  <c r="T90" i="18"/>
  <c r="T123" i="18"/>
  <c r="AA123" i="18"/>
  <c r="T113" i="18"/>
  <c r="AA113" i="18"/>
  <c r="T135" i="18"/>
  <c r="AA135" i="18"/>
  <c r="AA114" i="18"/>
  <c r="T114" i="18"/>
  <c r="T137" i="18"/>
  <c r="AA137" i="18"/>
  <c r="T132" i="18"/>
  <c r="AA132" i="18"/>
  <c r="T99" i="18"/>
  <c r="AA99" i="18"/>
  <c r="T106" i="18"/>
  <c r="AA106" i="18"/>
  <c r="AA102" i="18"/>
  <c r="T102" i="18"/>
  <c r="T101" i="18"/>
  <c r="AA101" i="18"/>
  <c r="T84" i="18"/>
  <c r="AA84" i="18"/>
  <c r="T130" i="18"/>
  <c r="AA130" i="18"/>
  <c r="AA143" i="18"/>
  <c r="T143" i="18"/>
  <c r="AA116" i="18"/>
  <c r="T116" i="18"/>
  <c r="T87" i="18"/>
  <c r="AA87" i="18"/>
  <c r="AA150" i="18"/>
  <c r="T150" i="18"/>
  <c r="AE3" i="18" s="1"/>
  <c r="E106" i="4" s="1"/>
  <c r="T111" i="18"/>
  <c r="AA111" i="18"/>
  <c r="AA119" i="18"/>
  <c r="T119" i="18"/>
  <c r="T94" i="18"/>
  <c r="AA94" i="18"/>
  <c r="AA77" i="18"/>
  <c r="T77" i="18"/>
  <c r="AA88" i="18"/>
  <c r="T88" i="18"/>
  <c r="AA136" i="18"/>
  <c r="T136" i="18"/>
  <c r="AA138" i="18"/>
  <c r="T138" i="18"/>
  <c r="AA129" i="18"/>
  <c r="T129" i="18"/>
  <c r="T125" i="18"/>
  <c r="AA125" i="18"/>
  <c r="T147" i="18"/>
  <c r="AA147" i="18"/>
  <c r="AA141" i="18"/>
  <c r="T141" i="18"/>
  <c r="T79" i="18"/>
  <c r="AA79" i="18"/>
  <c r="AA98" i="18"/>
  <c r="T98" i="18"/>
  <c r="T118" i="18"/>
  <c r="AA118" i="18"/>
  <c r="AA107" i="18"/>
  <c r="T107" i="18"/>
  <c r="AA95" i="18"/>
  <c r="T95" i="18"/>
  <c r="T96" i="18"/>
  <c r="AA96" i="18"/>
  <c r="AA92" i="18"/>
  <c r="T92" i="18"/>
  <c r="AA75" i="18"/>
  <c r="T75" i="18"/>
  <c r="K65" i="18"/>
  <c r="L54" i="18"/>
  <c r="L63" i="18"/>
  <c r="L58" i="18"/>
  <c r="U58" i="18" s="1"/>
  <c r="L37" i="18"/>
  <c r="U37" i="18" s="1"/>
  <c r="L34" i="18"/>
  <c r="K41" i="18"/>
  <c r="T41" i="18" s="1"/>
  <c r="L45" i="18"/>
  <c r="K63" i="18"/>
  <c r="T63" i="18" s="1"/>
  <c r="R63" i="18" s="1"/>
  <c r="L61" i="18"/>
  <c r="L55" i="18"/>
  <c r="U55" i="18" s="1"/>
  <c r="L41" i="18"/>
  <c r="U41" i="18" s="1"/>
  <c r="L44" i="18"/>
  <c r="U44" i="18" s="1"/>
  <c r="L47" i="18"/>
  <c r="U47" i="18" s="1"/>
  <c r="K64" i="18"/>
  <c r="L53" i="18"/>
  <c r="U53" i="18" s="1"/>
  <c r="K69" i="18"/>
  <c r="T69" i="18" s="1"/>
  <c r="L36" i="18"/>
  <c r="U36" i="18" s="1"/>
  <c r="L48" i="18"/>
  <c r="U48" i="18" s="1"/>
  <c r="K66" i="18"/>
  <c r="T66" i="18" s="1"/>
  <c r="K71" i="18"/>
  <c r="T71" i="18" s="1"/>
  <c r="K62" i="18"/>
  <c r="T62" i="18" s="1"/>
  <c r="L40" i="18"/>
  <c r="L52" i="18"/>
  <c r="U52" i="18" s="1"/>
  <c r="L49" i="18"/>
  <c r="L39" i="18"/>
  <c r="U39" i="18" s="1"/>
  <c r="L46" i="18"/>
  <c r="U46" i="18" s="1"/>
  <c r="L50" i="18"/>
  <c r="U50" i="18" s="1"/>
  <c r="K72" i="18"/>
  <c r="L59" i="18"/>
  <c r="U59" i="18" s="1"/>
  <c r="L51" i="18"/>
  <c r="U51" i="18" s="1"/>
  <c r="K67" i="18"/>
  <c r="T67" i="18" s="1"/>
  <c r="L35" i="18"/>
  <c r="U35" i="18" s="1"/>
  <c r="L38" i="18"/>
  <c r="AA38" i="18" s="1"/>
  <c r="K70" i="18"/>
  <c r="T70" i="18" s="1"/>
  <c r="L56" i="18"/>
  <c r="U56" i="18" s="1"/>
  <c r="K68" i="18"/>
  <c r="K40" i="18"/>
  <c r="T40" i="18" s="1"/>
  <c r="L57" i="18"/>
  <c r="K71" i="16"/>
  <c r="C71" i="16" s="1"/>
  <c r="K42" i="16"/>
  <c r="C42" i="16" s="1"/>
  <c r="K54" i="16"/>
  <c r="C54" i="16" s="1"/>
  <c r="K66" i="16"/>
  <c r="C66" i="16" s="1"/>
  <c r="K44" i="16"/>
  <c r="C44" i="16" s="1"/>
  <c r="K56" i="16"/>
  <c r="C56" i="16" s="1"/>
  <c r="K68" i="16"/>
  <c r="C68" i="16" s="1"/>
  <c r="K63" i="16"/>
  <c r="C63" i="16" s="1"/>
  <c r="K46" i="16"/>
  <c r="C46" i="16" s="1"/>
  <c r="K58" i="16"/>
  <c r="C58" i="16" s="1"/>
  <c r="K70" i="16"/>
  <c r="C70" i="16" s="1"/>
  <c r="K51" i="16"/>
  <c r="C51" i="16" s="1"/>
  <c r="K65" i="16"/>
  <c r="C65" i="16" s="1"/>
  <c r="K61" i="16"/>
  <c r="C61" i="16" s="1"/>
  <c r="K53" i="16"/>
  <c r="C53" i="16" s="1"/>
  <c r="K72" i="16"/>
  <c r="C72" i="16" s="1"/>
  <c r="K47" i="16"/>
  <c r="C47" i="16" s="1"/>
  <c r="K49" i="16"/>
  <c r="C49" i="16" s="1"/>
  <c r="K73" i="16"/>
  <c r="C73" i="16" s="1"/>
  <c r="K48" i="16"/>
  <c r="C48" i="16" s="1"/>
  <c r="K60" i="16"/>
  <c r="C60" i="16" s="1"/>
  <c r="K43" i="16"/>
  <c r="C43" i="16" s="1"/>
  <c r="K55" i="16"/>
  <c r="C55" i="16" s="1"/>
  <c r="K67" i="16"/>
  <c r="C67" i="16" s="1"/>
  <c r="K59" i="16"/>
  <c r="C59" i="16" s="1"/>
  <c r="K39" i="16"/>
  <c r="C39" i="16" s="1"/>
  <c r="K50" i="16"/>
  <c r="C50" i="16" s="1"/>
  <c r="K62" i="16"/>
  <c r="C62" i="16" s="1"/>
  <c r="K74" i="16"/>
  <c r="C74" i="16" s="1"/>
  <c r="K41" i="16"/>
  <c r="C41" i="16" s="1"/>
  <c r="K45" i="16"/>
  <c r="C45" i="16" s="1"/>
  <c r="K57" i="16"/>
  <c r="C57" i="16" s="1"/>
  <c r="K69" i="16"/>
  <c r="C69" i="16" s="1"/>
  <c r="K40" i="16"/>
  <c r="C40" i="16" s="1"/>
  <c r="K52" i="16"/>
  <c r="C52" i="16" s="1"/>
  <c r="K64" i="16"/>
  <c r="C64" i="16" s="1"/>
  <c r="C29" i="15"/>
  <c r="C41" i="15"/>
  <c r="C39" i="15"/>
  <c r="C40" i="15"/>
  <c r="C36" i="15"/>
  <c r="C31" i="15"/>
  <c r="C43" i="15"/>
  <c r="C49" i="15"/>
  <c r="C46" i="15"/>
  <c r="C35" i="15"/>
  <c r="C30" i="15"/>
  <c r="C34" i="15"/>
  <c r="C47" i="15"/>
  <c r="C48" i="15"/>
  <c r="C37" i="15"/>
  <c r="C38" i="15"/>
  <c r="C50" i="15"/>
  <c r="C33" i="15"/>
  <c r="C45" i="15"/>
  <c r="C28" i="15"/>
  <c r="C42" i="15"/>
  <c r="C32" i="15"/>
  <c r="C44" i="15"/>
  <c r="C27" i="15"/>
  <c r="H100" i="4"/>
  <c r="E100" i="4"/>
  <c r="D98" i="4"/>
  <c r="D99" i="4"/>
  <c r="E102" i="4" s="1"/>
  <c r="E101" i="4"/>
  <c r="F100" i="4" a="1"/>
  <c r="F101" i="4" a="1"/>
  <c r="F102" i="4" a="1"/>
  <c r="AA57" i="18" l="1"/>
  <c r="AA34" i="18"/>
  <c r="AA54" i="18"/>
  <c r="AA49" i="18"/>
  <c r="V10" i="18"/>
  <c r="W10" i="18" s="1"/>
  <c r="V8" i="18"/>
  <c r="W8" i="18" s="1"/>
  <c r="W44" i="18"/>
  <c r="U42" i="18"/>
  <c r="AA42" i="18"/>
  <c r="AB42" i="18" s="1"/>
  <c r="AA20" i="18"/>
  <c r="W42" i="18"/>
  <c r="W59" i="18"/>
  <c r="U43" i="18"/>
  <c r="AA43" i="18"/>
  <c r="AB43" i="18" s="1"/>
  <c r="W48" i="18"/>
  <c r="W43" i="18"/>
  <c r="V26" i="18"/>
  <c r="W26" i="18" s="1"/>
  <c r="W36" i="18"/>
  <c r="W52" i="18"/>
  <c r="AA9" i="18"/>
  <c r="AA10" i="18"/>
  <c r="W46" i="18"/>
  <c r="W55" i="18"/>
  <c r="W53" i="18"/>
  <c r="AA28" i="18"/>
  <c r="W47" i="18"/>
  <c r="W37" i="18"/>
  <c r="AA8" i="18"/>
  <c r="W39" i="18"/>
  <c r="AA16" i="18"/>
  <c r="V18" i="18"/>
  <c r="W18" i="18" s="1"/>
  <c r="W58" i="18"/>
  <c r="W50" i="18"/>
  <c r="W56" i="18"/>
  <c r="W35" i="18"/>
  <c r="W51" i="18"/>
  <c r="V34" i="18"/>
  <c r="AA21" i="18"/>
  <c r="V27" i="18"/>
  <c r="W27" i="18" s="1"/>
  <c r="AA30" i="18"/>
  <c r="AA12" i="18"/>
  <c r="AA25" i="18"/>
  <c r="V15" i="18"/>
  <c r="W15" i="18" s="1"/>
  <c r="AA31" i="18"/>
  <c r="T16" i="18"/>
  <c r="V16" i="18" s="1"/>
  <c r="W16" i="18" s="1"/>
  <c r="V14" i="18"/>
  <c r="W14" i="18" s="1"/>
  <c r="AA26" i="18"/>
  <c r="AA22" i="18"/>
  <c r="AA19" i="18"/>
  <c r="U31" i="18"/>
  <c r="V31" i="18" s="1"/>
  <c r="W31" i="18" s="1"/>
  <c r="V32" i="18"/>
  <c r="W32" i="18" s="1"/>
  <c r="T12" i="18"/>
  <c r="V12" i="18" s="1"/>
  <c r="W12" i="18" s="1"/>
  <c r="AA11" i="18"/>
  <c r="V19" i="18"/>
  <c r="W19" i="18" s="1"/>
  <c r="AA18" i="18"/>
  <c r="V13" i="18"/>
  <c r="W13" i="18" s="1"/>
  <c r="T22" i="18"/>
  <c r="V22" i="18" s="1"/>
  <c r="W22" i="18" s="1"/>
  <c r="AA15" i="18"/>
  <c r="T20" i="18"/>
  <c r="V20" i="18" s="1"/>
  <c r="W20" i="18" s="1"/>
  <c r="V17" i="18"/>
  <c r="W17" i="18" s="1"/>
  <c r="AA23" i="18"/>
  <c r="AA17" i="18"/>
  <c r="AA13" i="18"/>
  <c r="AA29" i="18"/>
  <c r="AA14" i="18"/>
  <c r="U30" i="18"/>
  <c r="V30" i="18" s="1"/>
  <c r="W30" i="18" s="1"/>
  <c r="U25" i="18"/>
  <c r="V25" i="18" s="1"/>
  <c r="W25" i="18" s="1"/>
  <c r="AA27" i="18"/>
  <c r="AA7" i="18"/>
  <c r="V24" i="18"/>
  <c r="W24" i="18" s="1"/>
  <c r="U21" i="18"/>
  <c r="V21" i="18" s="1"/>
  <c r="W21" i="18" s="1"/>
  <c r="AA24" i="18"/>
  <c r="U9" i="18"/>
  <c r="V9" i="18" s="1"/>
  <c r="W9" i="18" s="1"/>
  <c r="V23" i="18"/>
  <c r="W23" i="18" s="1"/>
  <c r="AA32" i="18"/>
  <c r="U11" i="18"/>
  <c r="V11" i="18" s="1"/>
  <c r="W11" i="18" s="1"/>
  <c r="U63" i="18"/>
  <c r="W63" i="18" s="1"/>
  <c r="AA72" i="18"/>
  <c r="AA68" i="18"/>
  <c r="U54" i="18"/>
  <c r="W54" i="18" s="1"/>
  <c r="V7" i="18"/>
  <c r="W7" i="18" s="1"/>
  <c r="V29" i="18"/>
  <c r="W29" i="18" s="1"/>
  <c r="AA6" i="18"/>
  <c r="T6" i="18"/>
  <c r="AF3" i="18" s="1"/>
  <c r="E105" i="4" s="1"/>
  <c r="AA69" i="18"/>
  <c r="AA64" i="18"/>
  <c r="R143" i="18"/>
  <c r="U143" i="18" s="1"/>
  <c r="V143" i="18" s="1"/>
  <c r="R125" i="18"/>
  <c r="U125" i="18" s="1"/>
  <c r="V125" i="18" s="1"/>
  <c r="R94" i="18"/>
  <c r="U94" i="18" s="1"/>
  <c r="V94" i="18" s="1"/>
  <c r="R99" i="18"/>
  <c r="U99" i="18" s="1"/>
  <c r="V99" i="18" s="1"/>
  <c r="R123" i="18"/>
  <c r="U123" i="18" s="1"/>
  <c r="V123" i="18" s="1"/>
  <c r="R85" i="18"/>
  <c r="U85" i="18" s="1"/>
  <c r="V85" i="18" s="1"/>
  <c r="R118" i="18"/>
  <c r="U118" i="18" s="1"/>
  <c r="V118" i="18" s="1"/>
  <c r="R132" i="18"/>
  <c r="U132" i="18" s="1"/>
  <c r="V132" i="18" s="1"/>
  <c r="R139" i="18"/>
  <c r="U139" i="18" s="1"/>
  <c r="V139" i="18" s="1"/>
  <c r="R144" i="18"/>
  <c r="U144" i="18" s="1"/>
  <c r="V144" i="18" s="1"/>
  <c r="R90" i="18"/>
  <c r="U90" i="18" s="1"/>
  <c r="V90" i="18" s="1"/>
  <c r="R138" i="18"/>
  <c r="U138" i="18" s="1"/>
  <c r="V138" i="18" s="1"/>
  <c r="R97" i="18"/>
  <c r="U97" i="18" s="1"/>
  <c r="V97" i="18" s="1"/>
  <c r="R109" i="18"/>
  <c r="U109" i="18" s="1"/>
  <c r="V109" i="18" s="1"/>
  <c r="R145" i="18"/>
  <c r="U145" i="18" s="1"/>
  <c r="V145" i="18" s="1"/>
  <c r="R100" i="18"/>
  <c r="U100" i="18" s="1"/>
  <c r="V100" i="18" s="1"/>
  <c r="R111" i="18"/>
  <c r="U111" i="18" s="1"/>
  <c r="V111" i="18" s="1"/>
  <c r="R84" i="18"/>
  <c r="U84" i="18" s="1"/>
  <c r="V84" i="18" s="1"/>
  <c r="R137" i="18"/>
  <c r="U137" i="18" s="1"/>
  <c r="V137" i="18" s="1"/>
  <c r="R89" i="18"/>
  <c r="U89" i="18" s="1"/>
  <c r="V89" i="18" s="1"/>
  <c r="R93" i="18"/>
  <c r="U93" i="18" s="1"/>
  <c r="V93" i="18" s="1"/>
  <c r="R117" i="18"/>
  <c r="U117" i="18" s="1"/>
  <c r="V117" i="18" s="1"/>
  <c r="W117" i="18" s="1"/>
  <c r="R120" i="18"/>
  <c r="U120" i="18" s="1"/>
  <c r="V120" i="18" s="1"/>
  <c r="R149" i="18"/>
  <c r="U149" i="18" s="1"/>
  <c r="V149" i="18" s="1"/>
  <c r="R115" i="18"/>
  <c r="U115" i="18" s="1"/>
  <c r="V115" i="18" s="1"/>
  <c r="R103" i="18"/>
  <c r="U103" i="18" s="1"/>
  <c r="V103" i="18" s="1"/>
  <c r="R92" i="18"/>
  <c r="U92" i="18" s="1"/>
  <c r="V92" i="18" s="1"/>
  <c r="R136" i="18"/>
  <c r="U136" i="18" s="1"/>
  <c r="V136" i="18" s="1"/>
  <c r="AB136" i="18" s="1"/>
  <c r="R150" i="18"/>
  <c r="U150" i="18" s="1"/>
  <c r="V150" i="18" s="1"/>
  <c r="R114" i="18"/>
  <c r="U114" i="18" s="1"/>
  <c r="V114" i="18" s="1"/>
  <c r="R126" i="18"/>
  <c r="U126" i="18" s="1"/>
  <c r="V126" i="18" s="1"/>
  <c r="R83" i="18"/>
  <c r="U83" i="18" s="1"/>
  <c r="V83" i="18" s="1"/>
  <c r="R78" i="18"/>
  <c r="U78" i="18" s="1"/>
  <c r="V78" i="18" s="1"/>
  <c r="R76" i="18"/>
  <c r="U76" i="18" s="1"/>
  <c r="V76" i="18" s="1"/>
  <c r="AB76" i="18" s="1"/>
  <c r="R133" i="18"/>
  <c r="U133" i="18" s="1"/>
  <c r="V133" i="18" s="1"/>
  <c r="R107" i="18"/>
  <c r="U107" i="18" s="1"/>
  <c r="V107" i="18" s="1"/>
  <c r="R131" i="18"/>
  <c r="U131" i="18" s="1"/>
  <c r="V131" i="18" s="1"/>
  <c r="R98" i="18"/>
  <c r="U98" i="18" s="1"/>
  <c r="V98" i="18" s="1"/>
  <c r="R79" i="18"/>
  <c r="U79" i="18" s="1"/>
  <c r="V79" i="18" s="1"/>
  <c r="R101" i="18"/>
  <c r="U101" i="18" s="1"/>
  <c r="V101" i="18" s="1"/>
  <c r="R80" i="18"/>
  <c r="U80" i="18" s="1"/>
  <c r="V80" i="18" s="1"/>
  <c r="R82" i="18"/>
  <c r="U82" i="18" s="1"/>
  <c r="V82" i="18" s="1"/>
  <c r="R140" i="18"/>
  <c r="U140" i="18" s="1"/>
  <c r="V140" i="18" s="1"/>
  <c r="R75" i="18"/>
  <c r="U75" i="18" s="1"/>
  <c r="V75" i="18" s="1"/>
  <c r="R141" i="18"/>
  <c r="U141" i="18" s="1"/>
  <c r="V141" i="18" s="1"/>
  <c r="R88" i="18"/>
  <c r="U88" i="18" s="1"/>
  <c r="V88" i="18" s="1"/>
  <c r="R102" i="18"/>
  <c r="U102" i="18" s="1"/>
  <c r="V102" i="18" s="1"/>
  <c r="R124" i="18"/>
  <c r="U124" i="18" s="1"/>
  <c r="V124" i="18" s="1"/>
  <c r="R134" i="18"/>
  <c r="U134" i="18" s="1"/>
  <c r="V134" i="18" s="1"/>
  <c r="R146" i="18"/>
  <c r="U146" i="18" s="1"/>
  <c r="V146" i="18" s="1"/>
  <c r="R96" i="18"/>
  <c r="U96" i="18" s="1"/>
  <c r="V96" i="18" s="1"/>
  <c r="R87" i="18"/>
  <c r="U87" i="18" s="1"/>
  <c r="V87" i="18" s="1"/>
  <c r="R135" i="18"/>
  <c r="U135" i="18" s="1"/>
  <c r="V135" i="18" s="1"/>
  <c r="R128" i="18"/>
  <c r="U128" i="18" s="1"/>
  <c r="V128" i="18" s="1"/>
  <c r="R105" i="18"/>
  <c r="U105" i="18" s="1"/>
  <c r="V105" i="18" s="1"/>
  <c r="R108" i="18"/>
  <c r="U108" i="18" s="1"/>
  <c r="V108" i="18" s="1"/>
  <c r="R142" i="18"/>
  <c r="U142" i="18" s="1"/>
  <c r="V142" i="18" s="1"/>
  <c r="R91" i="18"/>
  <c r="U91" i="18" s="1"/>
  <c r="V91" i="18" s="1"/>
  <c r="R129" i="18"/>
  <c r="U129" i="18" s="1"/>
  <c r="V129" i="18" s="1"/>
  <c r="R110" i="18"/>
  <c r="U110" i="18" s="1"/>
  <c r="V110" i="18" s="1"/>
  <c r="R95" i="18"/>
  <c r="U95" i="18" s="1"/>
  <c r="V95" i="18" s="1"/>
  <c r="R77" i="18"/>
  <c r="U77" i="18" s="1"/>
  <c r="V77" i="18" s="1"/>
  <c r="R116" i="18"/>
  <c r="U116" i="18" s="1"/>
  <c r="V116" i="18" s="1"/>
  <c r="R112" i="18"/>
  <c r="U112" i="18" s="1"/>
  <c r="V112" i="18" s="1"/>
  <c r="R127" i="18"/>
  <c r="U127" i="18" s="1"/>
  <c r="V127" i="18" s="1"/>
  <c r="R86" i="18"/>
  <c r="U86" i="18" s="1"/>
  <c r="V86" i="18" s="1"/>
  <c r="R121" i="18"/>
  <c r="U121" i="18" s="1"/>
  <c r="V121" i="18" s="1"/>
  <c r="R148" i="18"/>
  <c r="U148" i="18" s="1"/>
  <c r="V148" i="18" s="1"/>
  <c r="R81" i="18"/>
  <c r="U81" i="18" s="1"/>
  <c r="V81" i="18" s="1"/>
  <c r="R122" i="18"/>
  <c r="U122" i="18" s="1"/>
  <c r="V122" i="18" s="1"/>
  <c r="R119" i="18"/>
  <c r="U119" i="18" s="1"/>
  <c r="V119" i="18" s="1"/>
  <c r="R130" i="18"/>
  <c r="U130" i="18" s="1"/>
  <c r="V130" i="18" s="1"/>
  <c r="R147" i="18"/>
  <c r="U147" i="18" s="1"/>
  <c r="V147" i="18" s="1"/>
  <c r="R106" i="18"/>
  <c r="U106" i="18" s="1"/>
  <c r="V106" i="18" s="1"/>
  <c r="R113" i="18"/>
  <c r="U113" i="18" s="1"/>
  <c r="V113" i="18" s="1"/>
  <c r="R104" i="18"/>
  <c r="U104" i="18" s="1"/>
  <c r="V104" i="18" s="1"/>
  <c r="R69" i="18"/>
  <c r="U69" i="18" s="1"/>
  <c r="R70" i="18"/>
  <c r="U70" i="18" s="1"/>
  <c r="W70" i="18" s="1"/>
  <c r="R62" i="18"/>
  <c r="U62" i="18" s="1"/>
  <c r="W62" i="18" s="1"/>
  <c r="U61" i="18"/>
  <c r="W61" i="18" s="1"/>
  <c r="U34" i="18"/>
  <c r="R71" i="18"/>
  <c r="U71" i="18" s="1"/>
  <c r="W71" i="18" s="1"/>
  <c r="R67" i="18"/>
  <c r="U67" i="18" s="1"/>
  <c r="W67" i="18" s="1"/>
  <c r="R66" i="18"/>
  <c r="U66" i="18" s="1"/>
  <c r="W66" i="18" s="1"/>
  <c r="AA46" i="18"/>
  <c r="AB46" i="18" s="1"/>
  <c r="AA44" i="18"/>
  <c r="AB44" i="18" s="1"/>
  <c r="AA39" i="18"/>
  <c r="AB39" i="18" s="1"/>
  <c r="T68" i="18"/>
  <c r="AA50" i="18"/>
  <c r="AB50" i="18" s="1"/>
  <c r="T64" i="18"/>
  <c r="U49" i="18"/>
  <c r="U57" i="18"/>
  <c r="AA40" i="18"/>
  <c r="AA47" i="18"/>
  <c r="AB47" i="18" s="1"/>
  <c r="AA48" i="18"/>
  <c r="AB48" i="18" s="1"/>
  <c r="AA52" i="18"/>
  <c r="AB52" i="18" s="1"/>
  <c r="AA61" i="18"/>
  <c r="AA53" i="18"/>
  <c r="AB53" i="18" s="1"/>
  <c r="AA71" i="18"/>
  <c r="W41" i="18"/>
  <c r="AA58" i="18"/>
  <c r="AB58" i="18" s="1"/>
  <c r="AA70" i="18"/>
  <c r="AA36" i="18"/>
  <c r="AB36" i="18" s="1"/>
  <c r="U40" i="18"/>
  <c r="W40" i="18" s="1"/>
  <c r="AA63" i="18"/>
  <c r="AA66" i="18"/>
  <c r="AA41" i="18"/>
  <c r="T72" i="18"/>
  <c r="AD3" i="18" s="1"/>
  <c r="E104" i="4" s="1"/>
  <c r="AA35" i="18"/>
  <c r="AB35" i="18" s="1"/>
  <c r="AA45" i="18"/>
  <c r="U45" i="18"/>
  <c r="AA59" i="18"/>
  <c r="AB59" i="18" s="1"/>
  <c r="AA62" i="18"/>
  <c r="AA67" i="18"/>
  <c r="AA37" i="18"/>
  <c r="AB37" i="18" s="1"/>
  <c r="AA56" i="18"/>
  <c r="AB56" i="18" s="1"/>
  <c r="AA55" i="18"/>
  <c r="AB55" i="18" s="1"/>
  <c r="U38" i="18"/>
  <c r="AA51" i="18"/>
  <c r="AB51" i="18" s="1"/>
  <c r="AA65" i="18"/>
  <c r="T65" i="18"/>
  <c r="F102" i="4"/>
  <c r="G102" i="4" s="1" a="1"/>
  <c r="G102" i="4" s="1"/>
  <c r="D102" i="4" s="1"/>
  <c r="F101" i="4"/>
  <c r="F100" i="4"/>
  <c r="G100" i="4" a="1"/>
  <c r="G101" i="4" a="1"/>
  <c r="V6" i="18" l="1"/>
  <c r="W6" i="18" s="1"/>
  <c r="AF2" i="18" s="1"/>
  <c r="AB54" i="18"/>
  <c r="W101" i="18"/>
  <c r="AB101" i="18"/>
  <c r="W144" i="18"/>
  <c r="AB144" i="18"/>
  <c r="W100" i="18"/>
  <c r="AB100" i="18"/>
  <c r="W127" i="18"/>
  <c r="AB127" i="18"/>
  <c r="W128" i="18"/>
  <c r="AB128" i="18"/>
  <c r="W93" i="18"/>
  <c r="AB93" i="18"/>
  <c r="AB114" i="18"/>
  <c r="W114" i="18"/>
  <c r="W96" i="18"/>
  <c r="AB96" i="18"/>
  <c r="W106" i="18"/>
  <c r="AB106" i="18"/>
  <c r="AB95" i="18"/>
  <c r="W95" i="18"/>
  <c r="AB86" i="18"/>
  <c r="W86" i="18"/>
  <c r="W90" i="18"/>
  <c r="AB90" i="18"/>
  <c r="W126" i="18"/>
  <c r="AB126" i="18"/>
  <c r="W87" i="18"/>
  <c r="AB87" i="18"/>
  <c r="W139" i="18"/>
  <c r="AB139" i="18"/>
  <c r="W130" i="18"/>
  <c r="AB130" i="18"/>
  <c r="AB92" i="18"/>
  <c r="W92" i="18"/>
  <c r="AB129" i="18"/>
  <c r="W129" i="18"/>
  <c r="AB103" i="18"/>
  <c r="W103" i="18"/>
  <c r="W109" i="18"/>
  <c r="AB109" i="18"/>
  <c r="AB83" i="18"/>
  <c r="W83" i="18"/>
  <c r="W80" i="18"/>
  <c r="AB80" i="18"/>
  <c r="W104" i="18"/>
  <c r="AB104" i="18"/>
  <c r="W89" i="18"/>
  <c r="AB89" i="18"/>
  <c r="W116" i="18"/>
  <c r="AB116" i="18"/>
  <c r="W137" i="18"/>
  <c r="AB137" i="18"/>
  <c r="AB146" i="18"/>
  <c r="W146" i="18"/>
  <c r="W84" i="18"/>
  <c r="AB84" i="18"/>
  <c r="W147" i="18"/>
  <c r="AB147" i="18"/>
  <c r="W98" i="18"/>
  <c r="AB98" i="18"/>
  <c r="W118" i="18"/>
  <c r="AB118" i="18"/>
  <c r="AB110" i="18"/>
  <c r="W110" i="18"/>
  <c r="AB131" i="18"/>
  <c r="W131" i="18"/>
  <c r="AB119" i="18"/>
  <c r="W119" i="18"/>
  <c r="W107" i="18"/>
  <c r="AB107" i="18"/>
  <c r="W91" i="18"/>
  <c r="AB91" i="18"/>
  <c r="AB133" i="18"/>
  <c r="W133" i="18"/>
  <c r="W99" i="18"/>
  <c r="AB99" i="18"/>
  <c r="W142" i="18"/>
  <c r="AB142" i="18"/>
  <c r="W108" i="18"/>
  <c r="AB108" i="18"/>
  <c r="W120" i="18"/>
  <c r="AB120" i="18"/>
  <c r="W97" i="18"/>
  <c r="AB97" i="18"/>
  <c r="W125" i="18"/>
  <c r="AB125" i="18"/>
  <c r="W82" i="18"/>
  <c r="AB82" i="18"/>
  <c r="W135" i="18"/>
  <c r="AB135" i="18"/>
  <c r="AB112" i="18"/>
  <c r="W112" i="18"/>
  <c r="W113" i="18"/>
  <c r="AB113" i="18"/>
  <c r="AB150" i="18"/>
  <c r="W150" i="18"/>
  <c r="W77" i="18"/>
  <c r="AB77" i="18"/>
  <c r="W79" i="18"/>
  <c r="AB79" i="18"/>
  <c r="W132" i="18"/>
  <c r="AB132" i="18"/>
  <c r="AB134" i="18"/>
  <c r="W134" i="18"/>
  <c r="W111" i="18"/>
  <c r="AB111" i="18"/>
  <c r="W124" i="18"/>
  <c r="AB124" i="18"/>
  <c r="AB85" i="18"/>
  <c r="W85" i="18"/>
  <c r="W102" i="18"/>
  <c r="AB102" i="18"/>
  <c r="W123" i="18"/>
  <c r="AB123" i="18"/>
  <c r="W122" i="18"/>
  <c r="AB122" i="18"/>
  <c r="W88" i="18"/>
  <c r="AB88" i="18"/>
  <c r="W115" i="18"/>
  <c r="AB115" i="18"/>
  <c r="AB145" i="18"/>
  <c r="W145" i="18"/>
  <c r="W81" i="18"/>
  <c r="AB81" i="18"/>
  <c r="W141" i="18"/>
  <c r="AB141" i="18"/>
  <c r="W149" i="18"/>
  <c r="AB149" i="18"/>
  <c r="W94" i="18"/>
  <c r="AB94" i="18"/>
  <c r="W148" i="18"/>
  <c r="AB148" i="18"/>
  <c r="W75" i="18"/>
  <c r="AB75" i="18"/>
  <c r="AB121" i="18"/>
  <c r="W121" i="18"/>
  <c r="W105" i="18"/>
  <c r="AB105" i="18"/>
  <c r="AB140" i="18"/>
  <c r="W140" i="18"/>
  <c r="W78" i="18"/>
  <c r="AB78" i="18"/>
  <c r="W138" i="18"/>
  <c r="AB138" i="18"/>
  <c r="W143" i="18"/>
  <c r="AB143" i="18"/>
  <c r="AB117" i="18"/>
  <c r="W136" i="18"/>
  <c r="W76" i="18"/>
  <c r="W69" i="18"/>
  <c r="AB69" i="18"/>
  <c r="AB71" i="18"/>
  <c r="R64" i="18"/>
  <c r="U64" i="18" s="1"/>
  <c r="R68" i="18"/>
  <c r="U68" i="18" s="1"/>
  <c r="R72" i="18"/>
  <c r="U72" i="18" s="1"/>
  <c r="R65" i="18"/>
  <c r="U65" i="18" s="1"/>
  <c r="AB66" i="18"/>
  <c r="AB67" i="18"/>
  <c r="AB62" i="18"/>
  <c r="AB70" i="18"/>
  <c r="AB38" i="18"/>
  <c r="W38" i="18"/>
  <c r="AB63" i="18"/>
  <c r="AB45" i="18"/>
  <c r="W45" i="18"/>
  <c r="AB57" i="18"/>
  <c r="W57" i="18"/>
  <c r="AB49" i="18"/>
  <c r="W49" i="18"/>
  <c r="AB34" i="18"/>
  <c r="W34" i="18"/>
  <c r="AB40" i="18"/>
  <c r="AB41" i="18"/>
  <c r="AB61" i="18"/>
  <c r="G101" i="4"/>
  <c r="D101" i="4" s="1"/>
  <c r="G100" i="4"/>
  <c r="D100" i="4" s="1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E2" i="18" l="1"/>
  <c r="D106" i="4" s="1"/>
  <c r="AB72" i="18"/>
  <c r="W72" i="18"/>
  <c r="W65" i="18"/>
  <c r="AB65" i="18"/>
  <c r="AB68" i="18"/>
  <c r="W68" i="18"/>
  <c r="AB64" i="18"/>
  <c r="W64" i="18"/>
  <c r="AC2" i="18"/>
  <c r="K53" i="9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AD2" i="18" l="1"/>
  <c r="M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<sst xmlns="http://schemas.openxmlformats.org/spreadsheetml/2006/main" count="5100" uniqueCount="926">
  <si>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</si>
  <si>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</si>
  <si>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</si>
  <si>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</si>
  <si>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</si>
  <si>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</si>
  <si>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</si>
  <si>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</si>
  <si>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</si>
  <si>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</si>
  <si>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</si>
  <si>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</si>
  <si>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</si>
  <si>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</si>
  <si>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</si>
  <si>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</si>
  <si>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</si>
  <si>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</si>
  <si>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</si>
  <si>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</si>
  <si>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</si>
  <si>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</si>
  <si>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</si>
  <si>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</si>
  <si>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</si>
  <si>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</si>
  <si>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</si>
  <si>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</si>
  <si>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</si>
  <si>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</si>
  <si>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</si>
  <si>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</si>
  <si>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</si>
  <si>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</si>
  <si>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</si>
  <si>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</si>
  <si>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</si>
  <si>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</si>
  <si>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</si>
  <si>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</si>
  <si>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</si>
  <si>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</si>
  <si>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</si>
  <si>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</si>
  <si>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</si>
  <si>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</si>
  <si>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</si>
  <si>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</si>
  <si>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</si>
  <si>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</si>
  <si>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</si>
  <si>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</si>
  <si>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</si>
  <si>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</si>
  <si>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</si>
  <si>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</si>
  <si>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</si>
  <si>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</si>
  <si>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</si>
  <si>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</si>
  <si>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</si>
  <si>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</si>
  <si>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</si>
  <si>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</si>
  <si>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</si>
  <si>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</si>
  <si>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</si>
  <si>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</si>
  <si>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</si>
  <si>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</si>
  <si>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</si>
  <si>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</si>
  <si>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</si>
  <si>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</si>
  <si>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</si>
  <si>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</si>
  <si>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</si>
  <si>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</si>
  <si>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</si>
  <si>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</si>
  <si>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</si>
  <si>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</si>
  <si>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</si>
  <si>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</si>
  <si>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</si>
  <si>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</si>
  <si>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</si>
  <si>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</si>
  <si>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</si>
  <si>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</si>
  <si>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</si>
  <si>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</si>
  <si>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</si>
  <si>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</si>
  <si>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</si>
  <si>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</si>
  <si>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</si>
  <si>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</si>
  <si>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</si>
  <si>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</si>
  <si>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</si>
  <si>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</si>
  <si>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</si>
  <si>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</si>
  <si>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</si>
  <si>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</si>
  <si>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</si>
  <si>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</si>
  <si>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</si>
  <si>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</si>
  <si>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</si>
  <si>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</si>
  <si>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</si>
  <si>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</si>
  <si>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</si>
  <si>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</si>
  <si>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</si>
  <si>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</si>
  <si>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</si>
  <si>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</si>
  <si>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</si>
  <si>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</si>
  <si>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</si>
  <si>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</si>
  <si>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</si>
  <si>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</si>
  <si>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</si>
  <si>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</si>
  <si>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</si>
  <si>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</si>
  <si>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</si>
  <si>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</si>
  <si>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</si>
  <si>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</si>
  <si>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</si>
  <si>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</si>
  <si>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</si>
  <si>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</si>
  <si>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</si>
  <si>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</si>
  <si>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</si>
  <si>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</si>
  <si>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</si>
  <si>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</si>
  <si>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</si>
  <si>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</si>
  <si>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</si>
  <si>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</si>
  <si>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</si>
  <si>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</si>
  <si>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</si>
  <si>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</si>
  <si>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</si>
  <si>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runModule:excelfile,sheet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</si>
  <si>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</si>
  <si>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</si>
  <si>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</si>
  <si>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</si>
  <si>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</si>
  <si>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</si>
  <si>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</si>
  <si>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</si>
  <si>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</si>
  <si>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</si>
  <si>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</si>
  <si>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</si>
  <si>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</si>
  <si>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</si>
  <si>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</si>
  <si>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</si>
  <si>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</si>
  <si>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</si>
  <si>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</si>
  <si>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</si>
  <si>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</si>
  <si>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</si>
  <si>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</si>
  <si>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</si>
  <si>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</si>
  <si>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</si>
  <si>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</si>
  <si>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</si>
  <si>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</si>
  <si>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</si>
  <si>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</si>
  <si>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</si>
  <si>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</si>
  <si>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</si>
  <si>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</si>
  <si>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</si>
  <si>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</si>
  <si>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</si>
  <si>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</si>
  <si>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</si>
  <si>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</si>
  <si>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</si>
  <si>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</si>
  <si>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</si>
  <si>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</si>
  <si>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</si>
  <si>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</si>
  <si>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</si>
  <si>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</si>
  <si>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</si>
  <si>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</si>
  <si>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</si>
  <si>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</si>
  <si>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</si>
  <si>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</si>
  <si>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</si>
  <si>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</si>
  <si>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</si>
  <si>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</si>
  <si>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</si>
  <si>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</si>
  <si>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</si>
  <si>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</si>
  <si>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</si>
  <si>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</si>
  <si>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</si>
  <si>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</si>
  <si>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</si>
  <si>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</si>
  <si>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</si>
  <si>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</si>
  <si>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</si>
  <si>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</si>
  <si>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</si>
  <si>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</si>
  <si>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</si>
  <si>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</si>
  <si>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</si>
  <si>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</si>
  <si>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</si>
  <si>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</si>
  <si>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</si>
  <si>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</si>
  <si>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</si>
  <si>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</si>
  <si>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</si>
  <si>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</si>
  <si>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</si>
  <si>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</si>
  <si>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</si>
  <si>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</si>
  <si>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</si>
  <si>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</si>
  <si>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</si>
  <si>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</si>
  <si>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</si>
  <si>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</si>
  <si>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</si>
  <si>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</si>
  <si>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</si>
  <si>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</si>
  <si>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</si>
  <si>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</si>
  <si>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</si>
  <si>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</si>
  <si>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</si>
  <si>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</si>
  <si>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</si>
  <si>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</si>
  <si>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</si>
  <si>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</si>
  <si>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</si>
  <si>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</si>
  <si>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</si>
  <si>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</si>
  <si>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</si>
  <si>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</si>
  <si>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</si>
  <si>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</si>
  <si>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</si>
  <si>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</si>
  <si>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</si>
  <si>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</si>
  <si>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</si>
  <si>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</si>
  <si>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</si>
  <si>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</si>
  <si>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</si>
  <si>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</si>
  <si>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</si>
  <si>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</si>
  <si>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</si>
  <si>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</si>
  <si>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</si>
  <si>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</si>
  <si>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</si>
  <si>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</si>
  <si>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</si>
  <si>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</si>
  <si>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</si>
  <si>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</si>
  <si>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</si>
  <si>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</si>
  <si>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</si>
  <si>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</si>
  <si>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</si>
  <si>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</si>
  <si>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</si>
  <si>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</si>
  <si>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</si>
  <si>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</si>
  <si>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</si>
  <si>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</si>
  <si>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</si>
  <si>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</si>
  <si>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</si>
  <si>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</si>
  <si>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</si>
  <si>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</si>
  <si>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</si>
  <si>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</si>
  <si>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</si>
  <si>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</si>
  <si>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</si>
  <si>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</si>
  <si>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</si>
  <si>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</si>
  <si>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</si>
  <si>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</si>
  <si>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</si>
  <si>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</si>
  <si>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</si>
  <si>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</si>
  <si>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</si>
  <si>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</si>
  <si>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</si>
  <si>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</si>
  <si>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</si>
  <si>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</si>
  <si>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</si>
  <si>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</si>
  <si>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</si>
  <si>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</si>
  <si>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</si>
  <si>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</si>
  <si>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</si>
  <si>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</si>
  <si>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</si>
  <si>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</si>
  <si>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</si>
  <si>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</si>
  <si>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</si>
  <si>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</si>
  <si>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</si>
  <si>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</si>
  <si>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</si>
  <si>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</si>
  <si>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</si>
  <si>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</si>
  <si>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</si>
  <si>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</si>
  <si>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</si>
  <si>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</si>
  <si>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</si>
  <si>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</si>
  <si>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</si>
  <si>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</si>
  <si>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</si>
  <si>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</si>
  <si>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</si>
  <si>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</si>
  <si>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</si>
  <si>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</si>
  <si>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</si>
  <si>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</si>
  <si>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</si>
  <si>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</si>
  <si>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</si>
  <si>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</si>
  <si>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</si>
  <si>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</si>
  <si>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</si>
  <si>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</si>
  <si>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</si>
  <si>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</si>
  <si>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</si>
  <si>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</si>
  <si>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</si>
  <si>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</si>
  <si>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</si>
  <si>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</si>
  <si>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</si>
  <si>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</si>
  <si>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</si>
  <si>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</si>
  <si>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</si>
  <si>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</si>
  <si>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</si>
  <si>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</si>
  <si>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</si>
  <si>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</si>
  <si>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</si>
  <si>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</si>
  <si>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</si>
  <si>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</si>
  <si>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</si>
  <si>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</si>
  <si>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</si>
  <si>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</si>
  <si>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</si>
  <si>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</si>
  <si>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</si>
  <si>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</si>
  <si>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</si>
  <si>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</si>
  <si>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</si>
  <si>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</si>
  <si>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</si>
  <si>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</si>
  <si>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</si>
  <si>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</si>
  <si>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</si>
  <si>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</si>
  <si>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</si>
  <si>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</si>
  <si>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</si>
  <si>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</si>
  <si>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</si>
  <si>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</si>
  <si>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</si>
  <si>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</si>
  <si>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</si>
  <si>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</si>
  <si>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</si>
  <si>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</si>
  <si>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</si>
  <si>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</si>
  <si>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</si>
  <si>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</si>
  <si>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</si>
  <si>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</si>
  <si>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</si>
  <si>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</si>
  <si>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</si>
  <si>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</si>
  <si>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</si>
  <si>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</si>
  <si>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</si>
  <si>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</si>
  <si>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</si>
  <si>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</si>
  <si>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</si>
  <si>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</si>
  <si>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</si>
  <si>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</si>
  <si>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</si>
  <si>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</si>
  <si>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</si>
  <si>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</si>
  <si>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</si>
  <si>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</si>
  <si>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</si>
  <si>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</si>
  <si>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</si>
  <si>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</si>
  <si>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</si>
  <si>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</si>
  <si>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</si>
  <si>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</si>
  <si>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</si>
  <si>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</si>
  <si>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</si>
  <si>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</si>
  <si>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</si>
  <si>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</si>
  <si>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</si>
  <si>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</si>
  <si>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</si>
  <si>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</si>
  <si>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</si>
  <si>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</si>
  <si>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</si>
  <si>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</si>
  <si>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</si>
  <si>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</si>
  <si>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</si>
  <si>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</si>
  <si>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</si>
  <si>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</si>
  <si>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</si>
  <si>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</si>
  <si>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</si>
  <si>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</si>
  <si>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</si>
  <si>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</si>
  <si>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</si>
  <si>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</si>
  <si>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</si>
  <si>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</si>
  <si>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</si>
  <si>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</si>
  <si>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</si>
  <si>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</si>
  <si>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</si>
  <si>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</si>
  <si>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</si>
  <si>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</si>
  <si>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</si>
  <si>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</si>
  <si>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</si>
  <si>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</si>
  <si>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</si>
  <si>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</si>
  <si>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</si>
  <si>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</si>
  <si>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</si>
  <si>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</si>
  <si>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</si>
  <si>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</si>
  <si>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</si>
  <si>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</si>
  <si>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</si>
  <si>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</si>
  <si>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</si>
  <si>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</si>
  <si>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</si>
  <si>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runPowerShellScript:Script</t>
  </si>
  <si>
    <t>runBatchScript:Script, WorkingDir</t>
  </si>
  <si>
    <t>samplePSScript</t>
  </si>
  <si>
    <t>runPowerShellScript:.\AddOn\syncfiles.bat</t>
  </si>
  <si>
    <t>syncs files from D:\Dclick\Output to onedrive</t>
  </si>
  <si>
    <t>runPowerShellScript:.\AddOn\runVBA_Email.ps1</t>
  </si>
  <si>
    <t>runPowerShellScript:.\AddOn\cleanProcesses.ps1 -msg " Testing ABC v5 " -cleanName notepad, Calculator -cleanWinTitle NONE</t>
  </si>
  <si>
    <t>clean processes</t>
  </si>
  <si>
    <t>runPowerShellScript:&lt;Script&gt;</t>
  </si>
  <si>
    <t>Email jobs</t>
  </si>
  <si>
    <t>runPowerShellScript:.\AddOn\syncFolders.ps1 -source "D:\DClick\Output\Images" -dest "D:\OneDrive-Sync\Christian Dior Couture\APAC Management - Reports - Reports" -files "*.png"</t>
  </si>
  <si>
    <t>D:\DClick\AddOn\vba_test.xlsm</t>
  </si>
  <si>
    <t>syncFolderSource</t>
  </si>
  <si>
    <t>syncFolderDest</t>
  </si>
  <si>
    <t>D:\DClick\Output\Images</t>
  </si>
  <si>
    <t>runPowerShellScript:.\AddOn\syncFolders.ps1 -source "&lt;syncFolderSource&gt;" -dest "&lt;syncFolderDest&gt;" -files "*.png"</t>
  </si>
  <si>
    <t>D:\OneDrive-Sync\Christian Dior Couture\APAC Management - Reports - Reports\DClick\Images</t>
  </si>
  <si>
    <t>mainTest</t>
  </si>
  <si>
    <t>closeRPA:</t>
  </si>
  <si>
    <t>Clears any previous open chrome, excel etc</t>
  </si>
  <si>
    <t>Initialize RPA browser</t>
  </si>
  <si>
    <t>Close RPA browser</t>
  </si>
  <si>
    <t>version</t>
  </si>
  <si>
    <t>print:***** START RPA ****** | browserDisable: &lt;browserDisable&gt; | version : &lt;version&gt;</t>
  </si>
  <si>
    <t>Sync logs</t>
  </si>
  <si>
    <t>Syn output images</t>
  </si>
  <si>
    <t>D:\DClick\log</t>
  </si>
  <si>
    <t>SourceLog</t>
  </si>
  <si>
    <t>DestLog</t>
  </si>
  <si>
    <t>initializeRPA:</t>
  </si>
  <si>
    <t>Sync Dclick</t>
  </si>
  <si>
    <t>SourceDClick</t>
  </si>
  <si>
    <t>D:\DClick\Output</t>
  </si>
  <si>
    <t>D:\OneDrive-Sync\Christian Dior Couture\APAC Management - Reports - Reports\DClick</t>
  </si>
  <si>
    <t>D:\OneDrive-Sync\Christian Dior Couture\APAC Management - Reports - Reports\log\DClick</t>
  </si>
  <si>
    <t>DestDClick</t>
  </si>
  <si>
    <t>print:***** COMPLETE RPA ******</t>
  </si>
  <si>
    <t>ScriptDir</t>
  </si>
  <si>
    <t>D:\Dclick\AddOn</t>
  </si>
  <si>
    <t>ScriptLogFile</t>
  </si>
  <si>
    <t>D:\DClick\log\process.txt</t>
  </si>
  <si>
    <t xml:space="preserve">rem:runPowerShellScript:.\AddOn\runVBA_Email.ps1 -scriptDir &lt;ScriptDir&gt; -logFile &lt;ScriptLogFile&gt; 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</si>
  <si>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</si>
  <si>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</si>
  <si>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</si>
  <si>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</si>
  <si>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</si>
  <si>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</si>
  <si>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</si>
  <si>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</si>
  <si>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</si>
  <si>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</si>
  <si>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</si>
  <si>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</si>
  <si>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</si>
  <si>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</si>
  <si>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</si>
  <si>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</si>
  <si>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</si>
  <si>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</si>
  <si>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</si>
  <si>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</si>
  <si>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</si>
  <si>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</si>
  <si>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</si>
  <si>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</si>
  <si>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</si>
  <si>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</si>
  <si>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</si>
  <si>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</si>
  <si>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</si>
  <si>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</si>
  <si>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</si>
  <si>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</si>
  <si>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</si>
  <si>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</si>
  <si>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</si>
  <si>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</si>
  <si>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</si>
  <si>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</si>
  <si>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</si>
  <si>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</si>
  <si>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</si>
  <si>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</si>
  <si>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</si>
  <si>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</si>
  <si>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</si>
  <si>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</si>
  <si>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</si>
  <si>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</si>
  <si>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</si>
  <si>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</si>
  <si>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</si>
  <si>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</si>
  <si>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</si>
  <si>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</si>
  <si>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</si>
  <si>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</si>
  <si>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</si>
  <si>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</si>
  <si>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</si>
  <si>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</si>
  <si>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</si>
  <si>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</si>
  <si>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</si>
  <si>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</si>
  <si>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</si>
  <si>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</si>
  <si>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</si>
  <si>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</si>
  <si>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</si>
  <si>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</si>
  <si>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</si>
  <si>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</si>
  <si>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</si>
  <si>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</si>
  <si>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</si>
  <si>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</si>
  <si>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</si>
  <si>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</si>
  <si>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</si>
  <si>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</si>
  <si>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</si>
  <si>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</si>
  <si>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</si>
  <si>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</si>
  <si>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</si>
  <si>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</si>
  <si>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</si>
  <si>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</si>
  <si>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</si>
  <si>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</si>
  <si>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</si>
  <si>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</si>
  <si>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</si>
  <si>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</si>
  <si>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</si>
  <si>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</si>
  <si>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</si>
  <si>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</si>
  <si>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</si>
  <si>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</si>
  <si>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</si>
  <si>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DestiCristal</t>
  </si>
  <si>
    <t>SourceiCristal</t>
  </si>
  <si>
    <t>D:\OneDrive-Sync\Christian Dior Couture\APAC Management - Reports - Reports\iCristal</t>
  </si>
  <si>
    <t>runPowerShellScript:.\AddOn\syncFolders.ps1 -source "&lt;SourceiCristal&gt;" -dest "&lt;DestiCristal&gt;" -files "iCristalReport*.pdf"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</si>
  <si>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</si>
  <si>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</si>
  <si>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</si>
  <si>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</si>
  <si>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</si>
  <si>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</si>
  <si>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</si>
  <si>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</si>
  <si>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</si>
  <si>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</si>
  <si>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</si>
  <si>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</si>
  <si>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</si>
  <si>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</si>
  <si>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</si>
  <si>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</si>
  <si>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</si>
  <si>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</si>
  <si>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</si>
  <si>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</si>
  <si>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Sync iCristal</t>
  </si>
  <si>
    <t>wait:3</t>
  </si>
  <si>
    <t>give sufficient wait for loading before snap</t>
  </si>
  <si>
    <t>rem:logon_OKTA</t>
  </si>
  <si>
    <t>moved OKTA logon to main sheet</t>
  </si>
  <si>
    <t>SourceImagesDClick</t>
  </si>
  <si>
    <t>DestImagesDClick</t>
  </si>
  <si>
    <t>SourceImagesiCristal</t>
  </si>
  <si>
    <t>DestImagesiCristal</t>
  </si>
  <si>
    <t>D:\OneDrive-Sync\Christian Dior Couture\APAC Management - Reports - Reports\iCristal\Images</t>
  </si>
  <si>
    <t>D:\DClick\Output\Images\iCristal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</si>
  <si>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</si>
  <si>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</si>
  <si>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</si>
  <si>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</si>
  <si>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</si>
  <si>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</si>
  <si>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runPowerShellScript:.\AddOn\syncFolders.ps1 -source "&lt;SourceDClick&gt;" -dest "&lt;DestDClick&gt;" -files "APAC_Daily_Sales*.pdf"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</si>
  <si>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</si>
  <si>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</si>
  <si>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</si>
  <si>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</si>
  <si>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runDClick</t>
  </si>
  <si>
    <t>runiCristal</t>
  </si>
  <si>
    <t>runServiceNow</t>
  </si>
  <si>
    <t>Files to check</t>
  </si>
  <si>
    <t>Exist</t>
  </si>
  <si>
    <t>ModifiedDatetime</t>
  </si>
  <si>
    <t>Today</t>
  </si>
  <si>
    <t>NowTime</t>
  </si>
  <si>
    <t>snap:log,</t>
  </si>
  <si>
    <t>snap:page or log,&lt;saveFile&gt;.  log - saves a snapshot to log folder for troubleshooting</t>
  </si>
  <si>
    <t>wait:2,dashboard-my-apps-title,logon_OKTA2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</si>
  <si>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</si>
  <si>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</si>
  <si>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</si>
  <si>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</si>
  <si>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</si>
  <si>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runPowerShellScript:.\AddOn\syncFolders.ps1 -source "&lt;DestImagesDClick&gt;" -dest "&lt;SourceImagesDClick&gt;" -files "*.png"</t>
  </si>
  <si>
    <t>runPowerShellScript:.\AddOn\syncFolders.ps1 -source "&lt;DestiCristal&gt;" -dest "&lt;SourceiCristal&gt;" -files "iCristalReport*.pdf"</t>
  </si>
  <si>
    <t>runPowerShellScript:.\AddOn\syncFolders.ps1 -source "&lt;DestImagesiCristal&gt;" -dest "&lt;SourceImagesiCristal&gt;" -files "*.png"</t>
  </si>
  <si>
    <t>runPowerShellScript:.\AddOn\syncFolders.ps1 -source "&lt;DestLog&gt;" -dest "&lt;SourceLog&gt;" -files "*.*"</t>
  </si>
  <si>
    <t>D:/OneDrive-Sync/Christian Dior Couture/APAC Management - Reports - Reports/DClick/Images/</t>
  </si>
  <si>
    <t>main-test2</t>
  </si>
  <si>
    <t>runPowerShellScript:.\AddOn\cleanProcesses.ps1 -msg " START RPA " -logFile "&lt;DestLog&gt;\process.txt"</t>
  </si>
  <si>
    <t>ForceRun</t>
  </si>
  <si>
    <t>Force Run Time</t>
  </si>
  <si>
    <t>From</t>
  </si>
  <si>
    <t>To</t>
  </si>
  <si>
    <t>Triggered 5:30, 6:30, etc. on VM22.  Trigger 5:20, 6:20 on VM24</t>
  </si>
  <si>
    <t>rem:if:&lt;runiCristal&gt;:runiCristal</t>
  </si>
  <si>
    <t>rem:runPowerShellScript:.\AddOn\syncFolders.ps1 -source "&lt;DestDClick&gt;" -dest "&lt;SourceDClick&gt;" -files "APAC_Daily_Sales*.pdf"</t>
  </si>
  <si>
    <t>rem:runPowerShellScript:.\AddOn\syncFolders.ps1 -source "&lt;DestLog&gt;" -dest "&lt;SourceLog&gt;" -files "*.*"</t>
  </si>
  <si>
    <t>startRPAbrowser</t>
  </si>
  <si>
    <t>stopRPAbrowser</t>
  </si>
  <si>
    <t>if:&lt;browserRPAexist&gt;:stopRPAbrowser</t>
  </si>
  <si>
    <t>browserRPAexist</t>
  </si>
  <si>
    <t>set:browserRPAexist=0</t>
  </si>
  <si>
    <t>0 is False</t>
  </si>
  <si>
    <t>set:browserRPAexist=1</t>
  </si>
  <si>
    <t>loggedOnOKTA</t>
  </si>
  <si>
    <t>set:loggedOnOKTA=0</t>
  </si>
  <si>
    <t>set:loggedOnOKTA=1</t>
  </si>
  <si>
    <t>if:not &lt;loggedOnOKTA&gt;:logon_OKTA</t>
  </si>
  <si>
    <t>browserMaximized</t>
  </si>
  <si>
    <t>set:browserMaximized=0</t>
  </si>
  <si>
    <t>set:browserMaximized=1</t>
  </si>
  <si>
    <t>closeScript</t>
  </si>
  <si>
    <t>startScript</t>
  </si>
  <si>
    <t>runDClick_MGT</t>
  </si>
  <si>
    <t>print:****DCLICK MGT MAIN****** | saveFile: &lt;saveFile&gt; | iterationCount: &lt;iterationCount&gt;</t>
  </si>
  <si>
    <t>URL_FileCheck</t>
  </si>
  <si>
    <t>openPagesCheck</t>
  </si>
  <si>
    <t>iterate: URL_Dclick_Pages , openPagesCheck</t>
  </si>
  <si>
    <t>if:not &lt;URL_FileCheck:key&gt;:openPages</t>
  </si>
  <si>
    <t>Check date.  If set to a date &gt; than today - will force value to FALSE and trigger download</t>
  </si>
  <si>
    <t>https://qliksense.eu.dior.fashion/sense/app/70c92b52-3e94-4802-994c-5cfdec371d4a/sheet/ac28c5b7-300f-4ac2-bf64-7e0e7d2a3faa/state/analysis/bookmark/3baf9cad-c377-41bf-ac8c-1bac9556441d</t>
  </si>
  <si>
    <t>CountryStoreHKMO</t>
  </si>
  <si>
    <t>CountryStoreKR</t>
  </si>
  <si>
    <t>https://qliksense.eu.dior.fashion/sense/app/70c92b52-3e94-4802-994c-5cfdec371d4a/sheet/ac28c5b7-300f-4ac2-bf64-7e0e7d2a3faa/state/analysis/bookmark/4b46b7a4-8c69-4946-a62d-84906c2a9bd4</t>
  </si>
  <si>
    <t>https://qliksense.eu.dior.fashion/sense/app/70c92b52-3e94-4802-994c-5cfdec371d4a/sheet/ac28c5b7-300f-4ac2-bf64-7e0e7d2a3faa/state/analysis/bookmark/15b2ee3e-a053-409a-ae28-4ed224451809</t>
  </si>
  <si>
    <t>CountryStoreAUNZ</t>
  </si>
  <si>
    <t>https://qliksense.eu.dior.fashion/sense/app/70c92b52-3e94-4802-994c-5cfdec371d4a/sheet/ac28c5b7-300f-4ac2-bf64-7e0e7d2a3faa/state/analysis/bookmark/c0721347-096e-420a-8213-0a9fb387b54b</t>
  </si>
  <si>
    <t>CountryStoreSG</t>
  </si>
  <si>
    <t>https://qliksense.eu.dior.fashion/sense/app/70c92b52-3e94-4802-994c-5cfdec371d4a/sheet/ac28c5b7-300f-4ac2-bf64-7e0e7d2a3faa/state/analysis/bookmark/1af2018f-e437-4b5a-a58f-5cd1e7b7a59c</t>
  </si>
  <si>
    <t>CountryStoreMY</t>
  </si>
  <si>
    <t>https://qliksense.eu.dior.fashion/sense/app/70c92b52-3e94-4802-994c-5cfdec371d4a/sheet/ac28c5b7-300f-4ac2-bf64-7e0e7d2a3faa/state/analysis/bookmark/dd0d71ef-196c-41de-a84a-d30824739b5d</t>
  </si>
  <si>
    <t>CountryStoreID</t>
  </si>
  <si>
    <t>https://qliksense.eu.dior.fashion/sense/app/70c92b52-3e94-4802-994c-5cfdec371d4a/sheet/ac28c5b7-300f-4ac2-bf64-7e0e7d2a3faa/state/analysis/bookmark/1fb42a0a-36db-4736-80ca-7be7261ba900</t>
  </si>
  <si>
    <t>CountryStoreIN</t>
  </si>
  <si>
    <t>https://qliksense.eu.dior.fashion/sense/app/70c92b52-3e94-4802-994c-5cfdec371d4a/sheet/ac28c5b7-300f-4ac2-bf64-7e0e7d2a3faa/state/analysis/bookmark/ed6f17d0-542e-4167-98b2-863bdec3240d</t>
  </si>
  <si>
    <t>CountryStoreVN</t>
  </si>
  <si>
    <t>https://qliksense.eu.dior.fashion/sense/app/70c92b52-3e94-4802-994c-5cfdec371d4a/sheet/ac28c5b7-300f-4ac2-bf64-7e0e7d2a3faa/state/analysis/bookmark/287ec821-3027-49a9-99ca-027ce13159e5</t>
  </si>
  <si>
    <t>CountryStoreTH</t>
  </si>
  <si>
    <t>https://qliksense.eu.dior.fashion/sense/app/70c92b52-3e94-4802-994c-5cfdec371d4a/sheet/ac28c5b7-300f-4ac2-bf64-7e0e7d2a3faa/state/analysis/bookmark/fec9c7cc-09b6-476c-9f95-bbb762b9f9c9</t>
  </si>
  <si>
    <t>CountryStoreTW</t>
  </si>
  <si>
    <t>https://qliksense.eu.dior.fashion/sense/app/70c92b52-3e94-4802-994c-5cfdec371d4a/sheet/ac28c5b7-300f-4ac2-bf64-7e0e7d2a3faa/state/analysis/bookmark/13d3d2b4-15f1-4464-b214-a5f2d9cbfddd</t>
  </si>
  <si>
    <t>CountryStorePH</t>
  </si>
  <si>
    <t>rem:if:not &lt;browserMaximized&gt;:maximizeWindow</t>
  </si>
  <si>
    <t>https://qliksense.eu.dior.fashion/sense/app/70c92b52-3e94-4802-994c-5cfdec371d4a/sheet/bdb66e16-134e-4edd-aaac-4e0dba75a289/state/analysis/bookmark/75114cf6-6000-44ad-8121-80a09921d3cf</t>
  </si>
  <si>
    <t>https://qliksense.eu.dior.fashion/sense/app/70c92b52-3e94-4802-994c-5cfdec371d4a/sheet/bdb66e16-134e-4edd-aaac-4e0dba75a289/state/analysis/bookmark/bc0c8e1a-c39b-42f1-ae70-eef39c878443</t>
  </si>
  <si>
    <t>SubCategoryAUNZ</t>
  </si>
  <si>
    <t>SubCategoryHKMO</t>
  </si>
  <si>
    <t>https://qliksense.eu.dior.fashion/sense/app/70c92b52-3e94-4802-994c-5cfdec371d4a/sheet/bdb66e16-134e-4edd-aaac-4e0dba75a289/state/analysis/bookmark/9f17a420-f7f7-480a-9093-9e7bca744464</t>
  </si>
  <si>
    <t>SubCategoryKR</t>
  </si>
  <si>
    <t>https://qliksense.eu.dior.fashion/sense/app/70c92b52-3e94-4802-994c-5cfdec371d4a/sheet/bdb66e16-134e-4edd-aaac-4e0dba75a289/state/analysis/bookmark/fd3ecb99-2a89-443d-91e7-264202e897f6</t>
  </si>
  <si>
    <t>SubCategorySG</t>
  </si>
  <si>
    <t>SubCategoryMY</t>
  </si>
  <si>
    <t>SubCategoryIN</t>
  </si>
  <si>
    <t>SubCategoryID</t>
  </si>
  <si>
    <t>SubCategoryPH</t>
  </si>
  <si>
    <t>SubCategoryTW</t>
  </si>
  <si>
    <t>SubCategoryTH</t>
  </si>
  <si>
    <t>SubCategoryVN</t>
  </si>
  <si>
    <t>https://qliksense.eu.dior.fashion/sense/app/70c92b52-3e94-4802-994c-5cfdec371d4a/sheet/bdb66e16-134e-4edd-aaac-4e0dba75a289/state/analysis/bookmark/262fb199-63a5-49b7-b091-4610abbeab17</t>
  </si>
  <si>
    <t>https://qliksense.eu.dior.fashion/sense/app/70c92b52-3e94-4802-994c-5cfdec371d4a/sheet/bdb66e16-134e-4edd-aaac-4e0dba75a289/state/analysis/bookmark/ff3d73b7-66ab-4d4d-992c-f2806a809106</t>
  </si>
  <si>
    <t>https://qliksense.eu.dior.fashion/sense/app/70c92b52-3e94-4802-994c-5cfdec371d4a/sheet/bdb66e16-134e-4edd-aaac-4e0dba75a289/state/analysis/bookmark/c7cda7a2-5c90-411a-ab69-65a864913b6b</t>
  </si>
  <si>
    <t>https://qliksense.eu.dior.fashion/sense/app/70c92b52-3e94-4802-994c-5cfdec371d4a/sheet/bdb66e16-134e-4edd-aaac-4e0dba75a289/state/analysis/bookmark/e0fe293a-9ae6-499a-8214-ef5e8f88bb68</t>
  </si>
  <si>
    <t>https://qliksense.eu.dior.fashion/sense/app/70c92b52-3e94-4802-994c-5cfdec371d4a/sheet/bdb66e16-134e-4edd-aaac-4e0dba75a289/state/analysis/bookmark/611edf74-2dcf-45e1-89ba-42350b4cb1ef</t>
  </si>
  <si>
    <t>https://qliksense.eu.dior.fashion/sense/app/70c92b52-3e94-4802-994c-5cfdec371d4a/sheet/bdb66e16-134e-4edd-aaac-4e0dba75a289/state/analysis/bookmark/aa1a1a7e-847b-4dbd-aaab-1c1401b67fc7</t>
  </si>
  <si>
    <t>https://qliksense.eu.dior.fashion/sense/app/70c92b52-3e94-4802-994c-5cfdec371d4a/sheet/bdb66e16-134e-4edd-aaac-4e0dba75a289/state/analysis/bookmark/0da2ef13-0a0f-4472-b3de-302b09ceeff4</t>
  </si>
  <si>
    <t>modified date</t>
  </si>
  <si>
    <t>file</t>
  </si>
  <si>
    <t>force run</t>
  </si>
  <si>
    <t>cropImage:files, savefiles, leftPct, topPct, rightPct, bottomPct</t>
  </si>
  <si>
    <t>URL_CropImage</t>
  </si>
  <si>
    <t>cropFiles</t>
  </si>
  <si>
    <t>cropImage:files, savefiles, left, top, right, bottom, boolPercentage</t>
  </si>
  <si>
    <t>if:&lt;URL_CropImage:key&gt;:cropFiles</t>
  </si>
  <si>
    <t>print:****CropFile****** &lt;iterationCount&gt;</t>
  </si>
  <si>
    <t>runDClick_MGT3</t>
  </si>
  <si>
    <t>cropFilelist</t>
  </si>
  <si>
    <t>&lt;URL_FileCheck:value&gt;</t>
  </si>
  <si>
    <t>cropImage:cropFilelist,cropFilelist,0,0,1476,&lt;URL_CropImage:value&gt;,False</t>
  </si>
  <si>
    <t>cropImage:cropFilelist,cropFilelist,0,0,1476,870,False</t>
  </si>
  <si>
    <t>today</t>
  </si>
  <si>
    <t>crop</t>
  </si>
  <si>
    <t>iterate: URL_CropImage , crop</t>
  </si>
  <si>
    <t>https://qliksense.eu.dior.fashion/sense/app/70c92b52-3e94-4802-994c-5cfdec371d4a/sheet/bdb66e16-134e-4edd-aaac-4e0dba75a289/state/analysis/bookmark/8e1196d3-f829-44ac-b0cf-bc1ffb397758</t>
  </si>
  <si>
    <t>https://qliksense.eu.dior.fashion/sense/app/70c92b52-3e94-4802-994c-5cfdec371d4a/sheet/bdb66e16-134e-4edd-aaac-4e0dba75a289/state/analysis/bookmark/8c64f423-3001-4e87-9b8a-fc1cc526ace0</t>
  </si>
  <si>
    <t>https://qliksense.eu.dior.fashion/sense/app/70c92b52-3e94-4802-994c-5cfdec371d4a/sheet/bdb66e16-134e-4edd-aaac-4e0dba75a289/state/analysis/bookmark/26c23fd9-ebaf-4eb4-9917-12da2498995c</t>
  </si>
  <si>
    <t>https://qliksense.eu.dior.fashion/sense/app/70c92b52-3e94-4802-994c-5cfdec371d4a/sheet/bdb66e16-134e-4edd-aaac-4e0dba75a289/state/analysis/bookmark/2dd1e2e5-3fee-4fbe-9287-62e3ae22ce21</t>
  </si>
  <si>
    <t>https://qliksense.eu.dior.fashion/sense/app/70c92b52-3e94-4802-994c-5cfdec371d4a/sheet/bdb66e16-134e-4edd-aaac-4e0dba75a289/state/analysis/bookmark/67e87032-c693-4df9-9411-158b4ce14cfa</t>
  </si>
  <si>
    <t>https://qliksense.eu.dior.fashion/sense/app/70c92b52-3e94-4802-994c-5cfdec371d4a/sheet/bdb66e16-134e-4edd-aaac-4e0dba75a289/state/analysis/bookmark/03c9bb97-ee28-4c4d-87b3-1a82d71f1dfd</t>
  </si>
  <si>
    <t>https://qliksense.eu.dior.fashion/sense/app/70c92b52-3e94-4802-994c-5cfdec371d4a/sheet/bdb66e16-134e-4edd-aaac-4e0dba75a289/state/analysis/bookmark/8b414615-1a41-48ba-ad4d-e146f9c6bbfc</t>
  </si>
  <si>
    <t>https://qliksense.eu.dior.fashion/sense/app/70c92b52-3e94-4802-994c-5cfdec371d4a/sheet/bdb66e16-134e-4edd-aaac-4e0dba75a289/state/analysis/bookmark/9846d23b-88c9-4b4f-ad95-3b05faeb0e45</t>
  </si>
  <si>
    <t>https://qliksense.eu.dior.fashion/sense/app/70c92b52-3e94-4802-994c-5cfdec371d4a/sheet/bdb66e16-134e-4edd-aaac-4e0dba75a289/state/analysis/bookmark/96b2f4a8-19d3-4370-9c88-125c6881bace</t>
  </si>
  <si>
    <t>https://qliksense.eu.dior.fashion/sense/app/70c92b52-3e94-4802-994c-5cfdec371d4a/sheet/bdb66e16-134e-4edd-aaac-4e0dba75a289/state/analysis/bookmark/25c5a348-c43a-4d2b-aafa-b2b9d9857d31</t>
  </si>
  <si>
    <t>https://qliksense.eu.dior.fashion/sense/app/70c92b52-3e94-4802-994c-5cfdec371d4a/sheet/bdb66e16-134e-4edd-aaac-4e0dba75a289/state/analysis/bookmark/fcf6ad6e-b2b8-4962-9561-3ff7f32ccc9d</t>
  </si>
  <si>
    <t>downloadUnits</t>
  </si>
  <si>
    <t>downloadNetSales</t>
  </si>
  <si>
    <t>URL_downloadUnits</t>
  </si>
  <si>
    <t>if:&lt;URL_downloadUnits:key&gt;:downloadUnits</t>
  </si>
  <si>
    <t>D:/OneDrive-Sync/Christian Dior Couture/APAC Management - Reports - Reports/DClick/Images/VM24/</t>
  </si>
  <si>
    <t>Path</t>
  </si>
  <si>
    <t>D:\OneDrive-Sync\Christian Dior Couture\APAC Management - Reports - Reports\DClick\Images\VM24\</t>
  </si>
  <si>
    <t>if:not &lt;browserRPAexist&gt;:startRPAbrowser</t>
  </si>
  <si>
    <t>D:\OneDrive-Sync\Christian Dior Couture\APAC Management - Reports - Reports\DClick\Images\VM24</t>
  </si>
  <si>
    <t>VM24</t>
  </si>
  <si>
    <t>VM22</t>
  </si>
  <si>
    <t>FileExist</t>
  </si>
  <si>
    <t>File Modified Date</t>
  </si>
  <si>
    <t>File Path</t>
  </si>
  <si>
    <t>Run</t>
  </si>
  <si>
    <t>Force Run</t>
  </si>
  <si>
    <t>CropImage</t>
  </si>
  <si>
    <t>CropHeight</t>
  </si>
  <si>
    <t>URL_ID</t>
  </si>
  <si>
    <t>Run Module</t>
  </si>
  <si>
    <t>DCLICK_MGT</t>
  </si>
  <si>
    <t>iCristal2</t>
  </si>
  <si>
    <t>D:\OneDrive-Sync\Christian Dior Couture\APAC Management - Reports - Reports\iCristal\Images\VM24</t>
  </si>
  <si>
    <t>DCLICK_CAT</t>
  </si>
  <si>
    <t>runDClick_CAT</t>
  </si>
  <si>
    <t>print:****DCLICK CAT MAIN****** | saveFile: &lt;saveFile&gt; | iterationCount: &lt;iterationCount&gt;</t>
  </si>
  <si>
    <t>print:****DCLICK PDF****** | saveFile: &lt;saveFile&gt; | iterationCount: &lt;iterationCount&gt;</t>
  </si>
  <si>
    <t>runDClick_MGT_PDF</t>
  </si>
  <si>
    <t>Sync VM24 to root</t>
  </si>
  <si>
    <t>runPowerShellScript:.\AddOn\syncFolders.ps1 -source "&lt;DestImagesDClick&gt;\VM24" -dest "&lt;DestImagesDClick&gt;" -files "*.png"</t>
  </si>
  <si>
    <t>if:&lt;runDClick_MGT_PDF&gt;:runDClick_MGT_PDF</t>
  </si>
  <si>
    <t>DCLICK_MGT_PDF</t>
  </si>
  <si>
    <t>APAC_Daily_Sales.pdf</t>
  </si>
  <si>
    <t>if:&lt;runDClick_CAT&gt;:runDClick_CAT</t>
  </si>
  <si>
    <t>if:&lt;runDClick_MGT&gt;:runDClick_MGT</t>
  </si>
  <si>
    <t>runiCristal_</t>
  </si>
  <si>
    <t>runiCristal2</t>
  </si>
  <si>
    <t>Original link</t>
  </si>
  <si>
    <t>https://qliksense.eu.dior.fashion/sense/app/70c92b52-3e94-4802-994c-5cfdec371d4a/sheet/a2b9476d-f888-4b3c-bcca-dc39a3821c07/state/analysis/bookmark/e31e7683-71c5-40a9-abef-eb99675190b0</t>
  </si>
  <si>
    <t>https://qliksense.eu.dior.fashion/sense/app/70c92b52-3e94-4802-994c-5cfdec371d4a/sheet/5d5a31fe-4b6b-48e2-866d-9063adcdc351/state/analysis/bookmark/dfd52ecf-78fa-4fcc-95e0-885db96196d4</t>
  </si>
  <si>
    <t>https://qliksense.eu.dior.fashion/sense/app/70c92b52-3e94-4802-994c-5cfdec371d4a/sheet/a2b9476d-f888-4b3c-bcca-dc39a3821c07/state/analysis/bookmark/81ac621c-30bf-4b24-9428-1c24aadc1c5c</t>
  </si>
  <si>
    <t>https://qliksense.eu.dior.fashion/sense/app/70c92b52-3e94-4802-994c-5cfdec371d4a/sheet/c6ccd41d-b1ce-4738-8f5e-26c07076841f/state/analysis/bookmark/675b64c8-593c-41cb-8ca1-3a5692322f03</t>
  </si>
  <si>
    <t>https://qliksense.eu.dior.fashion/sense/app/70c92b52-3e94-4802-994c-5cfdec371d4a/sheet/a2b9476d-f888-4b3c-bcca-dc39a3821c07/state/analysis/bookmark/3f8f83f2-1dd8-497f-b31a-50120df3c5c4</t>
  </si>
  <si>
    <t>https://qliksense.eu.dior.fashion/sense/app/70c92b52-3e94-4802-994c-5cfdec371d4a/sheet/c6ccd41d-b1ce-4738-8f5e-26c07076841f/state/analysis/bookmark/6a5e8fba-6503-449f-8d94-115a83c45e58</t>
  </si>
  <si>
    <t>https://qliksense.eu.dior.fashion/sense/app/70c92b52-3e94-4802-994c-5cfdec371d4a/sheet/a2b9476d-f888-4b3c-bcca-dc39a3821c07/state/analysis/bookmark/91b11a15-8a12-4c2a-bb6a-a388668f97f2</t>
  </si>
  <si>
    <t>https://qliksense.eu.dior.fashion/sense/app/70c92b52-3e94-4802-994c-5cfdec371d4a/sheet/c6ccd41d-b1ce-4738-8f5e-26c07076841f/state/analysis/bookmark/d13b868f-0018-4ee1-9018-07b972a553b4</t>
  </si>
  <si>
    <t>https://qliksense.eu.dior.fashion/sense/app/70c92b52-3e94-4802-994c-5cfdec371d4a/sheet/a2b9476d-f888-4b3c-bcca-dc39a3821c07/state/analysis/bookmark/ddb79428-a2ea-4e58-ad67-c2429814162c</t>
  </si>
  <si>
    <t>https://qliksense.eu.dior.fashion/sense/app/70c92b52-3e94-4802-994c-5cfdec371d4a/sheet/c6ccd41d-b1ce-4738-8f5e-26c07076841f/state/analysis/bookmark/ad714c2f-6fd6-4861-96df-f7bd9b4f8f8e</t>
  </si>
  <si>
    <t>https://qliksense.eu.dior.fashion/sense/app/70c92b52-3e94-4802-994c-5cfdec371d4a/sheet/a2b9476d-f888-4b3c-bcca-dc39a3821c07/state/analysis/bookmark/dcb0afdb-f5c4-4456-8610-2190c19738bc</t>
  </si>
  <si>
    <t>https://qliksense.eu.dior.fashion/sense/app/70c92b52-3e94-4802-994c-5cfdec371d4a/sheet/a2b9476d-f888-4b3c-bcca-dc39a3821c07/state/analysis/bookmark/2336a393-0e16-4c43-9444-58c91000adb4</t>
  </si>
  <si>
    <t>https://qliksense.eu.dior.fashion/sense/app/70c92b52-3e94-4802-994c-5cfdec371d4a/sheet/c6ccd41d-b1ce-4738-8f5e-26c07076841f/state/analysis/bookmark/be07accc-8ac2-4bbf-b530-33c0e5d7d85c</t>
  </si>
  <si>
    <t>https://qliksense.eu.dior.fashion/sense/app/70c92b52-3e94-4802-994c-5cfdec371d4a/sheet/a2b9476d-f888-4b3c-bcca-dc39a3821c07/state/analysis/bookmark/b457d0d5-78c8-4a60-a862-afc0a1fdefc1</t>
  </si>
  <si>
    <t>https://qliksense.eu.dior.fashion/sense/app/70c92b52-3e94-4802-994c-5cfdec371d4a/sheet/c6ccd41d-b1ce-4738-8f5e-26c07076841f/state/analysis/bookmark/c0a751e9-1c78-4a3a-a651-ef7d65f5bbe8</t>
  </si>
  <si>
    <t>https://qliksense.eu.dior.fashion/sense/app/70c92b52-3e94-4802-994c-5cfdec371d4a/sheet/a2b9476d-f888-4b3c-bcca-dc39a3821c07/state/analysis/bookmark/d92560d1-bbeb-4118-8554-1e6c0b26c39f</t>
  </si>
  <si>
    <t>https://qliksense.eu.dior.fashion/sense/app/70c92b52-3e94-4802-994c-5cfdec371d4a/sheet/c6ccd41d-b1ce-4738-8f5e-26c07076841f/state/analysis/bookmark/3c9856bf-5176-4b9d-ae19-c1ba016da512</t>
  </si>
  <si>
    <t>selectorValues</t>
  </si>
  <si>
    <t>CountryStoreKR_DefaultSettings</t>
  </si>
  <si>
    <t>url:CountryStoreKR_DefaultSettings</t>
  </si>
  <si>
    <t>downloadNetSales_Temp</t>
  </si>
  <si>
    <t>wait:30,//span[@title="Day Net Sales Variation"]</t>
  </si>
  <si>
    <t>rclick://span[@title="Day Net Sales Variation"]</t>
  </si>
  <si>
    <t>rclkDayNetSalesVariation</t>
  </si>
  <si>
    <t>waitDayNetSalesVariation</t>
  </si>
  <si>
    <t>waitclkValues</t>
  </si>
  <si>
    <t>printFirstRow</t>
  </si>
  <si>
    <t>print:****First Row****** &lt;iterationCount&gt;</t>
  </si>
  <si>
    <t>if:&lt;iterationCount&gt;==1:printFirstRow</t>
  </si>
  <si>
    <t>if:&lt;iterationCount&gt;==1:CheckIfTouchOff</t>
  </si>
  <si>
    <t>if:&lt;iterationCount&gt;==1:clkCurrent</t>
  </si>
  <si>
    <t>//h1[contains(@title,'APAC Daily Sales')]</t>
  </si>
  <si>
    <t>//h2[@title]</t>
  </si>
  <si>
    <t>rclick://h2[@title]</t>
  </si>
  <si>
    <t>wait:30,//h2[@title]</t>
  </si>
  <si>
    <t>https://qliksense.eu.dior.fashion/sense/app/70c92b52-3e94-4802-994c-5cfdec371d4a/sheet/c6ccd41d-b1ce-4738-8f5e-26c07076841f/state/analysis/bookmark/c0891db1-17d4-4cff-836d-348958fe4625</t>
  </si>
  <si>
    <t>runModule:DCLICK_MGT_PDF</t>
  </si>
  <si>
    <t>runModule:DCLICK_MGT</t>
  </si>
  <si>
    <t>runModule:DCLICK_CAT</t>
  </si>
  <si>
    <t>runModule:iCristal2</t>
  </si>
  <si>
    <t>runModule:DCLICK2</t>
  </si>
  <si>
    <t>runModule:ServiceNow</t>
  </si>
  <si>
    <t>rem:runPowerShellScript:.\AddOn\cleanProcesses.ps1 -msg " START RPA " -logFile "&lt;DestLog&gt;\process.txt"</t>
  </si>
  <si>
    <t>print:test result is OK</t>
  </si>
  <si>
    <t>Exit with error code 5</t>
  </si>
  <si>
    <t>runBatchScript:.\AddOn\sampleBatch.bat</t>
  </si>
  <si>
    <t>runPowerShellScript:.\AddOn\sampleBatch.ps1</t>
  </si>
  <si>
    <t>runExcelMacro:AddOn\sampleMacro.xlsm, refresh</t>
  </si>
  <si>
    <t>removeFile:output\*copy*</t>
  </si>
  <si>
    <t>telegram:501259457, Hello from RPA - main-test</t>
  </si>
  <si>
    <t>rem: exitError:5</t>
  </si>
  <si>
    <t>runExcelMacro:AddOn\VBA_EmailVM24.xlsm, runSendMail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</si>
</sst>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\ h:mm\ AM/PM;@"/>
    <numFmt numFmtId="165" formatCode="[$-F400]h:mm:ss\ AM/PM"/>
    <numFmt numFmtId="166" formatCode="m/d/yy\ h:mm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18" fontId="0" fillId="0" borderId="0" xfId="0" applyNumberFormat="1"/>
    <xf numFmtId="0" fontId="0" fillId="0" borderId="0" xfId="0" applyFont="1"/>
    <xf numFmtId="165" fontId="0" fillId="0" borderId="0" xfId="0" applyNumberFormat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right"/>
    </xf>
    <xf numFmtId="0" fontId="0" fillId="0" borderId="0" xfId="0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horizontal="right"/>
    </xf>
    <xf numFmtId="0" fontId="1" fillId="4" borderId="0" xfId="1" applyFill="1"/>
    <xf numFmtId="0" fontId="0" fillId="4" borderId="0" xfId="0" applyFill="1"/>
    <xf numFmtId="0" fontId="0" fillId="0" borderId="0" xfId="0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DCLICK" TargetMode="External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6"/>
  <sheetViews>
    <sheetView workbookViewId="0"/>
  </sheetViews>
  <sheetFormatPr defaultRowHeight="15" x14ac:dyDescent="0.25"/>
  <cols>
    <col min="1" max="1" width="35.140625" customWidth="1"/>
  </cols>
  <sheetData>
    <row r="1" spans="1:3" x14ac:dyDescent="0.25">
      <c r="A1" t="s">
        <v>389</v>
      </c>
    </row>
    <row r="2" spans="1:3" x14ac:dyDescent="0.25">
      <c r="A2" t="s">
        <v>387</v>
      </c>
    </row>
    <row r="3" spans="1:3" x14ac:dyDescent="0.25">
      <c r="A3" t="s">
        <v>388</v>
      </c>
    </row>
    <row r="4" spans="1:3" x14ac:dyDescent="0.25">
      <c r="A4" t="s">
        <v>390</v>
      </c>
    </row>
    <row r="5" spans="1:3" x14ac:dyDescent="0.25">
      <c r="A5" t="s">
        <v>391</v>
      </c>
    </row>
    <row r="6" spans="1:3" x14ac:dyDescent="0.25">
      <c r="A6" t="s">
        <v>392</v>
      </c>
      <c r="C6" t="s">
        <v>393</v>
      </c>
    </row>
    <row r="7" spans="1:3" x14ac:dyDescent="0.25">
      <c r="A7" t="s">
        <v>394</v>
      </c>
      <c r="C7" t="s">
        <v>396</v>
      </c>
    </row>
    <row r="8" spans="1:3" x14ac:dyDescent="0.25">
      <c r="A8" t="s">
        <v>395</v>
      </c>
      <c r="C8" t="s">
        <v>397</v>
      </c>
    </row>
    <row r="11" spans="1:3" x14ac:dyDescent="0.25">
      <c r="A11" s="3" t="s">
        <v>483</v>
      </c>
    </row>
    <row r="12" spans="1:3" x14ac:dyDescent="0.25">
      <c r="A12" s="3" t="s">
        <v>485</v>
      </c>
    </row>
    <row r="13" spans="1:3" x14ac:dyDescent="0.25">
      <c r="A13" t="s">
        <v>488</v>
      </c>
      <c r="B13" t="s">
        <v>498</v>
      </c>
    </row>
    <row r="14" spans="1:3" x14ac:dyDescent="0.25">
      <c r="A14" t="s">
        <v>484</v>
      </c>
      <c r="B14" t="s">
        <v>499</v>
      </c>
    </row>
    <row r="15" spans="1:3" x14ac:dyDescent="0.25">
      <c r="A15" t="s">
        <v>481</v>
      </c>
      <c r="B15" t="s">
        <v>500</v>
      </c>
    </row>
    <row r="16" spans="1:3" x14ac:dyDescent="0.25">
      <c r="A16" t="s">
        <v>482</v>
      </c>
      <c r="B16" t="s">
        <v>501</v>
      </c>
    </row>
    <row r="19" spans="1:2" x14ac:dyDescent="0.25">
      <c r="A19" t="s">
        <v>486</v>
      </c>
      <c r="B19" t="s">
        <v>495</v>
      </c>
    </row>
    <row r="20" spans="1:2" x14ac:dyDescent="0.25">
      <c r="B20" s="2" t="s">
        <v>517</v>
      </c>
    </row>
    <row r="21" spans="1:2" x14ac:dyDescent="0.25">
      <c r="A21" t="s">
        <v>487</v>
      </c>
      <c r="B21" t="s">
        <v>496</v>
      </c>
    </row>
    <row r="24" spans="1:2" x14ac:dyDescent="0.25">
      <c r="A24" s="3" t="s">
        <v>504</v>
      </c>
    </row>
    <row r="25" spans="1:2" x14ac:dyDescent="0.25">
      <c r="A25" t="s">
        <v>505</v>
      </c>
      <c r="B25" t="s">
        <v>514</v>
      </c>
    </row>
    <row r="26" spans="1:2" x14ac:dyDescent="0.25">
      <c r="A26" t="s">
        <v>506</v>
      </c>
      <c r="B26" t="s">
        <v>512</v>
      </c>
    </row>
    <row r="27" spans="1:2" x14ac:dyDescent="0.25">
      <c r="A27" t="s">
        <v>507</v>
      </c>
      <c r="B27" t="s">
        <v>513</v>
      </c>
    </row>
    <row r="28" spans="1:2" x14ac:dyDescent="0.25">
      <c r="A28" t="s">
        <v>509</v>
      </c>
      <c r="B28" t="s">
        <v>515</v>
      </c>
    </row>
    <row r="29" spans="1:2" x14ac:dyDescent="0.25">
      <c r="A29" t="s">
        <v>508</v>
      </c>
      <c r="B29" t="s">
        <v>516</v>
      </c>
    </row>
    <row r="30" spans="1:2" x14ac:dyDescent="0.25">
      <c r="A30" t="s">
        <v>510</v>
      </c>
      <c r="B30" t="s">
        <v>511</v>
      </c>
    </row>
    <row r="31" spans="1:2" x14ac:dyDescent="0.25">
      <c r="A31" t="s">
        <v>518</v>
      </c>
      <c r="B31" t="s">
        <v>519</v>
      </c>
    </row>
    <row r="32" spans="1:2" x14ac:dyDescent="0.25">
      <c r="A32" s="8" t="s">
        <v>493</v>
      </c>
      <c r="B32" t="s">
        <v>494</v>
      </c>
    </row>
    <row r="33" spans="1:2" x14ac:dyDescent="0.25">
      <c r="A33" s="8" t="s">
        <v>489</v>
      </c>
      <c r="B33" t="s">
        <v>497</v>
      </c>
    </row>
    <row r="34" spans="1:2" x14ac:dyDescent="0.25">
      <c r="A34" s="8" t="s">
        <v>490</v>
      </c>
      <c r="B34" t="s">
        <v>502</v>
      </c>
    </row>
    <row r="35" spans="1:2" x14ac:dyDescent="0.25">
      <c r="A35" s="8" t="s">
        <v>491</v>
      </c>
      <c r="B35" t="s">
        <v>503</v>
      </c>
    </row>
    <row r="36" spans="1:2" x14ac:dyDescent="0.25">
      <c r="A36" s="8" t="s">
        <v>492</v>
      </c>
    </row>
  </sheetData>
  <hyperlinks>
    <hyperlink ref="B20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7C2-AB3A-4278-8E58-A81A5420647E}">
  <sheetPr codeName="Sheet9"/>
  <dimension ref="A1:AF150"/>
  <sheetViews>
    <sheetView workbookViewId="0">
      <pane xSplit="3" ySplit="4" topLeftCell="R5" activePane="bottomRight" state="frozen"/>
      <selection pane="topRight" activeCell="C1" sqref="C1"/>
      <selection pane="bottomLeft" activeCell="A4" sqref="A4"/>
      <selection pane="bottomRight" activeCell="AC3" sqref="AC3"/>
    </sheetView>
  </sheetViews>
  <sheetFormatPr defaultRowHeight="15" x14ac:dyDescent="0.25"/>
  <cols>
    <col min="1" max="1" width="16.5703125" customWidth="1"/>
    <col min="2" max="2" width="21" bestFit="1" customWidth="1"/>
    <col min="3" max="4" width="15.28515625" customWidth="1"/>
    <col min="5" max="5" width="15.7109375" customWidth="1"/>
    <col min="6" max="6" width="12.5703125" customWidth="1"/>
    <col min="7" max="7" width="19.140625" customWidth="1"/>
    <col min="10" max="10" width="9.140625" style="17"/>
    <col min="11" max="11" width="15.85546875" customWidth="1"/>
    <col min="12" max="12" width="15.140625" customWidth="1"/>
    <col min="13" max="13" width="15.140625" style="17" customWidth="1"/>
    <col min="14" max="14" width="17.85546875" customWidth="1"/>
    <col min="15" max="15" width="18.28515625" customWidth="1"/>
    <col min="16" max="16" width="17.5703125" style="17" customWidth="1"/>
    <col min="17" max="19" width="14.5703125" customWidth="1"/>
    <col min="24" max="25" width="13.28515625" customWidth="1"/>
    <col min="26" max="26" width="13.28515625" style="17" customWidth="1"/>
    <col min="29" max="29" width="16.28515625" customWidth="1"/>
    <col min="30" max="30" width="16.42578125" customWidth="1"/>
    <col min="31" max="31" width="19.28515625" customWidth="1"/>
    <col min="32" max="32" width="19.5703125" customWidth="1"/>
  </cols>
  <sheetData>
    <row r="1" spans="1:32" x14ac:dyDescent="0.25">
      <c r="B1" t="s">
        <v>28</v>
      </c>
      <c r="D1" t="s">
        <v>420</v>
      </c>
      <c r="E1" t="s">
        <v>812</v>
      </c>
      <c r="G1" t="s">
        <v>838</v>
      </c>
      <c r="H1" t="s">
        <v>847</v>
      </c>
      <c r="K1" t="s">
        <v>848</v>
      </c>
      <c r="N1" t="s">
        <v>849</v>
      </c>
      <c r="Q1" t="s">
        <v>851</v>
      </c>
      <c r="T1" t="s">
        <v>850</v>
      </c>
      <c r="X1" t="s">
        <v>715</v>
      </c>
      <c r="AA1" t="s">
        <v>849</v>
      </c>
      <c r="AC1" t="s">
        <v>855</v>
      </c>
      <c r="AE1" s="9">
        <f ca="1">NOW()</f>
        <v>44899.399442361108</v>
      </c>
      <c r="AF1" t="s">
        <v>846</v>
      </c>
    </row>
    <row r="2" spans="1:32" x14ac:dyDescent="0.25">
      <c r="B2" t="s">
        <v>11</v>
      </c>
      <c r="C2" t="s">
        <v>10</v>
      </c>
      <c r="N2" t="str">
        <f>"D:\OneDrive-Sync\Christian Dior Couture\APAC Management - Reports - Reports\DClick\Images\VM22"</f>
        <v>D:\OneDrive-Sync\Christian Dior Couture\APAC Management - Reports - Reports\DClick\Images\VM22</v>
      </c>
      <c r="O2" t="str">
        <f>"D:\OneDrive-Sync\Christian Dior Couture\APAC Management - Reports - Reports\DClick\Images\VM24"</f>
        <v>D:\OneDrive-Sync\Christian Dior Couture\APAC Management - Reports - Reports\DClick\Images\VM24</v>
      </c>
      <c r="P2" s="17" t="str">
        <f>"D:\OneDrive-Sync\Christian Dior Couture\APAC Management - Reports - Reports\DClick\Images"</f>
        <v>D:\OneDrive-Sync\Christian Dior Couture\APAC Management - Reports - Reports\DClick\Images</v>
      </c>
      <c r="Q2" t="s">
        <v>92</v>
      </c>
      <c r="X2" s="15">
        <f ca="1">TODAY()+TIME(3,0,0)</f>
        <v>44899.125</v>
      </c>
      <c r="Y2" s="15">
        <f ca="1">X2</f>
        <v>44899.125</v>
      </c>
      <c r="Z2" s="15">
        <f ca="1">Y2</f>
        <v>44899.125</v>
      </c>
      <c r="AC2">
        <f ca="1">SUMIF($A:$A,AC$4,$W:$W)</f>
        <v>0</v>
      </c>
      <c r="AD2">
        <f ca="1">SUMIF($A:$A,AD$4,$W:$W)</f>
        <v>0</v>
      </c>
      <c r="AE2">
        <f ca="1">SUMIF($A:$A,AE$4,$W:$W)</f>
        <v>76</v>
      </c>
      <c r="AF2" s="17">
        <f ca="1">SUMIF($A:$A,AF$4,$W:$W)</f>
        <v>0</v>
      </c>
    </row>
    <row r="3" spans="1:32" x14ac:dyDescent="0.25">
      <c r="X3" s="15"/>
      <c r="Y3" s="15"/>
      <c r="Z3" s="15"/>
      <c r="AC3" t="b">
        <f ca="1">T59</f>
        <v>0</v>
      </c>
      <c r="AD3" t="b">
        <f ca="1">T72</f>
        <v>0</v>
      </c>
      <c r="AE3" t="b">
        <f ca="1">T150</f>
        <v>1</v>
      </c>
      <c r="AF3" s="17" t="b">
        <f ca="1">T6</f>
        <v>0</v>
      </c>
    </row>
    <row r="4" spans="1:32" x14ac:dyDescent="0.25">
      <c r="A4" t="s">
        <v>14</v>
      </c>
      <c r="B4" t="s">
        <v>854</v>
      </c>
      <c r="C4" t="s">
        <v>9</v>
      </c>
      <c r="E4" t="s">
        <v>852</v>
      </c>
      <c r="F4" t="s">
        <v>853</v>
      </c>
      <c r="H4" t="s">
        <v>846</v>
      </c>
      <c r="I4" t="s">
        <v>845</v>
      </c>
      <c r="K4" t="s">
        <v>846</v>
      </c>
      <c r="L4" t="s">
        <v>845</v>
      </c>
      <c r="N4" t="s">
        <v>846</v>
      </c>
      <c r="O4" t="s">
        <v>845</v>
      </c>
      <c r="Q4" t="s">
        <v>846</v>
      </c>
      <c r="R4" t="s">
        <v>845</v>
      </c>
      <c r="T4" t="s">
        <v>846</v>
      </c>
      <c r="U4" t="s">
        <v>845</v>
      </c>
      <c r="X4" t="s">
        <v>846</v>
      </c>
      <c r="Y4" t="s">
        <v>845</v>
      </c>
      <c r="AC4" t="s">
        <v>856</v>
      </c>
      <c r="AD4" t="s">
        <v>859</v>
      </c>
      <c r="AE4" t="s">
        <v>857</v>
      </c>
      <c r="AF4" s="17" t="s">
        <v>867</v>
      </c>
    </row>
    <row r="5" spans="1:32" s="17" customFormat="1" x14ac:dyDescent="0.25">
      <c r="N5" s="17" t="str">
        <f>"D:\OneDrive-Sync\Christian Dior Couture\APAC Management - Reports - Reports\DClick"</f>
        <v>D:\OneDrive-Sync\Christian Dior Couture\APAC Management - Reports - Reports\DClick</v>
      </c>
      <c r="O5" s="17" t="str">
        <f>N5</f>
        <v>D:\OneDrive-Sync\Christian Dior Couture\APAC Management - Reports - Reports\DClick</v>
      </c>
      <c r="AC5" s="17" t="b">
        <f>IF(AC4&gt;0,TRUE,FALSE)</f>
        <v>1</v>
      </c>
      <c r="AD5" s="17" t="b">
        <f t="shared" ref="AD5:AF5" si="0">IF(AD4&gt;0,TRUE,FALSE)</f>
        <v>1</v>
      </c>
      <c r="AE5" s="17" t="b">
        <f t="shared" si="0"/>
        <v>1</v>
      </c>
      <c r="AF5" s="17" t="b">
        <f t="shared" si="0"/>
        <v>1</v>
      </c>
    </row>
    <row r="6" spans="1:32" s="17" customFormat="1" x14ac:dyDescent="0.25">
      <c r="A6" s="17" t="s">
        <v>867</v>
      </c>
      <c r="B6" s="18" t="s">
        <v>868</v>
      </c>
      <c r="H6" s="17" t="b" cm="1">
        <f t="array" aca="1" ref="H6" ca="1">FileExists(N6,NOW())</f>
        <v>1</v>
      </c>
      <c r="I6" s="17" t="b" cm="1">
        <f t="array" aca="1" ref="I6" ca="1">FileExists(O6,NOW())</f>
        <v>1</v>
      </c>
      <c r="K6" s="15" cm="1">
        <f t="array" aca="1" ref="K6" ca="1">IF(H6,fileModifiedDate(N6, NOW()),0)</f>
        <v>44899.305833333332</v>
      </c>
      <c r="L6" s="15" cm="1">
        <f t="array" aca="1" ref="L6" ca="1">IF(I6,fileModifiedDate(O6, NOW()),0)</f>
        <v>44899.305833333332</v>
      </c>
      <c r="M6" s="15"/>
      <c r="N6" s="16" t="str">
        <f>N$5&amp;"\"&amp;$B6</f>
        <v>D:\OneDrive-Sync\Christian Dior Couture\APAC Management - Reports - Reports\DClick\APAC_Daily_Sales.pdf</v>
      </c>
      <c r="O6" s="16" t="str">
        <f>O$5&amp;"\"&amp;$B6</f>
        <v>D:\OneDrive-Sync\Christian Dior Couture\APAC Management - Reports - Reports\DClick\APAC_Daily_Sales.pdf</v>
      </c>
      <c r="P6" s="16"/>
      <c r="Q6" s="17" t="b">
        <f>S6</f>
        <v>0</v>
      </c>
      <c r="R6" s="17" t="b">
        <f>S6</f>
        <v>0</v>
      </c>
      <c r="S6" s="17" t="b">
        <v>0</v>
      </c>
      <c r="T6" s="17" t="b">
        <f t="shared" ref="T6" ca="1" si="1">NOT(AND(IF(K6,K6&gt;X6,FALSE),NOT(Q6)))</f>
        <v>0</v>
      </c>
      <c r="U6" s="17" t="b">
        <f t="shared" ref="U6" ca="1" si="2">NOT(AND(IF(L6,L6&gt;Y6,FALSE),NOT(R6)))</f>
        <v>0</v>
      </c>
      <c r="V6" s="17" t="b">
        <f ca="1">AND(T6,U6)</f>
        <v>0</v>
      </c>
      <c r="W6" s="17">
        <f ca="1">IF(V6,1,0)</f>
        <v>0</v>
      </c>
      <c r="X6" s="15">
        <f ca="1">IF(NOW()&gt;X$2,X$2,X$2-1)</f>
        <v>44899.125</v>
      </c>
      <c r="Y6" s="15">
        <f ca="1">IF(NOW()&gt;Y$2,Y$2,Y$2-1)</f>
        <v>44899.125</v>
      </c>
      <c r="Z6" s="15">
        <f ca="1">IF(NOW()&gt;Z$2,Z$2,Z$2-1)</f>
        <v>44899.125</v>
      </c>
      <c r="AA6" s="17">
        <f ca="1">IF(K6&gt;L6,1,2)</f>
        <v>2</v>
      </c>
    </row>
    <row r="7" spans="1:32" s="17" customFormat="1" x14ac:dyDescent="0.25">
      <c r="A7" s="17" t="s">
        <v>867</v>
      </c>
      <c r="B7" s="17" t="s">
        <v>469</v>
      </c>
      <c r="H7" s="17" t="b" cm="1">
        <f t="array" aca="1" ref="H7" ca="1">FileExists(N7,NOW())</f>
        <v>1</v>
      </c>
      <c r="I7" s="17" t="b" cm="1">
        <f t="array" aca="1" ref="I7" ca="1">FileExists(O7,NOW())</f>
        <v>0</v>
      </c>
      <c r="K7" s="15" cm="1">
        <f t="array" aca="1" ref="K7" ca="1">IF(H7,fileModifiedDate(N7, NOW()),0)</f>
        <v>44899.278379629628</v>
      </c>
      <c r="L7" s="15" cm="1">
        <f t="array" aca="1" ref="L7" ca="1">IF(I7,fileModifiedDate(O7, NOW()),0)</f>
        <v>0</v>
      </c>
      <c r="M7" s="15"/>
      <c r="N7" s="16" t="str">
        <f t="shared" ref="N7:O31" si="3">N$2&amp;"\"&amp;$B7</f>
        <v>D:\OneDrive-Sync\Christian Dior Couture\APAC Management - Reports - Reports\DClick\Images\VM22\CountryStore_NetSales.png</v>
      </c>
      <c r="O7" s="16" t="str">
        <f>O$2&amp;"\"&amp;$B7</f>
        <v>D:\OneDrive-Sync\Christian Dior Couture\APAC Management - Reports - Reports\DClick\Images\VM24\CountryStore_NetSales.png</v>
      </c>
      <c r="P7" s="16"/>
      <c r="Q7" s="17" t="b">
        <f t="shared" ref="Q7:Q32" si="4">S7</f>
        <v>0</v>
      </c>
      <c r="R7" s="17" t="b">
        <f t="shared" ref="R7:R32" si="5">S7</f>
        <v>0</v>
      </c>
      <c r="S7" s="17" t="b">
        <v>0</v>
      </c>
      <c r="T7" s="17" t="b">
        <f t="shared" ref="T7:T32" ca="1" si="6">NOT(AND(IF(K7,K7&gt;X7,FALSE),NOT(Q7)))</f>
        <v>0</v>
      </c>
      <c r="U7" s="17" t="b">
        <f t="shared" ref="U7:U32" ca="1" si="7">NOT(AND(IF(L7,L7&gt;Y7,FALSE),NOT(R7)))</f>
        <v>1</v>
      </c>
      <c r="V7" s="17" t="b">
        <f t="shared" ref="V7:V32" ca="1" si="8">AND(T7,U7)</f>
        <v>0</v>
      </c>
      <c r="W7" s="17">
        <f t="shared" ref="W7:W32" ca="1" si="9">IF(V7,1,0)</f>
        <v>0</v>
      </c>
      <c r="X7" s="15">
        <f t="shared" ref="X7:Z32" ca="1" si="10">IF(NOW()&gt;X$2,X$2,X$2-1)</f>
        <v>44899.125</v>
      </c>
      <c r="Y7" s="15">
        <f t="shared" ca="1" si="10"/>
        <v>44899.125</v>
      </c>
      <c r="Z7" s="15">
        <f t="shared" ca="1" si="10"/>
        <v>44899.125</v>
      </c>
      <c r="AA7" s="17">
        <f t="shared" ref="AA7:AA32" ca="1" si="11">IF(K7&gt;L7,1,2)</f>
        <v>1</v>
      </c>
    </row>
    <row r="8" spans="1:32" s="17" customFormat="1" x14ac:dyDescent="0.25">
      <c r="A8" s="17" t="s">
        <v>867</v>
      </c>
      <c r="B8" s="17" t="s">
        <v>470</v>
      </c>
      <c r="H8" s="17" t="b" cm="1">
        <f t="array" aca="1" ref="H8" ca="1">FileExists(N8,NOW())</f>
        <v>1</v>
      </c>
      <c r="I8" s="17" t="b" cm="1">
        <f t="array" aca="1" ref="I8" ca="1">FileExists(O8,NOW())</f>
        <v>0</v>
      </c>
      <c r="K8" s="15" cm="1">
        <f t="array" aca="1" ref="K8" ca="1">IF(H8,fileModifiedDate(N8, NOW()),0)</f>
        <v>44899.278831018521</v>
      </c>
      <c r="L8" s="15" cm="1">
        <f t="array" aca="1" ref="L8" ca="1">IF(I8,fileModifiedDate(O8, NOW()),0)</f>
        <v>0</v>
      </c>
      <c r="M8" s="15"/>
      <c r="N8" s="16" t="str">
        <f t="shared" si="3"/>
        <v>D:\OneDrive-Sync\Christian Dior Couture\APAC Management - Reports - Reports\DClick\Images\VM22\CountryStore_Units.png</v>
      </c>
      <c r="O8" s="16" t="str">
        <f t="shared" si="3"/>
        <v>D:\OneDrive-Sync\Christian Dior Couture\APAC Management - Reports - Reports\DClick\Images\VM24\CountryStore_Units.png</v>
      </c>
      <c r="P8" s="16"/>
      <c r="Q8" s="17" t="b">
        <f t="shared" si="4"/>
        <v>0</v>
      </c>
      <c r="R8" s="17" t="b">
        <f t="shared" si="5"/>
        <v>0</v>
      </c>
      <c r="S8" s="17" t="b">
        <v>0</v>
      </c>
      <c r="T8" s="17" t="b">
        <f t="shared" ca="1" si="6"/>
        <v>0</v>
      </c>
      <c r="U8" s="17" t="b">
        <f t="shared" ca="1" si="7"/>
        <v>1</v>
      </c>
      <c r="V8" s="17" t="b">
        <f t="shared" ca="1" si="8"/>
        <v>0</v>
      </c>
      <c r="W8" s="17">
        <f t="shared" ca="1" si="9"/>
        <v>0</v>
      </c>
      <c r="X8" s="15">
        <f t="shared" ca="1" si="10"/>
        <v>44899.125</v>
      </c>
      <c r="Y8" s="15">
        <f t="shared" ca="1" si="10"/>
        <v>44899.125</v>
      </c>
      <c r="Z8" s="15">
        <f t="shared" ca="1" si="10"/>
        <v>44899.125</v>
      </c>
      <c r="AA8" s="17">
        <f t="shared" ca="1" si="11"/>
        <v>1</v>
      </c>
    </row>
    <row r="9" spans="1:32" s="17" customFormat="1" x14ac:dyDescent="0.25">
      <c r="A9" s="17" t="s">
        <v>867</v>
      </c>
      <c r="B9" s="17" t="s">
        <v>471</v>
      </c>
      <c r="H9" s="17" t="b" cm="1">
        <f t="array" aca="1" ref="H9" ca="1">FileExists(N9,NOW())</f>
        <v>1</v>
      </c>
      <c r="I9" s="17" t="b" cm="1">
        <f t="array" aca="1" ref="I9" ca="1">FileExists(O9,NOW())</f>
        <v>0</v>
      </c>
      <c r="K9" s="15" cm="1">
        <f t="array" aca="1" ref="K9" ca="1">IF(H9,fileModifiedDate(N9, NOW()),0)</f>
        <v>44899.277199074073</v>
      </c>
      <c r="L9" s="15" cm="1">
        <f t="array" aca="1" ref="L9" ca="1">IF(I9,fileModifiedDate(O9, NOW()),0)</f>
        <v>0</v>
      </c>
      <c r="M9" s="15"/>
      <c r="N9" s="16" t="str">
        <f t="shared" si="3"/>
        <v>D:\OneDrive-Sync\Christian Dior Couture\APAC Management - Reports - Reports\DClick\Images\VM22\SubCategory_NetSales.png</v>
      </c>
      <c r="O9" s="16" t="str">
        <f t="shared" si="3"/>
        <v>D:\OneDrive-Sync\Christian Dior Couture\APAC Management - Reports - Reports\DClick\Images\VM24\SubCategory_NetSales.png</v>
      </c>
      <c r="P9" s="16"/>
      <c r="Q9" s="17" t="b">
        <f t="shared" si="4"/>
        <v>0</v>
      </c>
      <c r="R9" s="17" t="b">
        <f t="shared" si="5"/>
        <v>0</v>
      </c>
      <c r="S9" s="17" t="b">
        <v>0</v>
      </c>
      <c r="T9" s="17" t="b">
        <f t="shared" ca="1" si="6"/>
        <v>0</v>
      </c>
      <c r="U9" s="17" t="b">
        <f t="shared" ca="1" si="7"/>
        <v>1</v>
      </c>
      <c r="V9" s="17" t="b">
        <f t="shared" ca="1" si="8"/>
        <v>0</v>
      </c>
      <c r="W9" s="17">
        <f t="shared" ca="1" si="9"/>
        <v>0</v>
      </c>
      <c r="X9" s="15">
        <f t="shared" ca="1" si="10"/>
        <v>44899.125</v>
      </c>
      <c r="Y9" s="15">
        <f t="shared" ca="1" si="10"/>
        <v>44899.125</v>
      </c>
      <c r="Z9" s="15">
        <f t="shared" ca="1" si="10"/>
        <v>44899.125</v>
      </c>
      <c r="AA9" s="17">
        <f t="shared" ca="1" si="11"/>
        <v>1</v>
      </c>
    </row>
    <row r="10" spans="1:32" s="17" customFormat="1" x14ac:dyDescent="0.25">
      <c r="A10" s="17" t="s">
        <v>867</v>
      </c>
      <c r="B10" s="17" t="s">
        <v>472</v>
      </c>
      <c r="H10" s="17" t="b" cm="1">
        <f t="array" aca="1" ref="H10" ca="1">FileExists(N10,NOW())</f>
        <v>1</v>
      </c>
      <c r="I10" s="17" t="b" cm="1">
        <f t="array" aca="1" ref="I10" ca="1">FileExists(O10,NOW())</f>
        <v>0</v>
      </c>
      <c r="K10" s="15" cm="1">
        <f t="array" aca="1" ref="K10" ca="1">IF(H10,fileModifiedDate(N10, NOW()),0)</f>
        <v>44899.277650462966</v>
      </c>
      <c r="L10" s="15" cm="1">
        <f t="array" aca="1" ref="L10" ca="1">IF(I10,fileModifiedDate(O10, NOW()),0)</f>
        <v>0</v>
      </c>
      <c r="M10" s="15"/>
      <c r="N10" s="16" t="str">
        <f t="shared" si="3"/>
        <v>D:\OneDrive-Sync\Christian Dior Couture\APAC Management - Reports - Reports\DClick\Images\VM22\SubCategory_Units.png</v>
      </c>
      <c r="O10" s="16" t="str">
        <f t="shared" si="3"/>
        <v>D:\OneDrive-Sync\Christian Dior Couture\APAC Management - Reports - Reports\DClick\Images\VM24\SubCategory_Units.png</v>
      </c>
      <c r="P10" s="16"/>
      <c r="Q10" s="17" t="b">
        <f t="shared" si="4"/>
        <v>0</v>
      </c>
      <c r="R10" s="17" t="b">
        <f t="shared" si="5"/>
        <v>0</v>
      </c>
      <c r="S10" s="17" t="b">
        <v>0</v>
      </c>
      <c r="T10" s="17" t="b">
        <f t="shared" ca="1" si="6"/>
        <v>0</v>
      </c>
      <c r="U10" s="17" t="b">
        <f t="shared" ca="1" si="7"/>
        <v>1</v>
      </c>
      <c r="V10" s="17" t="b">
        <f t="shared" ca="1" si="8"/>
        <v>0</v>
      </c>
      <c r="W10" s="17">
        <f t="shared" ca="1" si="9"/>
        <v>0</v>
      </c>
      <c r="X10" s="15">
        <f t="shared" ca="1" si="10"/>
        <v>44899.125</v>
      </c>
      <c r="Y10" s="15">
        <f t="shared" ca="1" si="10"/>
        <v>44899.125</v>
      </c>
      <c r="Z10" s="15">
        <f t="shared" ca="1" si="10"/>
        <v>44899.125</v>
      </c>
      <c r="AA10" s="17">
        <f t="shared" ca="1" si="11"/>
        <v>1</v>
      </c>
    </row>
    <row r="11" spans="1:32" s="17" customFormat="1" x14ac:dyDescent="0.25">
      <c r="A11" s="17" t="s">
        <v>867</v>
      </c>
      <c r="B11" s="17" t="s">
        <v>76</v>
      </c>
      <c r="H11" s="17" t="b" cm="1">
        <f t="array" aca="1" ref="H11" ca="1">FileExists(N11,NOW())</f>
        <v>1</v>
      </c>
      <c r="I11" s="17" t="b" cm="1">
        <f t="array" aca="1" ref="I11" ca="1">FileExists(O11,NOW())</f>
        <v>1</v>
      </c>
      <c r="K11" s="15" cm="1">
        <f t="array" aca="1" ref="K11" ca="1">IF(H11,fileModifiedDate(N11, NOW()),0)</f>
        <v>44899.291284722225</v>
      </c>
      <c r="L11" s="15" cm="1">
        <f t="array" aca="1" ref="L11" ca="1">IF(I11,fileModifiedDate(O11, NOW()),0)</f>
        <v>44892.973553240743</v>
      </c>
      <c r="M11" s="15"/>
      <c r="N11" s="16" t="str">
        <f t="shared" si="3"/>
        <v>D:\OneDrive-Sync\Christian Dior Couture\APAC Management - Reports - Reports\DClick\Images\VM22\wBags_NetSales.png</v>
      </c>
      <c r="O11" s="16" t="str">
        <f t="shared" si="3"/>
        <v>D:\OneDrive-Sync\Christian Dior Couture\APAC Management - Reports - Reports\DClick\Images\VM24\wBags_NetSales.png</v>
      </c>
      <c r="P11" s="16"/>
      <c r="Q11" s="17" t="b">
        <f t="shared" si="4"/>
        <v>0</v>
      </c>
      <c r="R11" s="17" t="b">
        <f t="shared" si="5"/>
        <v>0</v>
      </c>
      <c r="S11" s="17" t="b">
        <v>0</v>
      </c>
      <c r="T11" s="17" t="b">
        <f t="shared" ca="1" si="6"/>
        <v>0</v>
      </c>
      <c r="U11" s="17" t="b">
        <f t="shared" ca="1" si="7"/>
        <v>1</v>
      </c>
      <c r="V11" s="17" t="b">
        <f t="shared" ca="1" si="8"/>
        <v>0</v>
      </c>
      <c r="W11" s="17">
        <f t="shared" ca="1" si="9"/>
        <v>0</v>
      </c>
      <c r="X11" s="15">
        <f t="shared" ca="1" si="10"/>
        <v>44899.125</v>
      </c>
      <c r="Y11" s="15">
        <f t="shared" ca="1" si="10"/>
        <v>44899.125</v>
      </c>
      <c r="Z11" s="15">
        <f t="shared" ca="1" si="10"/>
        <v>44899.125</v>
      </c>
      <c r="AA11" s="17">
        <f t="shared" ca="1" si="11"/>
        <v>1</v>
      </c>
    </row>
    <row r="12" spans="1:32" s="17" customFormat="1" x14ac:dyDescent="0.25">
      <c r="A12" s="17" t="s">
        <v>867</v>
      </c>
      <c r="B12" s="17" t="s">
        <v>77</v>
      </c>
      <c r="H12" s="17" t="b" cm="1">
        <f t="array" aca="1" ref="H12" ca="1">FileExists(N12,NOW())</f>
        <v>1</v>
      </c>
      <c r="I12" s="17" t="b" cm="1">
        <f t="array" aca="1" ref="I12" ca="1">FileExists(O12,NOW())</f>
        <v>1</v>
      </c>
      <c r="K12" s="15" cm="1">
        <f t="array" aca="1" ref="K12" ca="1">IF(H12,fileModifiedDate(N12, NOW()),0)</f>
        <v>44899.291747685187</v>
      </c>
      <c r="L12" s="15" cm="1">
        <f t="array" aca="1" ref="L12" ca="1">IF(I12,fileModifiedDate(O12, NOW()),0)</f>
        <v>44892.974074074074</v>
      </c>
      <c r="M12" s="15"/>
      <c r="N12" s="16" t="str">
        <f t="shared" si="3"/>
        <v>D:\OneDrive-Sync\Christian Dior Couture\APAC Management - Reports - Reports\DClick\Images\VM22\wBags_Units.png</v>
      </c>
      <c r="O12" s="16" t="str">
        <f t="shared" si="3"/>
        <v>D:\OneDrive-Sync\Christian Dior Couture\APAC Management - Reports - Reports\DClick\Images\VM24\wBags_Units.png</v>
      </c>
      <c r="P12" s="16"/>
      <c r="Q12" s="17" t="b">
        <f t="shared" si="4"/>
        <v>0</v>
      </c>
      <c r="R12" s="17" t="b">
        <f t="shared" si="5"/>
        <v>0</v>
      </c>
      <c r="S12" s="17" t="b">
        <v>0</v>
      </c>
      <c r="T12" s="17" t="b">
        <f t="shared" ca="1" si="6"/>
        <v>0</v>
      </c>
      <c r="U12" s="17" t="b">
        <f t="shared" ca="1" si="7"/>
        <v>1</v>
      </c>
      <c r="V12" s="17" t="b">
        <f t="shared" ca="1" si="8"/>
        <v>0</v>
      </c>
      <c r="W12" s="17">
        <f t="shared" ca="1" si="9"/>
        <v>0</v>
      </c>
      <c r="X12" s="15">
        <f t="shared" ca="1" si="10"/>
        <v>44899.125</v>
      </c>
      <c r="Y12" s="15">
        <f t="shared" ca="1" si="10"/>
        <v>44899.125</v>
      </c>
      <c r="Z12" s="15">
        <f t="shared" ca="1" si="10"/>
        <v>44899.125</v>
      </c>
      <c r="AA12" s="17">
        <f t="shared" ca="1" si="11"/>
        <v>1</v>
      </c>
    </row>
    <row r="13" spans="1:32" s="17" customFormat="1" x14ac:dyDescent="0.25">
      <c r="A13" s="17" t="s">
        <v>867</v>
      </c>
      <c r="B13" s="17" t="s">
        <v>78</v>
      </c>
      <c r="H13" s="17" t="b" cm="1">
        <f t="array" aca="1" ref="H13" ca="1">FileExists(N13,NOW())</f>
        <v>1</v>
      </c>
      <c r="I13" s="17" t="b" cm="1">
        <f t="array" aca="1" ref="I13" ca="1">FileExists(O13,NOW())</f>
        <v>1</v>
      </c>
      <c r="K13" s="15" cm="1">
        <f t="array" aca="1" ref="K13" ca="1">IF(H13,fileModifiedDate(N13, NOW()),0)</f>
        <v>44899.292511574073</v>
      </c>
      <c r="L13" s="15" cm="1">
        <f t="array" aca="1" ref="L13" ca="1">IF(I13,fileModifiedDate(O13, NOW()),0)</f>
        <v>44892.974872685183</v>
      </c>
      <c r="M13" s="15"/>
      <c r="N13" s="16" t="str">
        <f t="shared" si="3"/>
        <v>D:\OneDrive-Sync\Christian Dior Couture\APAC Management - Reports - Reports\DClick\Images\VM22\wRTW_NetSales.png</v>
      </c>
      <c r="O13" s="16" t="str">
        <f t="shared" si="3"/>
        <v>D:\OneDrive-Sync\Christian Dior Couture\APAC Management - Reports - Reports\DClick\Images\VM24\wRTW_NetSales.png</v>
      </c>
      <c r="P13" s="16"/>
      <c r="Q13" s="17" t="b">
        <f t="shared" si="4"/>
        <v>0</v>
      </c>
      <c r="R13" s="17" t="b">
        <f t="shared" si="5"/>
        <v>0</v>
      </c>
      <c r="S13" s="17" t="b">
        <v>0</v>
      </c>
      <c r="T13" s="17" t="b">
        <f t="shared" ca="1" si="6"/>
        <v>0</v>
      </c>
      <c r="U13" s="17" t="b">
        <f t="shared" ca="1" si="7"/>
        <v>1</v>
      </c>
      <c r="V13" s="17" t="b">
        <f t="shared" ca="1" si="8"/>
        <v>0</v>
      </c>
      <c r="W13" s="17">
        <f t="shared" ca="1" si="9"/>
        <v>0</v>
      </c>
      <c r="X13" s="15">
        <f t="shared" ca="1" si="10"/>
        <v>44899.125</v>
      </c>
      <c r="Y13" s="15">
        <f t="shared" ca="1" si="10"/>
        <v>44899.125</v>
      </c>
      <c r="Z13" s="15">
        <f t="shared" ca="1" si="10"/>
        <v>44899.125</v>
      </c>
      <c r="AA13" s="17">
        <f t="shared" ca="1" si="11"/>
        <v>1</v>
      </c>
    </row>
    <row r="14" spans="1:32" s="17" customFormat="1" x14ac:dyDescent="0.25">
      <c r="A14" s="17" t="s">
        <v>867</v>
      </c>
      <c r="B14" s="17" t="s">
        <v>85</v>
      </c>
      <c r="H14" s="17" t="b" cm="1">
        <f t="array" aca="1" ref="H14" ca="1">FileExists(N14,NOW())</f>
        <v>1</v>
      </c>
      <c r="I14" s="17" t="b" cm="1">
        <f t="array" aca="1" ref="I14" ca="1">FileExists(O14,NOW())</f>
        <v>0</v>
      </c>
      <c r="K14" s="15" cm="1">
        <f t="array" aca="1" ref="K14" ca="1">IF(H14,fileModifiedDate(N14, NOW()),0)</f>
        <v>44899.293009259258</v>
      </c>
      <c r="L14" s="15" cm="1">
        <f t="array" aca="1" ref="L14" ca="1">IF(I14,fileModifiedDate(O14, NOW()),0)</f>
        <v>0</v>
      </c>
      <c r="M14" s="15"/>
      <c r="N14" s="16" t="str">
        <f t="shared" si="3"/>
        <v>D:\OneDrive-Sync\Christian Dior Couture\APAC Management - Reports - Reports\DClick\Images\VM22\wRTW_Units.png</v>
      </c>
      <c r="O14" s="16" t="str">
        <f t="shared" si="3"/>
        <v>D:\OneDrive-Sync\Christian Dior Couture\APAC Management - Reports - Reports\DClick\Images\VM24\wRTW_Units.png</v>
      </c>
      <c r="P14" s="16"/>
      <c r="Q14" s="17" t="b">
        <f t="shared" si="4"/>
        <v>0</v>
      </c>
      <c r="R14" s="17" t="b">
        <f t="shared" si="5"/>
        <v>0</v>
      </c>
      <c r="S14" s="17" t="b">
        <v>0</v>
      </c>
      <c r="T14" s="17" t="b">
        <f t="shared" ca="1" si="6"/>
        <v>0</v>
      </c>
      <c r="U14" s="17" t="b">
        <f t="shared" ca="1" si="7"/>
        <v>1</v>
      </c>
      <c r="V14" s="17" t="b">
        <f t="shared" ca="1" si="8"/>
        <v>0</v>
      </c>
      <c r="W14" s="17">
        <f t="shared" ca="1" si="9"/>
        <v>0</v>
      </c>
      <c r="X14" s="15">
        <f t="shared" ca="1" si="10"/>
        <v>44899.125</v>
      </c>
      <c r="Y14" s="15">
        <f t="shared" ca="1" si="10"/>
        <v>44899.125</v>
      </c>
      <c r="Z14" s="15">
        <f t="shared" ca="1" si="10"/>
        <v>44899.125</v>
      </c>
      <c r="AA14" s="17">
        <f t="shared" ca="1" si="11"/>
        <v>1</v>
      </c>
    </row>
    <row r="15" spans="1:32" s="17" customFormat="1" x14ac:dyDescent="0.25">
      <c r="A15" s="17" t="s">
        <v>867</v>
      </c>
      <c r="B15" s="17" t="s">
        <v>564</v>
      </c>
      <c r="H15" s="17" t="b" cm="1">
        <f t="array" aca="1" ref="H15" ca="1">FileExists(N15,NOW())</f>
        <v>1</v>
      </c>
      <c r="I15" s="17" t="b" cm="1">
        <f t="array" aca="1" ref="I15" ca="1">FileExists(O15,NOW())</f>
        <v>0</v>
      </c>
      <c r="K15" s="15" cm="1">
        <f t="array" aca="1" ref="K15" ca="1">IF(H15,fileModifiedDate(N15, NOW()),0)</f>
        <v>44899.3</v>
      </c>
      <c r="L15" s="15" cm="1">
        <f t="array" aca="1" ref="L15" ca="1">IF(I15,fileModifiedDate(O15, NOW()),0)</f>
        <v>0</v>
      </c>
      <c r="M15" s="15"/>
      <c r="N15" s="16" t="str">
        <f t="shared" si="3"/>
        <v>D:\OneDrive-Sync\Christian Dior Couture\APAC Management - Reports - Reports\DClick\Images\VM22\wSLG_NetSales.png</v>
      </c>
      <c r="O15" s="16" t="str">
        <f t="shared" si="3"/>
        <v>D:\OneDrive-Sync\Christian Dior Couture\APAC Management - Reports - Reports\DClick\Images\VM24\wSLG_NetSales.png</v>
      </c>
      <c r="P15" s="16"/>
      <c r="Q15" s="17" t="b">
        <f t="shared" si="4"/>
        <v>0</v>
      </c>
      <c r="R15" s="17" t="b">
        <f t="shared" si="5"/>
        <v>0</v>
      </c>
      <c r="S15" s="17" t="b">
        <v>0</v>
      </c>
      <c r="T15" s="17" t="b">
        <f t="shared" ca="1" si="6"/>
        <v>0</v>
      </c>
      <c r="U15" s="17" t="b">
        <f t="shared" ca="1" si="7"/>
        <v>1</v>
      </c>
      <c r="V15" s="17" t="b">
        <f t="shared" ca="1" si="8"/>
        <v>0</v>
      </c>
      <c r="W15" s="17">
        <f t="shared" ca="1" si="9"/>
        <v>0</v>
      </c>
      <c r="X15" s="15">
        <f t="shared" ca="1" si="10"/>
        <v>44899.125</v>
      </c>
      <c r="Y15" s="15">
        <f t="shared" ca="1" si="10"/>
        <v>44899.125</v>
      </c>
      <c r="Z15" s="15">
        <f t="shared" ca="1" si="10"/>
        <v>44899.125</v>
      </c>
      <c r="AA15" s="17">
        <f t="shared" ca="1" si="11"/>
        <v>1</v>
      </c>
    </row>
    <row r="16" spans="1:32" s="17" customFormat="1" x14ac:dyDescent="0.25">
      <c r="A16" s="17" t="s">
        <v>867</v>
      </c>
      <c r="B16" s="17" t="s">
        <v>565</v>
      </c>
      <c r="H16" s="17" t="b" cm="1">
        <f t="array" aca="1" ref="H16" ca="1">FileExists(N16,NOW())</f>
        <v>1</v>
      </c>
      <c r="I16" s="17" t="b" cm="1">
        <f t="array" aca="1" ref="I16" ca="1">FileExists(O16,NOW())</f>
        <v>0</v>
      </c>
      <c r="K16" s="15" cm="1">
        <f t="array" aca="1" ref="K16" ca="1">IF(H16,fileModifiedDate(N16, NOW()),0)</f>
        <v>44899.300474537034</v>
      </c>
      <c r="L16" s="15" cm="1">
        <f t="array" aca="1" ref="L16" ca="1">IF(I16,fileModifiedDate(O16, NOW()),0)</f>
        <v>0</v>
      </c>
      <c r="M16" s="15"/>
      <c r="N16" s="16" t="str">
        <f t="shared" si="3"/>
        <v>D:\OneDrive-Sync\Christian Dior Couture\APAC Management - Reports - Reports\DClick\Images\VM22\wSLG_Units.png</v>
      </c>
      <c r="O16" s="16" t="str">
        <f t="shared" si="3"/>
        <v>D:\OneDrive-Sync\Christian Dior Couture\APAC Management - Reports - Reports\DClick\Images\VM24\wSLG_Units.png</v>
      </c>
      <c r="P16" s="16"/>
      <c r="Q16" s="17" t="b">
        <f t="shared" si="4"/>
        <v>0</v>
      </c>
      <c r="R16" s="17" t="b">
        <f t="shared" si="5"/>
        <v>0</v>
      </c>
      <c r="S16" s="17" t="b">
        <v>0</v>
      </c>
      <c r="T16" s="17" t="b">
        <f t="shared" ca="1" si="6"/>
        <v>0</v>
      </c>
      <c r="U16" s="17" t="b">
        <f t="shared" ca="1" si="7"/>
        <v>1</v>
      </c>
      <c r="V16" s="17" t="b">
        <f t="shared" ca="1" si="8"/>
        <v>0</v>
      </c>
      <c r="W16" s="17">
        <f t="shared" ca="1" si="9"/>
        <v>0</v>
      </c>
      <c r="X16" s="15">
        <f t="shared" ca="1" si="10"/>
        <v>44899.125</v>
      </c>
      <c r="Y16" s="15">
        <f t="shared" ca="1" si="10"/>
        <v>44899.125</v>
      </c>
      <c r="Z16" s="15">
        <f t="shared" ca="1" si="10"/>
        <v>44899.125</v>
      </c>
      <c r="AA16" s="17">
        <f t="shared" ca="1" si="11"/>
        <v>1</v>
      </c>
    </row>
    <row r="17" spans="1:27" s="17" customFormat="1" x14ac:dyDescent="0.25">
      <c r="A17" s="17" t="s">
        <v>867</v>
      </c>
      <c r="B17" s="17" t="s">
        <v>80</v>
      </c>
      <c r="H17" s="17" t="b" cm="1">
        <f t="array" aca="1" ref="H17" ca="1">FileExists(N17,NOW())</f>
        <v>1</v>
      </c>
      <c r="I17" s="17" t="b" cm="1">
        <f t="array" aca="1" ref="I17" ca="1">FileExists(O17,NOW())</f>
        <v>0</v>
      </c>
      <c r="K17" s="15" cm="1">
        <f t="array" aca="1" ref="K17" ca="1">IF(H17,fileModifiedDate(N17, NOW()),0)</f>
        <v>44899.295023148145</v>
      </c>
      <c r="L17" s="15" cm="1">
        <f t="array" aca="1" ref="L17" ca="1">IF(I17,fileModifiedDate(O17, NOW()),0)</f>
        <v>0</v>
      </c>
      <c r="M17" s="15"/>
      <c r="N17" s="16" t="str">
        <f t="shared" si="3"/>
        <v>D:\OneDrive-Sync\Christian Dior Couture\APAC Management - Reports - Reports\DClick\Images\VM22\wAccessories_NetSales.png</v>
      </c>
      <c r="O17" s="16" t="str">
        <f t="shared" si="3"/>
        <v>D:\OneDrive-Sync\Christian Dior Couture\APAC Management - Reports - Reports\DClick\Images\VM24\wAccessories_NetSales.png</v>
      </c>
      <c r="P17" s="16"/>
      <c r="Q17" s="17" t="b">
        <f t="shared" si="4"/>
        <v>0</v>
      </c>
      <c r="R17" s="17" t="b">
        <f t="shared" si="5"/>
        <v>0</v>
      </c>
      <c r="S17" s="17" t="b">
        <v>0</v>
      </c>
      <c r="T17" s="17" t="b">
        <f t="shared" ca="1" si="6"/>
        <v>0</v>
      </c>
      <c r="U17" s="17" t="b">
        <f t="shared" ca="1" si="7"/>
        <v>1</v>
      </c>
      <c r="V17" s="17" t="b">
        <f t="shared" ca="1" si="8"/>
        <v>0</v>
      </c>
      <c r="W17" s="17">
        <f t="shared" ca="1" si="9"/>
        <v>0</v>
      </c>
      <c r="X17" s="15">
        <f t="shared" ca="1" si="10"/>
        <v>44899.125</v>
      </c>
      <c r="Y17" s="15">
        <f t="shared" ca="1" si="10"/>
        <v>44899.125</v>
      </c>
      <c r="Z17" s="15">
        <f t="shared" ca="1" si="10"/>
        <v>44899.125</v>
      </c>
      <c r="AA17" s="17">
        <f t="shared" ca="1" si="11"/>
        <v>1</v>
      </c>
    </row>
    <row r="18" spans="1:27" s="17" customFormat="1" x14ac:dyDescent="0.25">
      <c r="A18" s="17" t="s">
        <v>867</v>
      </c>
      <c r="B18" s="17" t="s">
        <v>87</v>
      </c>
      <c r="H18" s="17" t="b" cm="1">
        <f t="array" aca="1" ref="H18" ca="1">FileExists(N18,NOW())</f>
        <v>1</v>
      </c>
      <c r="I18" s="17" t="b" cm="1">
        <f t="array" aca="1" ref="I18" ca="1">FileExists(O18,NOW())</f>
        <v>0</v>
      </c>
      <c r="K18" s="15" cm="1">
        <f t="array" aca="1" ref="K18" ca="1">IF(H18,fileModifiedDate(N18, NOW()),0)</f>
        <v>44899.295497685183</v>
      </c>
      <c r="L18" s="15" cm="1">
        <f t="array" aca="1" ref="L18" ca="1">IF(I18,fileModifiedDate(O18, NOW()),0)</f>
        <v>0</v>
      </c>
      <c r="M18" s="15"/>
      <c r="N18" s="16" t="str">
        <f t="shared" si="3"/>
        <v>D:\OneDrive-Sync\Christian Dior Couture\APAC Management - Reports - Reports\DClick\Images\VM22\wAccessories_Units.png</v>
      </c>
      <c r="O18" s="16" t="str">
        <f t="shared" si="3"/>
        <v>D:\OneDrive-Sync\Christian Dior Couture\APAC Management - Reports - Reports\DClick\Images\VM24\wAccessories_Units.png</v>
      </c>
      <c r="P18" s="16"/>
      <c r="Q18" s="17" t="b">
        <f t="shared" si="4"/>
        <v>0</v>
      </c>
      <c r="R18" s="17" t="b">
        <f t="shared" si="5"/>
        <v>0</v>
      </c>
      <c r="S18" s="17" t="b">
        <v>0</v>
      </c>
      <c r="T18" s="17" t="b">
        <f t="shared" ca="1" si="6"/>
        <v>0</v>
      </c>
      <c r="U18" s="17" t="b">
        <f t="shared" ca="1" si="7"/>
        <v>1</v>
      </c>
      <c r="V18" s="17" t="b">
        <f t="shared" ca="1" si="8"/>
        <v>0</v>
      </c>
      <c r="W18" s="17">
        <f t="shared" ca="1" si="9"/>
        <v>0</v>
      </c>
      <c r="X18" s="15">
        <f t="shared" ca="1" si="10"/>
        <v>44899.125</v>
      </c>
      <c r="Y18" s="15">
        <f t="shared" ca="1" si="10"/>
        <v>44899.125</v>
      </c>
      <c r="Z18" s="15">
        <f t="shared" ca="1" si="10"/>
        <v>44899.125</v>
      </c>
      <c r="AA18" s="17">
        <f t="shared" ca="1" si="11"/>
        <v>1</v>
      </c>
    </row>
    <row r="19" spans="1:27" s="17" customFormat="1" x14ac:dyDescent="0.25">
      <c r="A19" s="17" t="s">
        <v>867</v>
      </c>
      <c r="B19" s="17" t="s">
        <v>79</v>
      </c>
      <c r="H19" s="17" t="b" cm="1">
        <f t="array" aca="1" ref="H19" ca="1">FileExists(N19,NOW())</f>
        <v>1</v>
      </c>
      <c r="I19" s="17" t="b" cm="1">
        <f t="array" aca="1" ref="I19" ca="1">FileExists(O19,NOW())</f>
        <v>0</v>
      </c>
      <c r="K19" s="15" cm="1">
        <f t="array" aca="1" ref="K19" ca="1">IF(H19,fileModifiedDate(N19, NOW()),0)</f>
        <v>44899.293761574074</v>
      </c>
      <c r="L19" s="15" cm="1">
        <f t="array" aca="1" ref="L19" ca="1">IF(I19,fileModifiedDate(O19, NOW()),0)</f>
        <v>0</v>
      </c>
      <c r="M19" s="15"/>
      <c r="N19" s="16" t="str">
        <f t="shared" si="3"/>
        <v>D:\OneDrive-Sync\Christian Dior Couture\APAC Management - Reports - Reports\DClick\Images\VM22\wShoes_NetSales.png</v>
      </c>
      <c r="O19" s="16" t="str">
        <f t="shared" si="3"/>
        <v>D:\OneDrive-Sync\Christian Dior Couture\APAC Management - Reports - Reports\DClick\Images\VM24\wShoes_NetSales.png</v>
      </c>
      <c r="P19" s="16"/>
      <c r="Q19" s="17" t="b">
        <f t="shared" si="4"/>
        <v>0</v>
      </c>
      <c r="R19" s="17" t="b">
        <f t="shared" si="5"/>
        <v>0</v>
      </c>
      <c r="S19" s="17" t="b">
        <v>0</v>
      </c>
      <c r="T19" s="17" t="b">
        <f t="shared" ca="1" si="6"/>
        <v>0</v>
      </c>
      <c r="U19" s="17" t="b">
        <f t="shared" ca="1" si="7"/>
        <v>1</v>
      </c>
      <c r="V19" s="17" t="b">
        <f t="shared" ca="1" si="8"/>
        <v>0</v>
      </c>
      <c r="W19" s="17">
        <f t="shared" ca="1" si="9"/>
        <v>0</v>
      </c>
      <c r="X19" s="15">
        <f t="shared" ca="1" si="10"/>
        <v>44899.125</v>
      </c>
      <c r="Y19" s="15">
        <f t="shared" ca="1" si="10"/>
        <v>44899.125</v>
      </c>
      <c r="Z19" s="15">
        <f t="shared" ca="1" si="10"/>
        <v>44899.125</v>
      </c>
      <c r="AA19" s="17">
        <f t="shared" ca="1" si="11"/>
        <v>1</v>
      </c>
    </row>
    <row r="20" spans="1:27" s="17" customFormat="1" x14ac:dyDescent="0.25">
      <c r="A20" s="17" t="s">
        <v>867</v>
      </c>
      <c r="B20" s="17" t="s">
        <v>86</v>
      </c>
      <c r="H20" s="17" t="b" cm="1">
        <f t="array" aca="1" ref="H20" ca="1">FileExists(N20,NOW())</f>
        <v>1</v>
      </c>
      <c r="I20" s="17" t="b" cm="1">
        <f t="array" aca="1" ref="I20" ca="1">FileExists(O20,NOW())</f>
        <v>0</v>
      </c>
      <c r="K20" s="15" cm="1">
        <f t="array" aca="1" ref="K20" ca="1">IF(H20,fileModifiedDate(N20, NOW()),0)</f>
        <v>44899.294236111113</v>
      </c>
      <c r="L20" s="15" cm="1">
        <f t="array" aca="1" ref="L20" ca="1">IF(I20,fileModifiedDate(O20, NOW()),0)</f>
        <v>0</v>
      </c>
      <c r="M20" s="15"/>
      <c r="N20" s="16" t="str">
        <f t="shared" si="3"/>
        <v>D:\OneDrive-Sync\Christian Dior Couture\APAC Management - Reports - Reports\DClick\Images\VM22\wShoes_Units.png</v>
      </c>
      <c r="O20" s="16" t="str">
        <f t="shared" si="3"/>
        <v>D:\OneDrive-Sync\Christian Dior Couture\APAC Management - Reports - Reports\DClick\Images\VM24\wShoes_Units.png</v>
      </c>
      <c r="P20" s="16"/>
      <c r="Q20" s="17" t="b">
        <f t="shared" si="4"/>
        <v>0</v>
      </c>
      <c r="R20" s="17" t="b">
        <f t="shared" si="5"/>
        <v>0</v>
      </c>
      <c r="S20" s="17" t="b">
        <v>0</v>
      </c>
      <c r="T20" s="17" t="b">
        <f t="shared" ca="1" si="6"/>
        <v>0</v>
      </c>
      <c r="U20" s="17" t="b">
        <f t="shared" ca="1" si="7"/>
        <v>1</v>
      </c>
      <c r="V20" s="17" t="b">
        <f t="shared" ca="1" si="8"/>
        <v>0</v>
      </c>
      <c r="W20" s="17">
        <f t="shared" ca="1" si="9"/>
        <v>0</v>
      </c>
      <c r="X20" s="15">
        <f t="shared" ca="1" si="10"/>
        <v>44899.125</v>
      </c>
      <c r="Y20" s="15">
        <f t="shared" ca="1" si="10"/>
        <v>44899.125</v>
      </c>
      <c r="Z20" s="15">
        <f t="shared" ca="1" si="10"/>
        <v>44899.125</v>
      </c>
      <c r="AA20" s="17">
        <f t="shared" ca="1" si="11"/>
        <v>1</v>
      </c>
    </row>
    <row r="21" spans="1:27" s="17" customFormat="1" x14ac:dyDescent="0.25">
      <c r="A21" s="17" t="s">
        <v>867</v>
      </c>
      <c r="B21" s="17" t="s">
        <v>82</v>
      </c>
      <c r="H21" s="17" t="b" cm="1">
        <f t="array" aca="1" ref="H21" ca="1">FileExists(N21,NOW())</f>
        <v>1</v>
      </c>
      <c r="I21" s="17" t="b" cm="1">
        <f t="array" aca="1" ref="I21" ca="1">FileExists(O21,NOW())</f>
        <v>0</v>
      </c>
      <c r="K21" s="15" cm="1">
        <f t="array" aca="1" ref="K21" ca="1">IF(H21,fileModifiedDate(N21, NOW()),0)</f>
        <v>44899.297511574077</v>
      </c>
      <c r="L21" s="15" cm="1">
        <f t="array" aca="1" ref="L21" ca="1">IF(I21,fileModifiedDate(O21, NOW()),0)</f>
        <v>0</v>
      </c>
      <c r="M21" s="15"/>
      <c r="N21" s="16" t="str">
        <f t="shared" si="3"/>
        <v>D:\OneDrive-Sync\Christian Dior Couture\APAC Management - Reports - Reports\DClick\Images\VM22\Mens_NetSales.png</v>
      </c>
      <c r="O21" s="16" t="str">
        <f t="shared" si="3"/>
        <v>D:\OneDrive-Sync\Christian Dior Couture\APAC Management - Reports - Reports\DClick\Images\VM24\Mens_NetSales.png</v>
      </c>
      <c r="P21" s="16"/>
      <c r="Q21" s="17" t="b">
        <f t="shared" si="4"/>
        <v>0</v>
      </c>
      <c r="R21" s="17" t="b">
        <f t="shared" si="5"/>
        <v>0</v>
      </c>
      <c r="S21" s="17" t="b">
        <v>0</v>
      </c>
      <c r="T21" s="17" t="b">
        <f t="shared" ca="1" si="6"/>
        <v>0</v>
      </c>
      <c r="U21" s="17" t="b">
        <f t="shared" ca="1" si="7"/>
        <v>1</v>
      </c>
      <c r="V21" s="17" t="b">
        <f t="shared" ca="1" si="8"/>
        <v>0</v>
      </c>
      <c r="W21" s="17">
        <f t="shared" ca="1" si="9"/>
        <v>0</v>
      </c>
      <c r="X21" s="15">
        <f t="shared" ca="1" si="10"/>
        <v>44899.125</v>
      </c>
      <c r="Y21" s="15">
        <f t="shared" ca="1" si="10"/>
        <v>44899.125</v>
      </c>
      <c r="Z21" s="15">
        <f t="shared" ca="1" si="10"/>
        <v>44899.125</v>
      </c>
      <c r="AA21" s="17">
        <f t="shared" ca="1" si="11"/>
        <v>1</v>
      </c>
    </row>
    <row r="22" spans="1:27" s="17" customFormat="1" x14ac:dyDescent="0.25">
      <c r="A22" s="17" t="s">
        <v>867</v>
      </c>
      <c r="B22" s="17" t="s">
        <v>89</v>
      </c>
      <c r="H22" s="17" t="b" cm="1">
        <f t="array" aca="1" ref="H22" ca="1">FileExists(N22,NOW())</f>
        <v>1</v>
      </c>
      <c r="I22" s="17" t="b" cm="1">
        <f t="array" aca="1" ref="I22" ca="1">FileExists(O22,NOW())</f>
        <v>0</v>
      </c>
      <c r="K22" s="15" cm="1">
        <f t="array" aca="1" ref="K22" ca="1">IF(H22,fileModifiedDate(N22, NOW()),0)</f>
        <v>44899.297986111109</v>
      </c>
      <c r="L22" s="15" cm="1">
        <f t="array" aca="1" ref="L22" ca="1">IF(I22,fileModifiedDate(O22, NOW()),0)</f>
        <v>0</v>
      </c>
      <c r="M22" s="15"/>
      <c r="N22" s="16" t="str">
        <f t="shared" si="3"/>
        <v>D:\OneDrive-Sync\Christian Dior Couture\APAC Management - Reports - Reports\DClick\Images\VM22\Mens_Units.png</v>
      </c>
      <c r="O22" s="16" t="str">
        <f t="shared" si="3"/>
        <v>D:\OneDrive-Sync\Christian Dior Couture\APAC Management - Reports - Reports\DClick\Images\VM24\Mens_Units.png</v>
      </c>
      <c r="P22" s="16"/>
      <c r="Q22" s="17" t="b">
        <f t="shared" si="4"/>
        <v>0</v>
      </c>
      <c r="R22" s="17" t="b">
        <f t="shared" si="5"/>
        <v>0</v>
      </c>
      <c r="S22" s="17" t="b">
        <v>0</v>
      </c>
      <c r="T22" s="17" t="b">
        <f t="shared" ca="1" si="6"/>
        <v>0</v>
      </c>
      <c r="U22" s="17" t="b">
        <f t="shared" ca="1" si="7"/>
        <v>1</v>
      </c>
      <c r="V22" s="17" t="b">
        <f t="shared" ca="1" si="8"/>
        <v>0</v>
      </c>
      <c r="W22" s="17">
        <f t="shared" ca="1" si="9"/>
        <v>0</v>
      </c>
      <c r="X22" s="15">
        <f t="shared" ca="1" si="10"/>
        <v>44899.125</v>
      </c>
      <c r="Y22" s="15">
        <f t="shared" ca="1" si="10"/>
        <v>44899.125</v>
      </c>
      <c r="Z22" s="15">
        <f t="shared" ca="1" si="10"/>
        <v>44899.125</v>
      </c>
      <c r="AA22" s="17">
        <f t="shared" ca="1" si="11"/>
        <v>1</v>
      </c>
    </row>
    <row r="23" spans="1:27" s="17" customFormat="1" x14ac:dyDescent="0.25">
      <c r="A23" s="17" t="s">
        <v>867</v>
      </c>
      <c r="B23" s="17" t="s">
        <v>569</v>
      </c>
      <c r="H23" s="17" t="b" cm="1">
        <f t="array" aca="1" ref="H23" ca="1">FileExists(N23,NOW())</f>
        <v>1</v>
      </c>
      <c r="I23" s="17" t="b" cm="1">
        <f t="array" aca="1" ref="I23" ca="1">FileExists(O23,NOW())</f>
        <v>0</v>
      </c>
      <c r="K23" s="15" cm="1">
        <f t="array" aca="1" ref="K23" ca="1">IF(H23,fileModifiedDate(N23, NOW()),0)</f>
        <v>44899.302499999998</v>
      </c>
      <c r="L23" s="15" cm="1">
        <f t="array" aca="1" ref="L23" ca="1">IF(I23,fileModifiedDate(O23, NOW()),0)</f>
        <v>0</v>
      </c>
      <c r="M23" s="15"/>
      <c r="N23" s="16" t="str">
        <f t="shared" si="3"/>
        <v>D:\OneDrive-Sync\Christian Dior Couture\APAC Management - Reports - Reports\DClick\Images\VM22\mBags_mRTW_NetSales.png</v>
      </c>
      <c r="O23" s="16" t="str">
        <f t="shared" si="3"/>
        <v>D:\OneDrive-Sync\Christian Dior Couture\APAC Management - Reports - Reports\DClick\Images\VM24\mBags_mRTW_NetSales.png</v>
      </c>
      <c r="P23" s="16"/>
      <c r="Q23" s="17" t="b">
        <f t="shared" si="4"/>
        <v>0</v>
      </c>
      <c r="R23" s="17" t="b">
        <f t="shared" si="5"/>
        <v>0</v>
      </c>
      <c r="S23" s="17" t="b">
        <v>0</v>
      </c>
      <c r="T23" s="17" t="b">
        <f t="shared" ca="1" si="6"/>
        <v>0</v>
      </c>
      <c r="U23" s="17" t="b">
        <f t="shared" ca="1" si="7"/>
        <v>1</v>
      </c>
      <c r="V23" s="17" t="b">
        <f t="shared" ca="1" si="8"/>
        <v>0</v>
      </c>
      <c r="W23" s="17">
        <f t="shared" ca="1" si="9"/>
        <v>0</v>
      </c>
      <c r="X23" s="15">
        <f t="shared" ca="1" si="10"/>
        <v>44899.125</v>
      </c>
      <c r="Y23" s="15">
        <f t="shared" ca="1" si="10"/>
        <v>44899.125</v>
      </c>
      <c r="Z23" s="15">
        <f t="shared" ca="1" si="10"/>
        <v>44899.125</v>
      </c>
      <c r="AA23" s="17">
        <f t="shared" ca="1" si="11"/>
        <v>1</v>
      </c>
    </row>
    <row r="24" spans="1:27" s="17" customFormat="1" x14ac:dyDescent="0.25">
      <c r="A24" s="17" t="s">
        <v>867</v>
      </c>
      <c r="B24" s="17" t="s">
        <v>568</v>
      </c>
      <c r="H24" s="17" t="b" cm="1">
        <f t="array" aca="1" ref="H24" ca="1">FileExists(N24,NOW())</f>
        <v>1</v>
      </c>
      <c r="I24" s="17" t="b" cm="1">
        <f t="array" aca="1" ref="I24" ca="1">FileExists(O24,NOW())</f>
        <v>0</v>
      </c>
      <c r="K24" s="15" cm="1">
        <f t="array" aca="1" ref="K24" ca="1">IF(H24,fileModifiedDate(N24, NOW()),0)</f>
        <v>44899.302986111114</v>
      </c>
      <c r="L24" s="15" cm="1">
        <f t="array" aca="1" ref="L24" ca="1">IF(I24,fileModifiedDate(O24, NOW()),0)</f>
        <v>0</v>
      </c>
      <c r="M24" s="15"/>
      <c r="N24" s="16" t="str">
        <f t="shared" si="3"/>
        <v>D:\OneDrive-Sync\Christian Dior Couture\APAC Management - Reports - Reports\DClick\Images\VM22\mBags_mRTW_Units.png</v>
      </c>
      <c r="O24" s="16" t="str">
        <f t="shared" si="3"/>
        <v>D:\OneDrive-Sync\Christian Dior Couture\APAC Management - Reports - Reports\DClick\Images\VM24\mBags_mRTW_Units.png</v>
      </c>
      <c r="P24" s="16"/>
      <c r="Q24" s="17" t="b">
        <f t="shared" si="4"/>
        <v>0</v>
      </c>
      <c r="R24" s="17" t="b">
        <f t="shared" si="5"/>
        <v>0</v>
      </c>
      <c r="S24" s="17" t="b">
        <v>0</v>
      </c>
      <c r="T24" s="17" t="b">
        <f t="shared" ca="1" si="6"/>
        <v>0</v>
      </c>
      <c r="U24" s="17" t="b">
        <f t="shared" ca="1" si="7"/>
        <v>1</v>
      </c>
      <c r="V24" s="17" t="b">
        <f t="shared" ca="1" si="8"/>
        <v>0</v>
      </c>
      <c r="W24" s="17">
        <f t="shared" ca="1" si="9"/>
        <v>0</v>
      </c>
      <c r="X24" s="15">
        <f t="shared" ca="1" si="10"/>
        <v>44899.125</v>
      </c>
      <c r="Y24" s="15">
        <f t="shared" ca="1" si="10"/>
        <v>44899.125</v>
      </c>
      <c r="Z24" s="15">
        <f t="shared" ca="1" si="10"/>
        <v>44899.125</v>
      </c>
      <c r="AA24" s="17">
        <f t="shared" ca="1" si="11"/>
        <v>1</v>
      </c>
    </row>
    <row r="25" spans="1:27" s="17" customFormat="1" x14ac:dyDescent="0.25">
      <c r="A25" s="17" t="s">
        <v>867</v>
      </c>
      <c r="B25" s="17" t="s">
        <v>573</v>
      </c>
      <c r="H25" s="17" t="b" cm="1">
        <f t="array" aca="1" ref="H25" ca="1">FileExists(N25,NOW())</f>
        <v>1</v>
      </c>
      <c r="I25" s="17" t="b" cm="1">
        <f t="array" aca="1" ref="I25" ca="1">FileExists(O25,NOW())</f>
        <v>0</v>
      </c>
      <c r="K25" s="15" cm="1">
        <f t="array" aca="1" ref="K25" ca="1">IF(H25,fileModifiedDate(N25, NOW()),0)</f>
        <v>44899.303796296299</v>
      </c>
      <c r="L25" s="15" cm="1">
        <f t="array" aca="1" ref="L25" ca="1">IF(I25,fileModifiedDate(O25, NOW()),0)</f>
        <v>0</v>
      </c>
      <c r="M25" s="15"/>
      <c r="N25" s="16" t="str">
        <f t="shared" si="3"/>
        <v>D:\OneDrive-Sync\Christian Dior Couture\APAC Management - Reports - Reports\DClick\Images\VM22\mAcc_mShoes_NetSales.png</v>
      </c>
      <c r="O25" s="16" t="str">
        <f t="shared" si="3"/>
        <v>D:\OneDrive-Sync\Christian Dior Couture\APAC Management - Reports - Reports\DClick\Images\VM24\mAcc_mShoes_NetSales.png</v>
      </c>
      <c r="P25" s="16"/>
      <c r="Q25" s="17" t="b">
        <f t="shared" si="4"/>
        <v>0</v>
      </c>
      <c r="R25" s="17" t="b">
        <f t="shared" si="5"/>
        <v>0</v>
      </c>
      <c r="S25" s="17" t="b">
        <v>0</v>
      </c>
      <c r="T25" s="17" t="b">
        <f t="shared" ca="1" si="6"/>
        <v>0</v>
      </c>
      <c r="U25" s="17" t="b">
        <f t="shared" ca="1" si="7"/>
        <v>1</v>
      </c>
      <c r="V25" s="17" t="b">
        <f t="shared" ca="1" si="8"/>
        <v>0</v>
      </c>
      <c r="W25" s="17">
        <f t="shared" ca="1" si="9"/>
        <v>0</v>
      </c>
      <c r="X25" s="15">
        <f t="shared" ca="1" si="10"/>
        <v>44899.125</v>
      </c>
      <c r="Y25" s="15">
        <f t="shared" ca="1" si="10"/>
        <v>44899.125</v>
      </c>
      <c r="Z25" s="15">
        <f t="shared" ca="1" si="10"/>
        <v>44899.125</v>
      </c>
      <c r="AA25" s="17">
        <f t="shared" ca="1" si="11"/>
        <v>1</v>
      </c>
    </row>
    <row r="26" spans="1:27" s="17" customFormat="1" x14ac:dyDescent="0.25">
      <c r="A26" s="17" t="s">
        <v>867</v>
      </c>
      <c r="B26" s="17" t="s">
        <v>572</v>
      </c>
      <c r="H26" s="17" t="b" cm="1">
        <f t="array" aca="1" ref="H26" ca="1">FileExists(N26,NOW())</f>
        <v>1</v>
      </c>
      <c r="I26" s="17" t="b" cm="1">
        <f t="array" aca="1" ref="I26" ca="1">FileExists(O26,NOW())</f>
        <v>0</v>
      </c>
      <c r="K26" s="15" cm="1">
        <f t="array" aca="1" ref="K26" ca="1">IF(H26,fileModifiedDate(N26, NOW()),0)</f>
        <v>44899.304282407407</v>
      </c>
      <c r="L26" s="15" cm="1">
        <f t="array" aca="1" ref="L26" ca="1">IF(I26,fileModifiedDate(O26, NOW()),0)</f>
        <v>0</v>
      </c>
      <c r="M26" s="15"/>
      <c r="N26" s="16" t="str">
        <f t="shared" si="3"/>
        <v>D:\OneDrive-Sync\Christian Dior Couture\APAC Management - Reports - Reports\DClick\Images\VM22\mAcc_mShoes_Units.png</v>
      </c>
      <c r="O26" s="16" t="str">
        <f t="shared" si="3"/>
        <v>D:\OneDrive-Sync\Christian Dior Couture\APAC Management - Reports - Reports\DClick\Images\VM24\mAcc_mShoes_Units.png</v>
      </c>
      <c r="P26" s="16"/>
      <c r="Q26" s="17" t="b">
        <f t="shared" si="4"/>
        <v>0</v>
      </c>
      <c r="R26" s="17" t="b">
        <f t="shared" si="5"/>
        <v>0</v>
      </c>
      <c r="S26" s="17" t="b">
        <v>0</v>
      </c>
      <c r="T26" s="17" t="b">
        <f t="shared" ca="1" si="6"/>
        <v>0</v>
      </c>
      <c r="U26" s="17" t="b">
        <f t="shared" ca="1" si="7"/>
        <v>1</v>
      </c>
      <c r="V26" s="17" t="b">
        <f t="shared" ca="1" si="8"/>
        <v>0</v>
      </c>
      <c r="W26" s="17">
        <f t="shared" ca="1" si="9"/>
        <v>0</v>
      </c>
      <c r="X26" s="15">
        <f t="shared" ca="1" si="10"/>
        <v>44899.125</v>
      </c>
      <c r="Y26" s="15">
        <f t="shared" ca="1" si="10"/>
        <v>44899.125</v>
      </c>
      <c r="Z26" s="15">
        <f t="shared" ca="1" si="10"/>
        <v>44899.125</v>
      </c>
      <c r="AA26" s="17">
        <f t="shared" ca="1" si="11"/>
        <v>1</v>
      </c>
    </row>
    <row r="27" spans="1:27" s="17" customFormat="1" x14ac:dyDescent="0.25">
      <c r="A27" s="17" t="s">
        <v>867</v>
      </c>
      <c r="B27" s="17" t="s">
        <v>577</v>
      </c>
      <c r="H27" s="17" t="b" cm="1">
        <f t="array" aca="1" ref="H27" ca="1">FileExists(N27,NOW())</f>
        <v>1</v>
      </c>
      <c r="I27" s="17" t="b" cm="1">
        <f t="array" aca="1" ref="I27" ca="1">FileExists(O27,NOW())</f>
        <v>0</v>
      </c>
      <c r="K27" s="15" cm="1">
        <f t="array" aca="1" ref="K27" ca="1">IF(H27,fileModifiedDate(N27, NOW()),0)</f>
        <v>44899.305069444446</v>
      </c>
      <c r="L27" s="15" cm="1">
        <f t="array" aca="1" ref="L27" ca="1">IF(I27,fileModifiedDate(O27, NOW()),0)</f>
        <v>0</v>
      </c>
      <c r="M27" s="15"/>
      <c r="N27" s="16" t="str">
        <f t="shared" si="3"/>
        <v>D:\OneDrive-Sync\Christian Dior Couture\APAC Management - Reports - Reports\DClick\Images\VM22\mSLG_mSpecial_NetSales.png</v>
      </c>
      <c r="O27" s="16" t="str">
        <f t="shared" si="3"/>
        <v>D:\OneDrive-Sync\Christian Dior Couture\APAC Management - Reports - Reports\DClick\Images\VM24\mSLG_mSpecial_NetSales.png</v>
      </c>
      <c r="P27" s="16"/>
      <c r="Q27" s="17" t="b">
        <f t="shared" si="4"/>
        <v>0</v>
      </c>
      <c r="R27" s="17" t="b">
        <f t="shared" si="5"/>
        <v>0</v>
      </c>
      <c r="S27" s="17" t="b">
        <v>0</v>
      </c>
      <c r="T27" s="17" t="b">
        <f t="shared" ca="1" si="6"/>
        <v>0</v>
      </c>
      <c r="U27" s="17" t="b">
        <f t="shared" ca="1" si="7"/>
        <v>1</v>
      </c>
      <c r="V27" s="17" t="b">
        <f t="shared" ca="1" si="8"/>
        <v>0</v>
      </c>
      <c r="W27" s="17">
        <f t="shared" ca="1" si="9"/>
        <v>0</v>
      </c>
      <c r="X27" s="15">
        <f t="shared" ca="1" si="10"/>
        <v>44899.125</v>
      </c>
      <c r="Y27" s="15">
        <f t="shared" ca="1" si="10"/>
        <v>44899.125</v>
      </c>
      <c r="Z27" s="15">
        <f t="shared" ca="1" si="10"/>
        <v>44899.125</v>
      </c>
      <c r="AA27" s="17">
        <f t="shared" ca="1" si="11"/>
        <v>1</v>
      </c>
    </row>
    <row r="28" spans="1:27" s="17" customFormat="1" x14ac:dyDescent="0.25">
      <c r="A28" s="17" t="s">
        <v>867</v>
      </c>
      <c r="B28" s="17" t="s">
        <v>576</v>
      </c>
      <c r="H28" s="17" t="b" cm="1">
        <f t="array" aca="1" ref="H28" ca="1">FileExists(N28,NOW())</f>
        <v>1</v>
      </c>
      <c r="I28" s="17" t="b" cm="1">
        <f t="array" aca="1" ref="I28" ca="1">FileExists(O28,NOW())</f>
        <v>0</v>
      </c>
      <c r="K28" s="15" cm="1">
        <f t="array" aca="1" ref="K28" ca="1">IF(H28,fileModifiedDate(N28, NOW()),0)</f>
        <v>44899.305543981478</v>
      </c>
      <c r="L28" s="15" cm="1">
        <f t="array" aca="1" ref="L28" ca="1">IF(I28,fileModifiedDate(O28, NOW()),0)</f>
        <v>0</v>
      </c>
      <c r="M28" s="15"/>
      <c r="N28" s="16" t="str">
        <f t="shared" si="3"/>
        <v>D:\OneDrive-Sync\Christian Dior Couture\APAC Management - Reports - Reports\DClick\Images\VM22\mSLG_mSpecial_Units.png</v>
      </c>
      <c r="O28" s="16" t="str">
        <f t="shared" si="3"/>
        <v>D:\OneDrive-Sync\Christian Dior Couture\APAC Management - Reports - Reports\DClick\Images\VM24\mSLG_mSpecial_Units.png</v>
      </c>
      <c r="P28" s="16"/>
      <c r="Q28" s="17" t="b">
        <f t="shared" si="4"/>
        <v>0</v>
      </c>
      <c r="R28" s="17" t="b">
        <f t="shared" si="5"/>
        <v>0</v>
      </c>
      <c r="S28" s="17" t="b">
        <v>0</v>
      </c>
      <c r="T28" s="17" t="b">
        <f t="shared" ca="1" si="6"/>
        <v>0</v>
      </c>
      <c r="U28" s="17" t="b">
        <f t="shared" ca="1" si="7"/>
        <v>1</v>
      </c>
      <c r="V28" s="17" t="b">
        <f t="shared" ca="1" si="8"/>
        <v>0</v>
      </c>
      <c r="W28" s="17">
        <f t="shared" ca="1" si="9"/>
        <v>0</v>
      </c>
      <c r="X28" s="15">
        <f t="shared" ca="1" si="10"/>
        <v>44899.125</v>
      </c>
      <c r="Y28" s="15">
        <f t="shared" ca="1" si="10"/>
        <v>44899.125</v>
      </c>
      <c r="Z28" s="15">
        <f t="shared" ca="1" si="10"/>
        <v>44899.125</v>
      </c>
      <c r="AA28" s="17">
        <f t="shared" ca="1" si="11"/>
        <v>1</v>
      </c>
    </row>
    <row r="29" spans="1:27" s="17" customFormat="1" x14ac:dyDescent="0.25">
      <c r="A29" s="17" t="s">
        <v>867</v>
      </c>
      <c r="B29" s="17" t="s">
        <v>81</v>
      </c>
      <c r="H29" s="17" t="b" cm="1">
        <f t="array" aca="1" ref="H29" ca="1">FileExists(N29,NOW())</f>
        <v>1</v>
      </c>
      <c r="I29" s="17" t="b" cm="1">
        <f t="array" aca="1" ref="I29" ca="1">FileExists(O29,NOW())</f>
        <v>0</v>
      </c>
      <c r="K29" s="15" cm="1">
        <f t="array" aca="1" ref="K29" ca="1">IF(H29,fileModifiedDate(N29, NOW()),0)</f>
        <v>44899.296261574076</v>
      </c>
      <c r="L29" s="15" cm="1">
        <f t="array" aca="1" ref="L29" ca="1">IF(I29,fileModifiedDate(O29, NOW()),0)</f>
        <v>0</v>
      </c>
      <c r="M29" s="15"/>
      <c r="N29" s="16" t="str">
        <f t="shared" si="3"/>
        <v>D:\OneDrive-Sync\Christian Dior Couture\APAC Management - Reports - Reports\DClick\Images\VM22\JewelleryAndWatches_NetSales.png</v>
      </c>
      <c r="O29" s="16" t="str">
        <f t="shared" si="3"/>
        <v>D:\OneDrive-Sync\Christian Dior Couture\APAC Management - Reports - Reports\DClick\Images\VM24\JewelleryAndWatches_NetSales.png</v>
      </c>
      <c r="P29" s="16"/>
      <c r="Q29" s="17" t="b">
        <f t="shared" si="4"/>
        <v>0</v>
      </c>
      <c r="R29" s="17" t="b">
        <f t="shared" si="5"/>
        <v>0</v>
      </c>
      <c r="S29" s="17" t="b">
        <v>0</v>
      </c>
      <c r="T29" s="17" t="b">
        <f t="shared" ca="1" si="6"/>
        <v>0</v>
      </c>
      <c r="U29" s="17" t="b">
        <f t="shared" ca="1" si="7"/>
        <v>1</v>
      </c>
      <c r="V29" s="17" t="b">
        <f t="shared" ca="1" si="8"/>
        <v>0</v>
      </c>
      <c r="W29" s="17">
        <f t="shared" ca="1" si="9"/>
        <v>0</v>
      </c>
      <c r="X29" s="15">
        <f t="shared" ca="1" si="10"/>
        <v>44899.125</v>
      </c>
      <c r="Y29" s="15">
        <f t="shared" ca="1" si="10"/>
        <v>44899.125</v>
      </c>
      <c r="Z29" s="15">
        <f t="shared" ca="1" si="10"/>
        <v>44899.125</v>
      </c>
      <c r="AA29" s="17">
        <f t="shared" ca="1" si="11"/>
        <v>1</v>
      </c>
    </row>
    <row r="30" spans="1:27" s="17" customFormat="1" x14ac:dyDescent="0.25">
      <c r="A30" s="17" t="s">
        <v>867</v>
      </c>
      <c r="B30" s="17" t="s">
        <v>88</v>
      </c>
      <c r="H30" s="17" t="b" cm="1">
        <f t="array" aca="1" ref="H30" ca="1">FileExists(N30,NOW())</f>
        <v>1</v>
      </c>
      <c r="I30" s="17" t="b" cm="1">
        <f t="array" aca="1" ref="I30" ca="1">FileExists(O30,NOW())</f>
        <v>0</v>
      </c>
      <c r="K30" s="15" cm="1">
        <f t="array" aca="1" ref="K30" ca="1">IF(H30,fileModifiedDate(N30, NOW()),0)</f>
        <v>44899.296724537038</v>
      </c>
      <c r="L30" s="15" cm="1">
        <f t="array" aca="1" ref="L30" ca="1">IF(I30,fileModifiedDate(O30, NOW()),0)</f>
        <v>0</v>
      </c>
      <c r="M30" s="15"/>
      <c r="N30" s="16" t="str">
        <f t="shared" si="3"/>
        <v>D:\OneDrive-Sync\Christian Dior Couture\APAC Management - Reports - Reports\DClick\Images\VM22\JewelleryAndWatches_Units.png</v>
      </c>
      <c r="O30" s="16" t="str">
        <f t="shared" si="3"/>
        <v>D:\OneDrive-Sync\Christian Dior Couture\APAC Management - Reports - Reports\DClick\Images\VM24\JewelleryAndWatches_Units.png</v>
      </c>
      <c r="P30" s="16"/>
      <c r="Q30" s="17" t="b">
        <f t="shared" si="4"/>
        <v>0</v>
      </c>
      <c r="R30" s="17" t="b">
        <f t="shared" si="5"/>
        <v>0</v>
      </c>
      <c r="S30" s="17" t="b">
        <v>0</v>
      </c>
      <c r="T30" s="17" t="b">
        <f t="shared" ca="1" si="6"/>
        <v>0</v>
      </c>
      <c r="U30" s="17" t="b">
        <f t="shared" ca="1" si="7"/>
        <v>1</v>
      </c>
      <c r="V30" s="17" t="b">
        <f t="shared" ca="1" si="8"/>
        <v>0</v>
      </c>
      <c r="W30" s="17">
        <f t="shared" ca="1" si="9"/>
        <v>0</v>
      </c>
      <c r="X30" s="15">
        <f t="shared" ca="1" si="10"/>
        <v>44899.125</v>
      </c>
      <c r="Y30" s="15">
        <f t="shared" ca="1" si="10"/>
        <v>44899.125</v>
      </c>
      <c r="Z30" s="15">
        <f t="shared" ca="1" si="10"/>
        <v>44899.125</v>
      </c>
      <c r="AA30" s="17">
        <f t="shared" ca="1" si="11"/>
        <v>1</v>
      </c>
    </row>
    <row r="31" spans="1:27" s="17" customFormat="1" x14ac:dyDescent="0.25">
      <c r="A31" s="17" t="s">
        <v>867</v>
      </c>
      <c r="B31" s="17" t="s">
        <v>83</v>
      </c>
      <c r="H31" s="17" t="b" cm="1">
        <f t="array" aca="1" ref="H31" ca="1">FileExists(N31,NOW())</f>
        <v>1</v>
      </c>
      <c r="I31" s="17" t="b" cm="1">
        <f t="array" aca="1" ref="I31" ca="1">FileExists(O31,NOW())</f>
        <v>0</v>
      </c>
      <c r="K31" s="15" cm="1">
        <f t="array" aca="1" ref="K31" ca="1">IF(H31,fileModifiedDate(N31, NOW()),0)</f>
        <v>44899.298738425925</v>
      </c>
      <c r="L31" s="15" cm="1">
        <f t="array" aca="1" ref="L31" ca="1">IF(I31,fileModifiedDate(O31, NOW()),0)</f>
        <v>0</v>
      </c>
      <c r="M31" s="15"/>
      <c r="N31" s="16" t="str">
        <f t="shared" si="3"/>
        <v>D:\OneDrive-Sync\Christian Dior Couture\APAC Management - Reports - Reports\DClick\Images\VM22\Baby_NetSales.png</v>
      </c>
      <c r="O31" s="16" t="str">
        <f t="shared" si="3"/>
        <v>D:\OneDrive-Sync\Christian Dior Couture\APAC Management - Reports - Reports\DClick\Images\VM24\Baby_NetSales.png</v>
      </c>
      <c r="P31" s="16"/>
      <c r="Q31" s="17" t="b">
        <f t="shared" si="4"/>
        <v>0</v>
      </c>
      <c r="R31" s="17" t="b">
        <f t="shared" si="5"/>
        <v>0</v>
      </c>
      <c r="S31" s="17" t="b">
        <v>0</v>
      </c>
      <c r="T31" s="17" t="b">
        <f t="shared" ca="1" si="6"/>
        <v>0</v>
      </c>
      <c r="U31" s="17" t="b">
        <f t="shared" ca="1" si="7"/>
        <v>1</v>
      </c>
      <c r="V31" s="17" t="b">
        <f t="shared" ca="1" si="8"/>
        <v>0</v>
      </c>
      <c r="W31" s="17">
        <f t="shared" ca="1" si="9"/>
        <v>0</v>
      </c>
      <c r="X31" s="15">
        <f t="shared" ca="1" si="10"/>
        <v>44899.125</v>
      </c>
      <c r="Y31" s="15">
        <f t="shared" ca="1" si="10"/>
        <v>44899.125</v>
      </c>
      <c r="Z31" s="15">
        <f t="shared" ca="1" si="10"/>
        <v>44899.125</v>
      </c>
      <c r="AA31" s="17">
        <f t="shared" ca="1" si="11"/>
        <v>1</v>
      </c>
    </row>
    <row r="32" spans="1:27" s="17" customFormat="1" x14ac:dyDescent="0.25">
      <c r="A32" s="17" t="s">
        <v>867</v>
      </c>
      <c r="B32" s="17" t="s">
        <v>90</v>
      </c>
      <c r="H32" s="17" t="b" cm="1">
        <f t="array" aca="1" ref="H32" ca="1">FileExists(N32,NOW())</f>
        <v>1</v>
      </c>
      <c r="I32" s="17" t="b" cm="1">
        <f t="array" aca="1" ref="I32" ca="1">FileExists(O32,NOW())</f>
        <v>0</v>
      </c>
      <c r="K32" s="15" cm="1">
        <f t="array" aca="1" ref="K32" ca="1">IF(H32,fileModifiedDate(N32, NOW()),0)</f>
        <v>44899.299201388887</v>
      </c>
      <c r="L32" s="15" cm="1">
        <f t="array" aca="1" ref="L32" ca="1">IF(I32,fileModifiedDate(O32, NOW()),0)</f>
        <v>0</v>
      </c>
      <c r="M32" s="15"/>
      <c r="N32" s="16" t="str">
        <f>N$2&amp;"\"&amp;$B32</f>
        <v>D:\OneDrive-Sync\Christian Dior Couture\APAC Management - Reports - Reports\DClick\Images\VM22\Baby_Units.png</v>
      </c>
      <c r="O32" s="16" t="str">
        <f t="shared" ref="O32" si="12">O$2&amp;"\"&amp;$B32</f>
        <v>D:\OneDrive-Sync\Christian Dior Couture\APAC Management - Reports - Reports\DClick\Images\VM24\Baby_Units.png</v>
      </c>
      <c r="P32" s="16"/>
      <c r="Q32" s="17" t="b">
        <f t="shared" si="4"/>
        <v>0</v>
      </c>
      <c r="R32" s="17" t="b">
        <f t="shared" si="5"/>
        <v>0</v>
      </c>
      <c r="S32" s="17" t="b">
        <v>0</v>
      </c>
      <c r="T32" s="17" t="b">
        <f t="shared" ca="1" si="6"/>
        <v>0</v>
      </c>
      <c r="U32" s="17" t="b">
        <f t="shared" ca="1" si="7"/>
        <v>1</v>
      </c>
      <c r="V32" s="17" t="b">
        <f t="shared" ca="1" si="8"/>
        <v>0</v>
      </c>
      <c r="W32" s="17">
        <f t="shared" ca="1" si="9"/>
        <v>0</v>
      </c>
      <c r="X32" s="15">
        <f t="shared" ca="1" si="10"/>
        <v>44899.125</v>
      </c>
      <c r="Y32" s="15">
        <f t="shared" ca="1" si="10"/>
        <v>44899.125</v>
      </c>
      <c r="Z32" s="15">
        <f t="shared" ca="1" si="10"/>
        <v>44899.125</v>
      </c>
      <c r="AA32" s="17">
        <f t="shared" ca="1" si="11"/>
        <v>1</v>
      </c>
    </row>
    <row r="33" spans="1:28" s="17" customFormat="1" x14ac:dyDescent="0.25"/>
    <row r="34" spans="1:28" x14ac:dyDescent="0.25">
      <c r="A34" t="s">
        <v>856</v>
      </c>
      <c r="B34" s="3" t="s">
        <v>791</v>
      </c>
      <c r="C34" t="s">
        <v>828</v>
      </c>
      <c r="E34" t="b">
        <v>0</v>
      </c>
      <c r="G34" t="b">
        <v>0</v>
      </c>
      <c r="H34" t="b" cm="1">
        <f t="array" aca="1" ref="H34" ca="1">FileExists(N34,NOW())</f>
        <v>1</v>
      </c>
      <c r="I34" t="b" cm="1">
        <f t="array" aca="1" ref="I34" ca="1">FileExists(O34,NOW())</f>
        <v>0</v>
      </c>
      <c r="J34" s="17" t="b" cm="1">
        <f t="array" aca="1" ref="J34" ca="1">FileExists(P34,NOW())</f>
        <v>1</v>
      </c>
      <c r="K34" s="15" cm="1">
        <f t="array" aca="1" ref="K34" ca="1">IF(H34,fileModifiedDate(N34, NOW()),0)</f>
        <v>44899.272731481484</v>
      </c>
      <c r="L34" s="15" cm="1">
        <f t="array" aca="1" ref="L34" ca="1">IF(I34,fileModifiedDate(O34, NOW()),0)</f>
        <v>0</v>
      </c>
      <c r="M34" s="15" cm="1">
        <f t="array" aca="1" ref="M34" ca="1">IF(J34,fileModifiedDate(P34, NOW()),0)</f>
        <v>44899.272731481484</v>
      </c>
      <c r="N34" s="16" t="str">
        <f>N$2&amp;"\"&amp;$B34&amp;"_NetSales.png"</f>
        <v>D:\OneDrive-Sync\Christian Dior Couture\APAC Management - Reports - Reports\DClick\Images\VM22\SubCategoryKR_NetSales.png</v>
      </c>
      <c r="O34" s="16" t="str">
        <f>O$2&amp;"\"&amp;$B34&amp;"_NetSales.png"</f>
        <v>D:\OneDrive-Sync\Christian Dior Couture\APAC Management - Reports - Reports\DClick\Images\VM24\SubCategoryKR_NetSales.png</v>
      </c>
      <c r="P34" s="16" t="str">
        <f>P$2&amp;"\"&amp;$B34&amp;"_NetSales.png"</f>
        <v>D:\OneDrive-Sync\Christian Dior Couture\APAC Management - Reports - Reports\DClick\Images\SubCategoryKR_NetSales.png</v>
      </c>
      <c r="Q34" t="b">
        <f>S34</f>
        <v>0</v>
      </c>
      <c r="R34" t="b">
        <f>S34</f>
        <v>0</v>
      </c>
      <c r="S34" t="b">
        <v>0</v>
      </c>
      <c r="T34" t="b">
        <f t="shared" ref="T34:T59" ca="1" si="13">NOT(AND(IF(K34,K34&gt;X34,FALSE),NOT(Q34)))</f>
        <v>0</v>
      </c>
      <c r="U34" t="b">
        <f t="shared" ref="U34:V61" ca="1" si="14">NOT(AND(IF(L34,L34&gt;Y34,FALSE),NOT(R34)))</f>
        <v>1</v>
      </c>
      <c r="V34" s="17" t="b">
        <f t="shared" ca="1" si="14"/>
        <v>0</v>
      </c>
      <c r="W34">
        <f ca="1">IF(V34,1,0)</f>
        <v>0</v>
      </c>
      <c r="X34" s="15">
        <f ca="1">IF(NOW()&gt;X$2,X$2,X$2-1)</f>
        <v>44899.125</v>
      </c>
      <c r="Y34" s="15">
        <f ca="1">IF(NOW()&gt;Y$2,Y$2,Y$2-1)</f>
        <v>44899.125</v>
      </c>
      <c r="Z34" s="15">
        <f ca="1">IF(NOW()&gt;Z$2,Z$2,Z$2-1)</f>
        <v>44899.125</v>
      </c>
      <c r="AA34">
        <f ca="1">IF(K34&gt;L34,1,2)</f>
        <v>1</v>
      </c>
      <c r="AB34" s="16" t="str">
        <f ca="1">IF(V34,"",IF(AA34=1,N34,O34))</f>
        <v>D:\OneDrive-Sync\Christian Dior Couture\APAC Management - Reports - Reports\DClick\Images\VM22\SubCategoryKR_NetSales.png</v>
      </c>
    </row>
    <row r="35" spans="1:28" x14ac:dyDescent="0.25">
      <c r="A35" t="s">
        <v>856</v>
      </c>
      <c r="B35" t="s">
        <v>765</v>
      </c>
      <c r="C35" t="s">
        <v>766</v>
      </c>
      <c r="E35" t="b">
        <v>1</v>
      </c>
      <c r="F35">
        <v>870</v>
      </c>
      <c r="G35" t="b">
        <v>0</v>
      </c>
      <c r="H35" t="b" cm="1">
        <f t="array" aca="1" ref="H35" ca="1">FileExists(N35,NOW())</f>
        <v>1</v>
      </c>
      <c r="I35" t="b" cm="1">
        <f t="array" aca="1" ref="I35" ca="1">FileExists(O35,NOW())</f>
        <v>0</v>
      </c>
      <c r="J35" s="17" t="b" cm="1">
        <f t="array" aca="1" ref="J35" ca="1">FileExists(P35,NOW())</f>
        <v>1</v>
      </c>
      <c r="K35" s="15" cm="1">
        <f t="array" aca="1" ref="K35" ca="1">IF(H35,fileModifiedDate(N35, NOW()),0)</f>
        <v>44899.273530092592</v>
      </c>
      <c r="L35" s="15" cm="1">
        <f t="array" aca="1" ref="L35" ca="1">IF(I35,fileModifiedDate(O35, NOW()),0)</f>
        <v>0</v>
      </c>
      <c r="M35" s="15" cm="1">
        <f t="array" aca="1" ref="M35" ca="1">IF(J35,fileModifiedDate(P35, NOW()),0)</f>
        <v>44899.273530092592</v>
      </c>
      <c r="N35" s="16" t="str">
        <f t="shared" ref="N35:N72" si="15">N$2&amp;"\"&amp;$B35&amp;"_NetSales.png"</f>
        <v>D:\OneDrive-Sync\Christian Dior Couture\APAC Management - Reports - Reports\DClick\Images\VM22\CountryStoreKR_NetSales.png</v>
      </c>
      <c r="O35" s="16" t="str">
        <f t="shared" ref="O35:P72" si="16">O$2&amp;"\"&amp;$B35&amp;"_NetSales.png"</f>
        <v>D:\OneDrive-Sync\Christian Dior Couture\APAC Management - Reports - Reports\DClick\Images\VM24\CountryStoreKR_NetSales.png</v>
      </c>
      <c r="P35" s="16" t="str">
        <f t="shared" si="16"/>
        <v>D:\OneDrive-Sync\Christian Dior Couture\APAC Management - Reports - Reports\DClick\Images\CountryStoreKR_NetSales.png</v>
      </c>
      <c r="Q35" t="b">
        <f t="shared" ref="Q35:Q59" si="17">S35</f>
        <v>0</v>
      </c>
      <c r="R35" t="b">
        <f t="shared" ref="R35:R59" si="18">S35</f>
        <v>0</v>
      </c>
      <c r="S35" t="b">
        <v>0</v>
      </c>
      <c r="T35" t="b">
        <f t="shared" ca="1" si="13"/>
        <v>0</v>
      </c>
      <c r="U35" t="b">
        <f t="shared" ca="1" si="14"/>
        <v>1</v>
      </c>
      <c r="V35" s="17" t="b">
        <f t="shared" ca="1" si="14"/>
        <v>0</v>
      </c>
      <c r="W35">
        <f t="shared" ref="W35:W72" ca="1" si="19">IF(V35,1,0)</f>
        <v>0</v>
      </c>
      <c r="X35" s="15">
        <f t="shared" ref="X35:X72" ca="1" si="20">IF(NOW()&gt;X$2,X$2,X$2-1)</f>
        <v>44899.125</v>
      </c>
      <c r="Y35" s="15">
        <f t="shared" ref="Y35:Z72" ca="1" si="21">IF(NOW()&gt;$Y$2,$Y$2,$Y$2-1)</f>
        <v>44899.125</v>
      </c>
      <c r="Z35" s="15">
        <f t="shared" ca="1" si="21"/>
        <v>44899.125</v>
      </c>
      <c r="AA35">
        <f t="shared" ref="AA35:AA72" ca="1" si="22">IF(K35&gt;L35,1,2)</f>
        <v>1</v>
      </c>
      <c r="AB35" s="16" t="str">
        <f t="shared" ref="AB35:AB72" ca="1" si="23">IF(V35,"",IF(AA35=1,N35,O35))</f>
        <v>D:\OneDrive-Sync\Christian Dior Couture\APAC Management - Reports - Reports\DClick\Images\VM22\CountryStoreKR_NetSales.png</v>
      </c>
    </row>
    <row r="36" spans="1:28" x14ac:dyDescent="0.25">
      <c r="A36" t="s">
        <v>856</v>
      </c>
      <c r="B36" s="3" t="s">
        <v>789</v>
      </c>
      <c r="C36" t="s">
        <v>826</v>
      </c>
      <c r="E36" t="b">
        <v>0</v>
      </c>
      <c r="G36" t="b">
        <v>0</v>
      </c>
      <c r="H36" t="b" cm="1">
        <f t="array" aca="1" ref="H36" ca="1">FileExists(N36,NOW())</f>
        <v>1</v>
      </c>
      <c r="I36" t="b" cm="1">
        <f t="array" aca="1" ref="I36" ca="1">FileExists(O36,NOW())</f>
        <v>0</v>
      </c>
      <c r="J36" s="17" t="b" cm="1">
        <f t="array" aca="1" ref="J36" ca="1">FileExists(P36,NOW())</f>
        <v>1</v>
      </c>
      <c r="K36" s="15" cm="1">
        <f t="array" aca="1" ref="K36" ca="1">IF(H36,fileModifiedDate(N36, NOW()),0)</f>
        <v>44899.274317129632</v>
      </c>
      <c r="L36" s="15" cm="1">
        <f t="array" aca="1" ref="L36" ca="1">IF(I36,fileModifiedDate(O36, NOW()),0)</f>
        <v>0</v>
      </c>
      <c r="M36" s="15" cm="1">
        <f t="array" aca="1" ref="M36" ca="1">IF(J36,fileModifiedDate(P36, NOW()),0)</f>
        <v>44899.274317129632</v>
      </c>
      <c r="N36" s="16" t="str">
        <f t="shared" si="15"/>
        <v>D:\OneDrive-Sync\Christian Dior Couture\APAC Management - Reports - Reports\DClick\Images\VM22\SubCategoryHKMO_NetSales.png</v>
      </c>
      <c r="O36" s="16" t="str">
        <f t="shared" si="16"/>
        <v>D:\OneDrive-Sync\Christian Dior Couture\APAC Management - Reports - Reports\DClick\Images\VM24\SubCategoryHKMO_NetSales.png</v>
      </c>
      <c r="P36" s="16" t="str">
        <f t="shared" si="16"/>
        <v>D:\OneDrive-Sync\Christian Dior Couture\APAC Management - Reports - Reports\DClick\Images\SubCategoryHKMO_NetSales.png</v>
      </c>
      <c r="Q36" t="b">
        <f t="shared" si="17"/>
        <v>0</v>
      </c>
      <c r="R36" t="b">
        <f t="shared" si="18"/>
        <v>0</v>
      </c>
      <c r="S36" t="b">
        <v>0</v>
      </c>
      <c r="T36" t="b">
        <f t="shared" ca="1" si="13"/>
        <v>0</v>
      </c>
      <c r="U36" t="b">
        <f t="shared" ca="1" si="14"/>
        <v>1</v>
      </c>
      <c r="V36" s="17" t="b">
        <f t="shared" ca="1" si="14"/>
        <v>0</v>
      </c>
      <c r="W36">
        <f t="shared" ca="1" si="19"/>
        <v>0</v>
      </c>
      <c r="X36" s="15">
        <f t="shared" ca="1" si="20"/>
        <v>44899.125</v>
      </c>
      <c r="Y36" s="15">
        <f t="shared" ca="1" si="21"/>
        <v>44899.125</v>
      </c>
      <c r="Z36" s="15">
        <f t="shared" ca="1" si="21"/>
        <v>44899.125</v>
      </c>
      <c r="AA36">
        <f t="shared" ca="1" si="22"/>
        <v>1</v>
      </c>
      <c r="AB36" s="16" t="str">
        <f t="shared" ca="1" si="23"/>
        <v>D:\OneDrive-Sync\Christian Dior Couture\APAC Management - Reports - Reports\DClick\Images\VM22\SubCategoryHKMO_NetSales.png</v>
      </c>
    </row>
    <row r="37" spans="1:28" x14ac:dyDescent="0.25">
      <c r="A37" t="s">
        <v>856</v>
      </c>
      <c r="B37" t="s">
        <v>764</v>
      </c>
      <c r="C37" t="s">
        <v>763</v>
      </c>
      <c r="E37" t="b">
        <v>1</v>
      </c>
      <c r="F37">
        <v>870</v>
      </c>
      <c r="G37" t="b">
        <v>0</v>
      </c>
      <c r="H37" t="b" cm="1">
        <f t="array" aca="1" ref="H37" ca="1">FileExists(N37,NOW())</f>
        <v>1</v>
      </c>
      <c r="I37" t="b" cm="1">
        <f t="array" aca="1" ref="I37" ca="1">FileExists(O37,NOW())</f>
        <v>0</v>
      </c>
      <c r="J37" s="17" t="b" cm="1">
        <f t="array" aca="1" ref="J37" ca="1">FileExists(P37,NOW())</f>
        <v>1</v>
      </c>
      <c r="K37" s="15" cm="1">
        <f t="array" aca="1" ref="K37" ca="1">IF(H37,fileModifiedDate(N37, NOW()),0)</f>
        <v>44899.275104166663</v>
      </c>
      <c r="L37" s="15" cm="1">
        <f t="array" aca="1" ref="L37" ca="1">IF(I37,fileModifiedDate(O37, NOW()),0)</f>
        <v>0</v>
      </c>
      <c r="M37" s="15" cm="1">
        <f t="array" aca="1" ref="M37" ca="1">IF(J37,fileModifiedDate(P37, NOW()),0)</f>
        <v>44899.275104166663</v>
      </c>
      <c r="N37" s="16" t="str">
        <f t="shared" si="15"/>
        <v>D:\OneDrive-Sync\Christian Dior Couture\APAC Management - Reports - Reports\DClick\Images\VM22\CountryStoreHKMO_NetSales.png</v>
      </c>
      <c r="O37" s="16" t="str">
        <f t="shared" si="16"/>
        <v>D:\OneDrive-Sync\Christian Dior Couture\APAC Management - Reports - Reports\DClick\Images\VM24\CountryStoreHKMO_NetSales.png</v>
      </c>
      <c r="P37" s="16" t="str">
        <f t="shared" si="16"/>
        <v>D:\OneDrive-Sync\Christian Dior Couture\APAC Management - Reports - Reports\DClick\Images\CountryStoreHKMO_NetSales.png</v>
      </c>
      <c r="Q37" t="b">
        <f t="shared" si="17"/>
        <v>0</v>
      </c>
      <c r="R37" t="b">
        <f t="shared" si="18"/>
        <v>0</v>
      </c>
      <c r="S37" t="b">
        <v>0</v>
      </c>
      <c r="T37" t="b">
        <f t="shared" ca="1" si="13"/>
        <v>0</v>
      </c>
      <c r="U37" t="b">
        <f t="shared" ca="1" si="14"/>
        <v>1</v>
      </c>
      <c r="V37" s="17" t="b">
        <f t="shared" ca="1" si="14"/>
        <v>0</v>
      </c>
      <c r="W37">
        <f t="shared" ca="1" si="19"/>
        <v>0</v>
      </c>
      <c r="X37" s="15">
        <f t="shared" ca="1" si="20"/>
        <v>44899.125</v>
      </c>
      <c r="Y37" s="15">
        <f t="shared" ca="1" si="21"/>
        <v>44899.125</v>
      </c>
      <c r="Z37" s="15">
        <f t="shared" ca="1" si="21"/>
        <v>44899.125</v>
      </c>
      <c r="AA37">
        <f t="shared" ca="1" si="22"/>
        <v>1</v>
      </c>
      <c r="AB37" s="16" t="str">
        <f t="shared" ca="1" si="23"/>
        <v>D:\OneDrive-Sync\Christian Dior Couture\APAC Management - Reports - Reports\DClick\Images\VM22\CountryStoreHKMO_NetSales.png</v>
      </c>
    </row>
    <row r="38" spans="1:28" x14ac:dyDescent="0.25">
      <c r="A38" t="s">
        <v>856</v>
      </c>
      <c r="B38" s="3" t="s">
        <v>788</v>
      </c>
      <c r="C38" t="s">
        <v>825</v>
      </c>
      <c r="E38" t="b">
        <v>0</v>
      </c>
      <c r="G38" t="b">
        <v>0</v>
      </c>
      <c r="H38" t="b" cm="1">
        <f t="array" aca="1" ref="H38" ca="1">FileExists(N38,NOW())</f>
        <v>1</v>
      </c>
      <c r="I38" t="b" cm="1">
        <f t="array" aca="1" ref="I38" ca="1">FileExists(O38,NOW())</f>
        <v>0</v>
      </c>
      <c r="J38" s="17" t="b" cm="1">
        <f t="array" aca="1" ref="J38" ca="1">FileExists(P38,NOW())</f>
        <v>1</v>
      </c>
      <c r="K38" s="15" cm="1">
        <f t="array" aca="1" ref="K38" ca="1">IF(H38,fileModifiedDate(N38, NOW()),0)</f>
        <v>44899.275752314818</v>
      </c>
      <c r="L38" s="15" cm="1">
        <f t="array" aca="1" ref="L38" ca="1">IF(I38,fileModifiedDate(O38, NOW()),0)</f>
        <v>0</v>
      </c>
      <c r="M38" s="15" cm="1">
        <f t="array" aca="1" ref="M38" ca="1">IF(J38,fileModifiedDate(P38, NOW()),0)</f>
        <v>44899.275752314818</v>
      </c>
      <c r="N38" s="16" t="str">
        <f t="shared" si="15"/>
        <v>D:\OneDrive-Sync\Christian Dior Couture\APAC Management - Reports - Reports\DClick\Images\VM22\SubCategoryAUNZ_NetSales.png</v>
      </c>
      <c r="O38" s="16" t="str">
        <f t="shared" si="16"/>
        <v>D:\OneDrive-Sync\Christian Dior Couture\APAC Management - Reports - Reports\DClick\Images\VM24\SubCategoryAUNZ_NetSales.png</v>
      </c>
      <c r="P38" s="16" t="str">
        <f t="shared" si="16"/>
        <v>D:\OneDrive-Sync\Christian Dior Couture\APAC Management - Reports - Reports\DClick\Images\SubCategoryAUNZ_NetSales.png</v>
      </c>
      <c r="Q38" t="b">
        <f t="shared" si="17"/>
        <v>0</v>
      </c>
      <c r="R38" t="b">
        <f t="shared" si="18"/>
        <v>0</v>
      </c>
      <c r="S38" t="b">
        <v>0</v>
      </c>
      <c r="T38" t="b">
        <f t="shared" ca="1" si="13"/>
        <v>0</v>
      </c>
      <c r="U38" t="b">
        <f t="shared" ca="1" si="14"/>
        <v>1</v>
      </c>
      <c r="V38" s="17" t="b">
        <f t="shared" ca="1" si="14"/>
        <v>0</v>
      </c>
      <c r="W38">
        <f t="shared" ca="1" si="19"/>
        <v>0</v>
      </c>
      <c r="X38" s="15">
        <f t="shared" ca="1" si="20"/>
        <v>44899.125</v>
      </c>
      <c r="Y38" s="15">
        <f t="shared" ca="1" si="21"/>
        <v>44899.125</v>
      </c>
      <c r="Z38" s="15">
        <f t="shared" ca="1" si="21"/>
        <v>44899.125</v>
      </c>
      <c r="AA38">
        <f t="shared" ca="1" si="22"/>
        <v>1</v>
      </c>
      <c r="AB38" s="16" t="str">
        <f t="shared" ca="1" si="23"/>
        <v>D:\OneDrive-Sync\Christian Dior Couture\APAC Management - Reports - Reports\DClick\Images\VM22\SubCategoryAUNZ_NetSales.png</v>
      </c>
    </row>
    <row r="39" spans="1:28" x14ac:dyDescent="0.25">
      <c r="A39" t="s">
        <v>856</v>
      </c>
      <c r="B39" t="s">
        <v>768</v>
      </c>
      <c r="C39" t="s">
        <v>767</v>
      </c>
      <c r="E39" t="b">
        <v>1</v>
      </c>
      <c r="F39">
        <v>800</v>
      </c>
      <c r="G39" t="b">
        <v>0</v>
      </c>
      <c r="H39" t="b" cm="1">
        <f t="array" aca="1" ref="H39" ca="1">FileExists(N39,NOW())</f>
        <v>1</v>
      </c>
      <c r="I39" t="b" cm="1">
        <f t="array" aca="1" ref="I39" ca="1">FileExists(O39,NOW())</f>
        <v>0</v>
      </c>
      <c r="J39" s="17" t="b" cm="1">
        <f t="array" aca="1" ref="J39" ca="1">FileExists(P39,NOW())</f>
        <v>1</v>
      </c>
      <c r="K39" s="15" cm="1">
        <f t="array" aca="1" ref="K39" ca="1">IF(H39,fileModifiedDate(N39, NOW()),0)</f>
        <v>44899.27652777778</v>
      </c>
      <c r="L39" s="15" cm="1">
        <f t="array" aca="1" ref="L39" ca="1">IF(I39,fileModifiedDate(O39, NOW()),0)</f>
        <v>0</v>
      </c>
      <c r="M39" s="15" cm="1">
        <f t="array" aca="1" ref="M39" ca="1">IF(J39,fileModifiedDate(P39, NOW()),0)</f>
        <v>44899.27652777778</v>
      </c>
      <c r="N39" s="16" t="str">
        <f t="shared" si="15"/>
        <v>D:\OneDrive-Sync\Christian Dior Couture\APAC Management - Reports - Reports\DClick\Images\VM22\CountryStoreAUNZ_NetSales.png</v>
      </c>
      <c r="O39" s="16" t="str">
        <f t="shared" si="16"/>
        <v>D:\OneDrive-Sync\Christian Dior Couture\APAC Management - Reports - Reports\DClick\Images\VM24\CountryStoreAUNZ_NetSales.png</v>
      </c>
      <c r="P39" s="16" t="str">
        <f t="shared" si="16"/>
        <v>D:\OneDrive-Sync\Christian Dior Couture\APAC Management - Reports - Reports\DClick\Images\CountryStoreAUNZ_NetSales.png</v>
      </c>
      <c r="Q39" t="b">
        <f t="shared" si="17"/>
        <v>0</v>
      </c>
      <c r="R39" t="b">
        <f t="shared" si="18"/>
        <v>0</v>
      </c>
      <c r="S39" t="b">
        <v>0</v>
      </c>
      <c r="T39" t="b">
        <f t="shared" ca="1" si="13"/>
        <v>0</v>
      </c>
      <c r="U39" t="b">
        <f t="shared" ca="1" si="14"/>
        <v>1</v>
      </c>
      <c r="V39" s="17" t="b">
        <f t="shared" ca="1" si="14"/>
        <v>0</v>
      </c>
      <c r="W39">
        <f t="shared" ca="1" si="19"/>
        <v>0</v>
      </c>
      <c r="X39" s="15">
        <f t="shared" ca="1" si="20"/>
        <v>44899.125</v>
      </c>
      <c r="Y39" s="15">
        <f t="shared" ca="1" si="21"/>
        <v>44899.125</v>
      </c>
      <c r="Z39" s="15">
        <f t="shared" ca="1" si="21"/>
        <v>44899.125</v>
      </c>
      <c r="AA39">
        <f t="shared" ca="1" si="22"/>
        <v>1</v>
      </c>
      <c r="AB39" s="16" t="str">
        <f t="shared" ca="1" si="23"/>
        <v>D:\OneDrive-Sync\Christian Dior Couture\APAC Management - Reports - Reports\DClick\Images\VM22\CountryStoreAUNZ_NetSales.png</v>
      </c>
    </row>
    <row r="40" spans="1:28" x14ac:dyDescent="0.25">
      <c r="A40" t="s">
        <v>856</v>
      </c>
      <c r="B40" s="14" t="s">
        <v>467</v>
      </c>
      <c r="C40" t="s">
        <v>468</v>
      </c>
      <c r="E40" t="b">
        <v>0</v>
      </c>
      <c r="G40" t="b">
        <v>0</v>
      </c>
      <c r="H40" t="b" cm="1">
        <f t="array" aca="1" ref="H40" ca="1">FileExists(N40,NOW())</f>
        <v>1</v>
      </c>
      <c r="I40" t="b" cm="1">
        <f t="array" aca="1" ref="I40" ca="1">FileExists(O40,NOW())</f>
        <v>0</v>
      </c>
      <c r="J40" s="17" t="b" cm="1">
        <f t="array" aca="1" ref="J40" ca="1">FileExists(P40,NOW())</f>
        <v>1</v>
      </c>
      <c r="K40" s="15" cm="1">
        <f t="array" aca="1" ref="K40" ca="1">IF(H40,fileModifiedDate(N40, NOW()),0)</f>
        <v>44899.277199074073</v>
      </c>
      <c r="L40" s="15" cm="1">
        <f t="array" aca="1" ref="L40" ca="1">IF(I40,fileModifiedDate(O40, NOW()),0)</f>
        <v>0</v>
      </c>
      <c r="M40" s="15" cm="1">
        <f t="array" aca="1" ref="M40" ca="1">IF(J40,fileModifiedDate(P40, NOW()),0)</f>
        <v>44899.277199074073</v>
      </c>
      <c r="N40" s="16" t="str">
        <f t="shared" si="15"/>
        <v>D:\OneDrive-Sync\Christian Dior Couture\APAC Management - Reports - Reports\DClick\Images\VM22\SubCategory_NetSales.png</v>
      </c>
      <c r="O40" s="16" t="str">
        <f t="shared" si="16"/>
        <v>D:\OneDrive-Sync\Christian Dior Couture\APAC Management - Reports - Reports\DClick\Images\VM24\SubCategory_NetSales.png</v>
      </c>
      <c r="P40" s="16" t="str">
        <f t="shared" si="16"/>
        <v>D:\OneDrive-Sync\Christian Dior Couture\APAC Management - Reports - Reports\DClick\Images\SubCategory_NetSales.png</v>
      </c>
      <c r="Q40" t="b">
        <f t="shared" si="17"/>
        <v>0</v>
      </c>
      <c r="R40" t="b">
        <f t="shared" si="18"/>
        <v>0</v>
      </c>
      <c r="S40" t="b">
        <v>0</v>
      </c>
      <c r="T40" t="b">
        <f t="shared" ca="1" si="13"/>
        <v>0</v>
      </c>
      <c r="U40" t="b">
        <f t="shared" ca="1" si="14"/>
        <v>1</v>
      </c>
      <c r="V40" s="17" t="b">
        <f t="shared" ca="1" si="14"/>
        <v>0</v>
      </c>
      <c r="W40">
        <f t="shared" ca="1" si="19"/>
        <v>0</v>
      </c>
      <c r="X40" s="15">
        <f t="shared" ca="1" si="20"/>
        <v>44899.125</v>
      </c>
      <c r="Y40" s="15">
        <f t="shared" ca="1" si="21"/>
        <v>44899.125</v>
      </c>
      <c r="Z40" s="15">
        <f t="shared" ca="1" si="21"/>
        <v>44899.125</v>
      </c>
      <c r="AA40">
        <f t="shared" ca="1" si="22"/>
        <v>1</v>
      </c>
      <c r="AB40" s="16" t="str">
        <f t="shared" ca="1" si="23"/>
        <v>D:\OneDrive-Sync\Christian Dior Couture\APAC Management - Reports - Reports\DClick\Images\VM22\SubCategory_NetSales.png</v>
      </c>
    </row>
    <row r="41" spans="1:28" x14ac:dyDescent="0.25">
      <c r="A41" t="s">
        <v>856</v>
      </c>
      <c r="B41" s="14" t="s">
        <v>466</v>
      </c>
      <c r="C41" t="s">
        <v>465</v>
      </c>
      <c r="E41" t="b">
        <v>0</v>
      </c>
      <c r="G41" t="b">
        <v>0</v>
      </c>
      <c r="H41" t="b" cm="1">
        <f t="array" aca="1" ref="H41" ca="1">FileExists(N41,NOW())</f>
        <v>1</v>
      </c>
      <c r="I41" t="b" cm="1">
        <f t="array" aca="1" ref="I41" ca="1">FileExists(O41,NOW())</f>
        <v>0</v>
      </c>
      <c r="J41" s="17" t="b" cm="1">
        <f t="array" aca="1" ref="J41" ca="1">FileExists(P41,NOW())</f>
        <v>1</v>
      </c>
      <c r="K41" s="15" cm="1">
        <f t="array" aca="1" ref="K41" ca="1">IF(H41,fileModifiedDate(N41, NOW()),0)</f>
        <v>44899.278379629628</v>
      </c>
      <c r="L41" s="15" cm="1">
        <f t="array" aca="1" ref="L41" ca="1">IF(I41,fileModifiedDate(O41, NOW()),0)</f>
        <v>0</v>
      </c>
      <c r="M41" s="15" cm="1">
        <f t="array" aca="1" ref="M41" ca="1">IF(J41,fileModifiedDate(P41, NOW()),0)</f>
        <v>44899.278379629628</v>
      </c>
      <c r="N41" s="16" t="str">
        <f t="shared" si="15"/>
        <v>D:\OneDrive-Sync\Christian Dior Couture\APAC Management - Reports - Reports\DClick\Images\VM22\CountryStore_NetSales.png</v>
      </c>
      <c r="O41" s="16" t="str">
        <f t="shared" si="16"/>
        <v>D:\OneDrive-Sync\Christian Dior Couture\APAC Management - Reports - Reports\DClick\Images\VM24\CountryStore_NetSales.png</v>
      </c>
      <c r="P41" s="16" t="str">
        <f t="shared" si="16"/>
        <v>D:\OneDrive-Sync\Christian Dior Couture\APAC Management - Reports - Reports\DClick\Images\CountryStore_NetSales.png</v>
      </c>
      <c r="Q41" t="b">
        <f t="shared" si="17"/>
        <v>0</v>
      </c>
      <c r="R41" t="b">
        <f t="shared" si="18"/>
        <v>0</v>
      </c>
      <c r="S41" t="b">
        <v>0</v>
      </c>
      <c r="T41" t="b">
        <f t="shared" ca="1" si="13"/>
        <v>0</v>
      </c>
      <c r="U41" t="b">
        <f t="shared" ca="1" si="14"/>
        <v>1</v>
      </c>
      <c r="V41" s="17" t="b">
        <f t="shared" ca="1" si="14"/>
        <v>0</v>
      </c>
      <c r="W41">
        <f t="shared" ca="1" si="19"/>
        <v>0</v>
      </c>
      <c r="X41" s="15">
        <f t="shared" ca="1" si="20"/>
        <v>44899.125</v>
      </c>
      <c r="Y41" s="15">
        <f t="shared" ca="1" si="21"/>
        <v>44899.125</v>
      </c>
      <c r="Z41" s="15">
        <f t="shared" ca="1" si="21"/>
        <v>44899.125</v>
      </c>
      <c r="AA41">
        <f t="shared" ca="1" si="22"/>
        <v>1</v>
      </c>
      <c r="AB41" s="16" t="str">
        <f t="shared" ca="1" si="23"/>
        <v>D:\OneDrive-Sync\Christian Dior Couture\APAC Management - Reports - Reports\DClick\Images\VM22\CountryStore_NetSales.png</v>
      </c>
    </row>
    <row r="42" spans="1:28" s="17" customFormat="1" x14ac:dyDescent="0.25">
      <c r="A42" s="17" t="s">
        <v>856</v>
      </c>
      <c r="B42" s="14" t="s">
        <v>467</v>
      </c>
      <c r="C42" s="17" t="s">
        <v>468</v>
      </c>
      <c r="E42" s="17" t="b">
        <v>0</v>
      </c>
      <c r="G42" s="17" t="b">
        <v>0</v>
      </c>
      <c r="H42" s="17" t="b" cm="1">
        <f t="array" aca="1" ref="H42" ca="1">FileExists(N42,NOW())</f>
        <v>1</v>
      </c>
      <c r="I42" s="17" t="b" cm="1">
        <f t="array" aca="1" ref="I42" ca="1">FileExists(O42,NOW())</f>
        <v>0</v>
      </c>
      <c r="J42" s="17" t="b" cm="1">
        <f t="array" aca="1" ref="J42" ca="1">FileExists(P42,NOW())</f>
        <v>1</v>
      </c>
      <c r="K42" s="15" cm="1">
        <f t="array" aca="1" ref="K42" ca="1">IF(H42,fileModifiedDate(N42, NOW()),0)</f>
        <v>44899.277650462966</v>
      </c>
      <c r="L42" s="15" cm="1">
        <f t="array" aca="1" ref="L42" ca="1">IF(I42,fileModifiedDate(O42, NOW()),0)</f>
        <v>0</v>
      </c>
      <c r="M42" s="15" cm="1">
        <f t="array" aca="1" ref="M42" ca="1">IF(J42,fileModifiedDate(P42, NOW()),0)</f>
        <v>44899.277650462966</v>
      </c>
      <c r="N42" s="16" t="str">
        <f t="shared" ref="N42:P43" si="24">N$2&amp;"\"&amp;$B42&amp;"_Units.png"</f>
        <v>D:\OneDrive-Sync\Christian Dior Couture\APAC Management - Reports - Reports\DClick\Images\VM22\SubCategory_Units.png</v>
      </c>
      <c r="O42" s="16" t="str">
        <f t="shared" si="24"/>
        <v>D:\OneDrive-Sync\Christian Dior Couture\APAC Management - Reports - Reports\DClick\Images\VM24\SubCategory_Units.png</v>
      </c>
      <c r="P42" s="16" t="str">
        <f t="shared" si="24"/>
        <v>D:\OneDrive-Sync\Christian Dior Couture\APAC Management - Reports - Reports\DClick\Images\SubCategory_Units.png</v>
      </c>
      <c r="Q42" s="17" t="b">
        <f t="shared" ref="Q42:Q43" si="25">S42</f>
        <v>0</v>
      </c>
      <c r="R42" s="17" t="b">
        <f t="shared" ref="R42:R43" si="26">S42</f>
        <v>0</v>
      </c>
      <c r="S42" s="17" t="b">
        <v>0</v>
      </c>
      <c r="T42" s="17" t="b">
        <f t="shared" ref="T42:T43" ca="1" si="27">NOT(AND(IF(K42,K42&gt;X42,FALSE),NOT(Q42)))</f>
        <v>0</v>
      </c>
      <c r="U42" s="17" t="b">
        <f t="shared" ref="U42:U43" ca="1" si="28">NOT(AND(IF(L42,L42&gt;Y42,FALSE),NOT(R42)))</f>
        <v>1</v>
      </c>
      <c r="V42" s="17" t="b">
        <f t="shared" ref="V42:V43" ca="1" si="29">NOT(AND(IF(M42,M42&gt;Z42,FALSE),NOT(S42)))</f>
        <v>0</v>
      </c>
      <c r="W42" s="17">
        <f t="shared" ref="W42:W43" ca="1" si="30">IF(V42,1,0)</f>
        <v>0</v>
      </c>
      <c r="X42" s="15">
        <f t="shared" ca="1" si="20"/>
        <v>44899.125</v>
      </c>
      <c r="Y42" s="15">
        <f t="shared" ca="1" si="21"/>
        <v>44899.125</v>
      </c>
      <c r="Z42" s="15">
        <f t="shared" ca="1" si="21"/>
        <v>44899.125</v>
      </c>
      <c r="AA42" s="17">
        <f t="shared" ref="AA42:AA43" ca="1" si="31">IF(K42&gt;L42,1,2)</f>
        <v>1</v>
      </c>
      <c r="AB42" s="16" t="str">
        <f t="shared" ref="AB42:AB43" ca="1" si="32">IF(V42,"",IF(AA42=1,N42,O42))</f>
        <v>D:\OneDrive-Sync\Christian Dior Couture\APAC Management - Reports - Reports\DClick\Images\VM22\SubCategory_Units.png</v>
      </c>
    </row>
    <row r="43" spans="1:28" s="17" customFormat="1" x14ac:dyDescent="0.25">
      <c r="A43" s="17" t="s">
        <v>856</v>
      </c>
      <c r="B43" s="14" t="s">
        <v>466</v>
      </c>
      <c r="C43" s="17" t="s">
        <v>465</v>
      </c>
      <c r="E43" s="17" t="b">
        <v>0</v>
      </c>
      <c r="G43" s="17" t="b">
        <v>0</v>
      </c>
      <c r="H43" s="17" t="b" cm="1">
        <f t="array" aca="1" ref="H43" ca="1">FileExists(N43,NOW())</f>
        <v>1</v>
      </c>
      <c r="I43" s="17" t="b" cm="1">
        <f t="array" aca="1" ref="I43" ca="1">FileExists(O43,NOW())</f>
        <v>0</v>
      </c>
      <c r="J43" s="17" t="b" cm="1">
        <f t="array" aca="1" ref="J43" ca="1">FileExists(P43,NOW())</f>
        <v>1</v>
      </c>
      <c r="K43" s="15" cm="1">
        <f t="array" aca="1" ref="K43" ca="1">IF(H43,fileModifiedDate(N43, NOW()),0)</f>
        <v>44899.278831018521</v>
      </c>
      <c r="L43" s="15" cm="1">
        <f t="array" aca="1" ref="L43" ca="1">IF(I43,fileModifiedDate(O43, NOW()),0)</f>
        <v>0</v>
      </c>
      <c r="M43" s="15" cm="1">
        <f t="array" aca="1" ref="M43" ca="1">IF(J43,fileModifiedDate(P43, NOW()),0)</f>
        <v>44899.278831018521</v>
      </c>
      <c r="N43" s="16" t="str">
        <f t="shared" si="24"/>
        <v>D:\OneDrive-Sync\Christian Dior Couture\APAC Management - Reports - Reports\DClick\Images\VM22\CountryStore_Units.png</v>
      </c>
      <c r="O43" s="16" t="str">
        <f t="shared" si="24"/>
        <v>D:\OneDrive-Sync\Christian Dior Couture\APAC Management - Reports - Reports\DClick\Images\VM24\CountryStore_Units.png</v>
      </c>
      <c r="P43" s="16" t="str">
        <f t="shared" si="24"/>
        <v>D:\OneDrive-Sync\Christian Dior Couture\APAC Management - Reports - Reports\DClick\Images\CountryStore_Units.png</v>
      </c>
      <c r="Q43" s="17" t="b">
        <f t="shared" si="25"/>
        <v>0</v>
      </c>
      <c r="R43" s="17" t="b">
        <f t="shared" si="26"/>
        <v>0</v>
      </c>
      <c r="S43" s="17" t="b">
        <v>0</v>
      </c>
      <c r="T43" s="17" t="b">
        <f t="shared" ca="1" si="27"/>
        <v>0</v>
      </c>
      <c r="U43" s="17" t="b">
        <f t="shared" ca="1" si="28"/>
        <v>1</v>
      </c>
      <c r="V43" s="17" t="b">
        <f t="shared" ca="1" si="29"/>
        <v>0</v>
      </c>
      <c r="W43" s="17">
        <f t="shared" ca="1" si="30"/>
        <v>0</v>
      </c>
      <c r="X43" s="15">
        <f t="shared" ca="1" si="20"/>
        <v>44899.125</v>
      </c>
      <c r="Y43" s="15">
        <f t="shared" ca="1" si="21"/>
        <v>44899.125</v>
      </c>
      <c r="Z43" s="15">
        <f t="shared" ca="1" si="21"/>
        <v>44899.125</v>
      </c>
      <c r="AA43" s="17">
        <f t="shared" ca="1" si="31"/>
        <v>1</v>
      </c>
      <c r="AB43" s="16" t="str">
        <f t="shared" ca="1" si="32"/>
        <v>D:\OneDrive-Sync\Christian Dior Couture\APAC Management - Reports - Reports\DClick\Images\VM22\CountryStore_Units.png</v>
      </c>
    </row>
    <row r="44" spans="1:28" x14ac:dyDescent="0.25">
      <c r="A44" t="s">
        <v>856</v>
      </c>
      <c r="B44" s="3" t="s">
        <v>793</v>
      </c>
      <c r="C44" t="s">
        <v>827</v>
      </c>
      <c r="E44" t="b">
        <v>0</v>
      </c>
      <c r="G44" t="b">
        <v>0</v>
      </c>
      <c r="H44" t="b" cm="1">
        <f t="array" aca="1" ref="H44" ca="1">FileExists(N44,NOW())</f>
        <v>1</v>
      </c>
      <c r="I44" t="b" cm="1">
        <f t="array" aca="1" ref="I44" ca="1">FileExists(O44,NOW())</f>
        <v>0</v>
      </c>
      <c r="J44" s="17" t="b" cm="1">
        <f t="array" aca="1" ref="J44" ca="1">FileExists(P44,NOW())</f>
        <v>1</v>
      </c>
      <c r="K44" s="15" cm="1">
        <f t="array" aca="1" ref="K44" ca="1">IF(H44,fileModifiedDate(N44, NOW()),0)</f>
        <v>44899.27957175926</v>
      </c>
      <c r="L44" s="15" cm="1">
        <f t="array" aca="1" ref="L44" ca="1">IF(I44,fileModifiedDate(O44, NOW()),0)</f>
        <v>0</v>
      </c>
      <c r="M44" s="15" cm="1">
        <f t="array" aca="1" ref="M44" ca="1">IF(J44,fileModifiedDate(P44, NOW()),0)</f>
        <v>44899.27957175926</v>
      </c>
      <c r="N44" s="16" t="str">
        <f t="shared" si="15"/>
        <v>D:\OneDrive-Sync\Christian Dior Couture\APAC Management - Reports - Reports\DClick\Images\VM22\SubCategorySG_NetSales.png</v>
      </c>
      <c r="O44" s="16" t="str">
        <f t="shared" si="16"/>
        <v>D:\OneDrive-Sync\Christian Dior Couture\APAC Management - Reports - Reports\DClick\Images\VM24\SubCategorySG_NetSales.png</v>
      </c>
      <c r="P44" s="16" t="str">
        <f t="shared" si="16"/>
        <v>D:\OneDrive-Sync\Christian Dior Couture\APAC Management - Reports - Reports\DClick\Images\SubCategorySG_NetSales.png</v>
      </c>
      <c r="Q44" t="b">
        <f t="shared" si="17"/>
        <v>0</v>
      </c>
      <c r="R44" t="b">
        <f t="shared" si="18"/>
        <v>0</v>
      </c>
      <c r="S44" t="b">
        <v>0</v>
      </c>
      <c r="T44" t="b">
        <f t="shared" ca="1" si="13"/>
        <v>0</v>
      </c>
      <c r="U44" t="b">
        <f t="shared" ca="1" si="14"/>
        <v>1</v>
      </c>
      <c r="V44" s="17" t="b">
        <f t="shared" ca="1" si="14"/>
        <v>0</v>
      </c>
      <c r="W44">
        <f t="shared" ca="1" si="19"/>
        <v>0</v>
      </c>
      <c r="X44" s="15">
        <f t="shared" ca="1" si="20"/>
        <v>44899.125</v>
      </c>
      <c r="Y44" s="15">
        <f t="shared" ca="1" si="21"/>
        <v>44899.125</v>
      </c>
      <c r="Z44" s="15">
        <f t="shared" ca="1" si="21"/>
        <v>44899.125</v>
      </c>
      <c r="AA44">
        <f t="shared" ca="1" si="22"/>
        <v>1</v>
      </c>
      <c r="AB44" s="16" t="str">
        <f t="shared" ca="1" si="23"/>
        <v>D:\OneDrive-Sync\Christian Dior Couture\APAC Management - Reports - Reports\DClick\Images\VM22\SubCategorySG_NetSales.png</v>
      </c>
    </row>
    <row r="45" spans="1:28" x14ac:dyDescent="0.25">
      <c r="A45" t="s">
        <v>856</v>
      </c>
      <c r="B45" t="s">
        <v>770</v>
      </c>
      <c r="C45" t="s">
        <v>769</v>
      </c>
      <c r="E45" t="b">
        <v>1</v>
      </c>
      <c r="F45">
        <v>600</v>
      </c>
      <c r="G45" t="b">
        <v>0</v>
      </c>
      <c r="H45" t="b" cm="1">
        <f t="array" aca="1" ref="H45" ca="1">FileExists(N45,NOW())</f>
        <v>1</v>
      </c>
      <c r="I45" t="b" cm="1">
        <f t="array" aca="1" ref="I45" ca="1">FileExists(O45,NOW())</f>
        <v>0</v>
      </c>
      <c r="J45" s="17" t="b" cm="1">
        <f t="array" aca="1" ref="J45" ca="1">FileExists(P45,NOW())</f>
        <v>1</v>
      </c>
      <c r="K45" s="15" cm="1">
        <f t="array" aca="1" ref="K45" ca="1">IF(H45,fileModifiedDate(N45, NOW()),0)</f>
        <v>44899.280289351853</v>
      </c>
      <c r="L45" s="15" cm="1">
        <f t="array" aca="1" ref="L45" ca="1">IF(I45,fileModifiedDate(O45, NOW()),0)</f>
        <v>0</v>
      </c>
      <c r="M45" s="15" cm="1">
        <f t="array" aca="1" ref="M45" ca="1">IF(J45,fileModifiedDate(P45, NOW()),0)</f>
        <v>44899.280289351853</v>
      </c>
      <c r="N45" s="16" t="str">
        <f t="shared" si="15"/>
        <v>D:\OneDrive-Sync\Christian Dior Couture\APAC Management - Reports - Reports\DClick\Images\VM22\CountryStoreSG_NetSales.png</v>
      </c>
      <c r="O45" s="16" t="str">
        <f t="shared" si="16"/>
        <v>D:\OneDrive-Sync\Christian Dior Couture\APAC Management - Reports - Reports\DClick\Images\VM24\CountryStoreSG_NetSales.png</v>
      </c>
      <c r="P45" s="16" t="str">
        <f t="shared" si="16"/>
        <v>D:\OneDrive-Sync\Christian Dior Couture\APAC Management - Reports - Reports\DClick\Images\CountryStoreSG_NetSales.png</v>
      </c>
      <c r="Q45" t="b">
        <f t="shared" si="17"/>
        <v>0</v>
      </c>
      <c r="R45" t="b">
        <f t="shared" si="18"/>
        <v>0</v>
      </c>
      <c r="S45" t="b">
        <v>0</v>
      </c>
      <c r="T45" t="b">
        <f t="shared" ca="1" si="13"/>
        <v>0</v>
      </c>
      <c r="U45" t="b">
        <f t="shared" ca="1" si="14"/>
        <v>1</v>
      </c>
      <c r="V45" s="17" t="b">
        <f t="shared" ca="1" si="14"/>
        <v>0</v>
      </c>
      <c r="W45">
        <f t="shared" ca="1" si="19"/>
        <v>0</v>
      </c>
      <c r="X45" s="15">
        <f t="shared" ca="1" si="20"/>
        <v>44899.125</v>
      </c>
      <c r="Y45" s="15">
        <f t="shared" ca="1" si="21"/>
        <v>44899.125</v>
      </c>
      <c r="Z45" s="15">
        <f t="shared" ca="1" si="21"/>
        <v>44899.125</v>
      </c>
      <c r="AA45">
        <f t="shared" ca="1" si="22"/>
        <v>1</v>
      </c>
      <c r="AB45" s="16" t="str">
        <f t="shared" ca="1" si="23"/>
        <v>D:\OneDrive-Sync\Christian Dior Couture\APAC Management - Reports - Reports\DClick\Images\VM22\CountryStoreSG_NetSales.png</v>
      </c>
    </row>
    <row r="46" spans="1:28" x14ac:dyDescent="0.25">
      <c r="A46" t="s">
        <v>856</v>
      </c>
      <c r="B46" s="3" t="s">
        <v>794</v>
      </c>
      <c r="C46" t="s">
        <v>830</v>
      </c>
      <c r="E46" t="b">
        <v>0</v>
      </c>
      <c r="G46" t="b">
        <v>0</v>
      </c>
      <c r="H46" t="b" cm="1">
        <f t="array" aca="1" ref="H46" ca="1">FileExists(N46,NOW())</f>
        <v>1</v>
      </c>
      <c r="I46" t="b" cm="1">
        <f t="array" aca="1" ref="I46" ca="1">FileExists(O46,NOW())</f>
        <v>0</v>
      </c>
      <c r="J46" s="17" t="b" cm="1">
        <f t="array" aca="1" ref="J46" ca="1">FileExists(P46,NOW())</f>
        <v>1</v>
      </c>
      <c r="K46" s="15" cm="1">
        <f t="array" aca="1" ref="K46" ca="1">IF(H46,fileModifiedDate(N46, NOW()),0)</f>
        <v>44899.281018518515</v>
      </c>
      <c r="L46" s="15" cm="1">
        <f t="array" aca="1" ref="L46" ca="1">IF(I46,fileModifiedDate(O46, NOW()),0)</f>
        <v>0</v>
      </c>
      <c r="M46" s="15" cm="1">
        <f t="array" aca="1" ref="M46" ca="1">IF(J46,fileModifiedDate(P46, NOW()),0)</f>
        <v>44899.281018518515</v>
      </c>
      <c r="N46" s="16" t="str">
        <f t="shared" si="15"/>
        <v>D:\OneDrive-Sync\Christian Dior Couture\APAC Management - Reports - Reports\DClick\Images\VM22\SubCategoryMY_NetSales.png</v>
      </c>
      <c r="O46" s="16" t="str">
        <f t="shared" si="16"/>
        <v>D:\OneDrive-Sync\Christian Dior Couture\APAC Management - Reports - Reports\DClick\Images\VM24\SubCategoryMY_NetSales.png</v>
      </c>
      <c r="P46" s="16" t="str">
        <f t="shared" si="16"/>
        <v>D:\OneDrive-Sync\Christian Dior Couture\APAC Management - Reports - Reports\DClick\Images\SubCategoryMY_NetSales.png</v>
      </c>
      <c r="Q46" t="b">
        <f t="shared" si="17"/>
        <v>0</v>
      </c>
      <c r="R46" t="b">
        <f t="shared" si="18"/>
        <v>0</v>
      </c>
      <c r="S46" t="b">
        <v>0</v>
      </c>
      <c r="T46" t="b">
        <f t="shared" ca="1" si="13"/>
        <v>0</v>
      </c>
      <c r="U46" t="b">
        <f t="shared" ca="1" si="14"/>
        <v>1</v>
      </c>
      <c r="V46" s="17" t="b">
        <f t="shared" ca="1" si="14"/>
        <v>0</v>
      </c>
      <c r="W46">
        <f t="shared" ca="1" si="19"/>
        <v>0</v>
      </c>
      <c r="X46" s="15">
        <f t="shared" ca="1" si="20"/>
        <v>44899.125</v>
      </c>
      <c r="Y46" s="15">
        <f t="shared" ca="1" si="21"/>
        <v>44899.125</v>
      </c>
      <c r="Z46" s="15">
        <f t="shared" ca="1" si="21"/>
        <v>44899.125</v>
      </c>
      <c r="AA46">
        <f t="shared" ca="1" si="22"/>
        <v>1</v>
      </c>
      <c r="AB46" s="16" t="str">
        <f t="shared" ca="1" si="23"/>
        <v>D:\OneDrive-Sync\Christian Dior Couture\APAC Management - Reports - Reports\DClick\Images\VM22\SubCategoryMY_NetSales.png</v>
      </c>
    </row>
    <row r="47" spans="1:28" x14ac:dyDescent="0.25">
      <c r="A47" t="s">
        <v>856</v>
      </c>
      <c r="B47" t="s">
        <v>772</v>
      </c>
      <c r="C47" t="s">
        <v>771</v>
      </c>
      <c r="E47" t="b">
        <v>1</v>
      </c>
      <c r="F47">
        <v>600</v>
      </c>
      <c r="G47" t="b">
        <v>0</v>
      </c>
      <c r="H47" t="b" cm="1">
        <f t="array" aca="1" ref="H47" ca="1">FileExists(N47,NOW())</f>
        <v>1</v>
      </c>
      <c r="I47" t="b" cm="1">
        <f t="array" aca="1" ref="I47" ca="1">FileExists(O47,NOW())</f>
        <v>0</v>
      </c>
      <c r="J47" s="17" t="b" cm="1">
        <f t="array" aca="1" ref="J47" ca="1">FileExists(P47,NOW())</f>
        <v>1</v>
      </c>
      <c r="K47" s="15" cm="1">
        <f t="array" aca="1" ref="K47" ca="1">IF(H47,fileModifiedDate(N47, NOW()),0)</f>
        <v>44899.281724537039</v>
      </c>
      <c r="L47" s="15" cm="1">
        <f t="array" aca="1" ref="L47" ca="1">IF(I47,fileModifiedDate(O47, NOW()),0)</f>
        <v>0</v>
      </c>
      <c r="M47" s="15" cm="1">
        <f t="array" aca="1" ref="M47" ca="1">IF(J47,fileModifiedDate(P47, NOW()),0)</f>
        <v>44899.281724537039</v>
      </c>
      <c r="N47" s="16" t="str">
        <f t="shared" si="15"/>
        <v>D:\OneDrive-Sync\Christian Dior Couture\APAC Management - Reports - Reports\DClick\Images\VM22\CountryStoreMY_NetSales.png</v>
      </c>
      <c r="O47" s="16" t="str">
        <f t="shared" si="16"/>
        <v>D:\OneDrive-Sync\Christian Dior Couture\APAC Management - Reports - Reports\DClick\Images\VM24\CountryStoreMY_NetSales.png</v>
      </c>
      <c r="P47" s="16" t="str">
        <f t="shared" si="16"/>
        <v>D:\OneDrive-Sync\Christian Dior Couture\APAC Management - Reports - Reports\DClick\Images\CountryStoreMY_NetSales.png</v>
      </c>
      <c r="Q47" t="b">
        <f t="shared" si="17"/>
        <v>0</v>
      </c>
      <c r="R47" t="b">
        <f t="shared" si="18"/>
        <v>0</v>
      </c>
      <c r="S47" t="b">
        <v>0</v>
      </c>
      <c r="T47" t="b">
        <f t="shared" ca="1" si="13"/>
        <v>0</v>
      </c>
      <c r="U47" t="b">
        <f t="shared" ca="1" si="14"/>
        <v>1</v>
      </c>
      <c r="V47" s="17" t="b">
        <f t="shared" ca="1" si="14"/>
        <v>0</v>
      </c>
      <c r="W47">
        <f t="shared" ca="1" si="19"/>
        <v>0</v>
      </c>
      <c r="X47" s="15">
        <f t="shared" ca="1" si="20"/>
        <v>44899.125</v>
      </c>
      <c r="Y47" s="15">
        <f t="shared" ca="1" si="21"/>
        <v>44899.125</v>
      </c>
      <c r="Z47" s="15">
        <f t="shared" ca="1" si="21"/>
        <v>44899.125</v>
      </c>
      <c r="AA47">
        <f t="shared" ca="1" si="22"/>
        <v>1</v>
      </c>
      <c r="AB47" s="16" t="str">
        <f t="shared" ca="1" si="23"/>
        <v>D:\OneDrive-Sync\Christian Dior Couture\APAC Management - Reports - Reports\DClick\Images\VM22\CountryStoreMY_NetSales.png</v>
      </c>
    </row>
    <row r="48" spans="1:28" x14ac:dyDescent="0.25">
      <c r="A48" t="s">
        <v>856</v>
      </c>
      <c r="B48" s="3" t="s">
        <v>795</v>
      </c>
      <c r="C48" t="s">
        <v>831</v>
      </c>
      <c r="E48" t="b">
        <v>0</v>
      </c>
      <c r="G48" t="b">
        <v>0</v>
      </c>
      <c r="H48" t="b" cm="1">
        <f t="array" aca="1" ref="H48" ca="1">FileExists(N48,NOW())</f>
        <v>1</v>
      </c>
      <c r="I48" t="b" cm="1">
        <f t="array" aca="1" ref="I48" ca="1">FileExists(O48,NOW())</f>
        <v>0</v>
      </c>
      <c r="J48" s="17" t="b" cm="1">
        <f t="array" aca="1" ref="J48" ca="1">FileExists(P48,NOW())</f>
        <v>1</v>
      </c>
      <c r="K48" s="15" cm="1">
        <f t="array" aca="1" ref="K48" ca="1">IF(H48,fileModifiedDate(N48, NOW()),0)</f>
        <v>44899.282442129632</v>
      </c>
      <c r="L48" s="15" cm="1">
        <f t="array" aca="1" ref="L48" ca="1">IF(I48,fileModifiedDate(O48, NOW()),0)</f>
        <v>0</v>
      </c>
      <c r="M48" s="15" cm="1">
        <f t="array" aca="1" ref="M48" ca="1">IF(J48,fileModifiedDate(P48, NOW()),0)</f>
        <v>44899.282442129632</v>
      </c>
      <c r="N48" s="16" t="str">
        <f t="shared" si="15"/>
        <v>D:\OneDrive-Sync\Christian Dior Couture\APAC Management - Reports - Reports\DClick\Images\VM22\SubCategoryIN_NetSales.png</v>
      </c>
      <c r="O48" s="16" t="str">
        <f t="shared" si="16"/>
        <v>D:\OneDrive-Sync\Christian Dior Couture\APAC Management - Reports - Reports\DClick\Images\VM24\SubCategoryIN_NetSales.png</v>
      </c>
      <c r="P48" s="16" t="str">
        <f t="shared" si="16"/>
        <v>D:\OneDrive-Sync\Christian Dior Couture\APAC Management - Reports - Reports\DClick\Images\SubCategoryIN_NetSales.png</v>
      </c>
      <c r="Q48" t="b">
        <f t="shared" si="17"/>
        <v>0</v>
      </c>
      <c r="R48" t="b">
        <f t="shared" si="18"/>
        <v>0</v>
      </c>
      <c r="S48" t="b">
        <v>0</v>
      </c>
      <c r="T48" t="b">
        <f t="shared" ca="1" si="13"/>
        <v>0</v>
      </c>
      <c r="U48" t="b">
        <f t="shared" ca="1" si="14"/>
        <v>1</v>
      </c>
      <c r="V48" s="17" t="b">
        <f t="shared" ca="1" si="14"/>
        <v>0</v>
      </c>
      <c r="W48">
        <f t="shared" ca="1" si="19"/>
        <v>0</v>
      </c>
      <c r="X48" s="15">
        <f t="shared" ca="1" si="20"/>
        <v>44899.125</v>
      </c>
      <c r="Y48" s="15">
        <f t="shared" ca="1" si="21"/>
        <v>44899.125</v>
      </c>
      <c r="Z48" s="15">
        <f t="shared" ca="1" si="21"/>
        <v>44899.125</v>
      </c>
      <c r="AA48">
        <f t="shared" ca="1" si="22"/>
        <v>1</v>
      </c>
      <c r="AB48" s="16" t="str">
        <f t="shared" ca="1" si="23"/>
        <v>D:\OneDrive-Sync\Christian Dior Couture\APAC Management - Reports - Reports\DClick\Images\VM22\SubCategoryIN_NetSales.png</v>
      </c>
    </row>
    <row r="49" spans="1:28" x14ac:dyDescent="0.25">
      <c r="A49" t="s">
        <v>856</v>
      </c>
      <c r="B49" t="s">
        <v>776</v>
      </c>
      <c r="C49" t="s">
        <v>775</v>
      </c>
      <c r="E49" t="b">
        <v>1</v>
      </c>
      <c r="F49">
        <v>600</v>
      </c>
      <c r="G49" t="b">
        <v>0</v>
      </c>
      <c r="H49" t="b" cm="1">
        <f t="array" aca="1" ref="H49" ca="1">FileExists(N49,NOW())</f>
        <v>1</v>
      </c>
      <c r="I49" t="b" cm="1">
        <f t="array" aca="1" ref="I49" ca="1">FileExists(O49,NOW())</f>
        <v>0</v>
      </c>
      <c r="J49" s="17" t="b" cm="1">
        <f t="array" aca="1" ref="J49" ca="1">FileExists(P49,NOW())</f>
        <v>1</v>
      </c>
      <c r="K49" s="15" cm="1">
        <f t="array" aca="1" ref="K49" ca="1">IF(H49,fileModifiedDate(N49, NOW()),0)</f>
        <v>44899.283171296294</v>
      </c>
      <c r="L49" s="15" cm="1">
        <f t="array" aca="1" ref="L49" ca="1">IF(I49,fileModifiedDate(O49, NOW()),0)</f>
        <v>0</v>
      </c>
      <c r="M49" s="15" cm="1">
        <f t="array" aca="1" ref="M49" ca="1">IF(J49,fileModifiedDate(P49, NOW()),0)</f>
        <v>44899.283171296294</v>
      </c>
      <c r="N49" s="16" t="str">
        <f t="shared" si="15"/>
        <v>D:\OneDrive-Sync\Christian Dior Couture\APAC Management - Reports - Reports\DClick\Images\VM22\CountryStoreIN_NetSales.png</v>
      </c>
      <c r="O49" s="16" t="str">
        <f t="shared" si="16"/>
        <v>D:\OneDrive-Sync\Christian Dior Couture\APAC Management - Reports - Reports\DClick\Images\VM24\CountryStoreIN_NetSales.png</v>
      </c>
      <c r="P49" s="16" t="str">
        <f t="shared" si="16"/>
        <v>D:\OneDrive-Sync\Christian Dior Couture\APAC Management - Reports - Reports\DClick\Images\CountryStoreIN_NetSales.png</v>
      </c>
      <c r="Q49" s="3" t="b">
        <f t="shared" si="17"/>
        <v>0</v>
      </c>
      <c r="R49" s="3" t="b">
        <f t="shared" si="18"/>
        <v>0</v>
      </c>
      <c r="S49" t="b">
        <v>0</v>
      </c>
      <c r="T49" t="b">
        <f t="shared" ca="1" si="13"/>
        <v>0</v>
      </c>
      <c r="U49" t="b">
        <f t="shared" ca="1" si="14"/>
        <v>1</v>
      </c>
      <c r="V49" s="17" t="b">
        <f t="shared" ca="1" si="14"/>
        <v>0</v>
      </c>
      <c r="W49">
        <f t="shared" ca="1" si="19"/>
        <v>0</v>
      </c>
      <c r="X49" s="15">
        <f t="shared" ca="1" si="20"/>
        <v>44899.125</v>
      </c>
      <c r="Y49" s="15">
        <f t="shared" ca="1" si="21"/>
        <v>44899.125</v>
      </c>
      <c r="Z49" s="15">
        <f t="shared" ca="1" si="21"/>
        <v>44899.125</v>
      </c>
      <c r="AA49">
        <f t="shared" ca="1" si="22"/>
        <v>1</v>
      </c>
      <c r="AB49" s="16" t="str">
        <f t="shared" ca="1" si="23"/>
        <v>D:\OneDrive-Sync\Christian Dior Couture\APAC Management - Reports - Reports\DClick\Images\VM22\CountryStoreIN_NetSales.png</v>
      </c>
    </row>
    <row r="50" spans="1:28" x14ac:dyDescent="0.25">
      <c r="A50" t="s">
        <v>856</v>
      </c>
      <c r="B50" s="3" t="s">
        <v>796</v>
      </c>
      <c r="C50" t="s">
        <v>832</v>
      </c>
      <c r="E50" t="b">
        <v>0</v>
      </c>
      <c r="G50" t="b">
        <v>0</v>
      </c>
      <c r="H50" t="b" cm="1">
        <f t="array" aca="1" ref="H50" ca="1">FileExists(N50,NOW())</f>
        <v>1</v>
      </c>
      <c r="I50" t="b" cm="1">
        <f t="array" aca="1" ref="I50" ca="1">FileExists(O50,NOW())</f>
        <v>0</v>
      </c>
      <c r="J50" s="17" t="b" cm="1">
        <f t="array" aca="1" ref="J50" ca="1">FileExists(P50,NOW())</f>
        <v>1</v>
      </c>
      <c r="K50" s="15" cm="1">
        <f t="array" aca="1" ref="K50" ca="1">IF(H50,fileModifiedDate(N50, NOW()),0)</f>
        <v>44899.283900462964</v>
      </c>
      <c r="L50" s="15" cm="1">
        <f t="array" aca="1" ref="L50" ca="1">IF(I50,fileModifiedDate(O50, NOW()),0)</f>
        <v>0</v>
      </c>
      <c r="M50" s="15" cm="1">
        <f t="array" aca="1" ref="M50" ca="1">IF(J50,fileModifiedDate(P50, NOW()),0)</f>
        <v>44899.283900462964</v>
      </c>
      <c r="N50" s="16" t="str">
        <f t="shared" si="15"/>
        <v>D:\OneDrive-Sync\Christian Dior Couture\APAC Management - Reports - Reports\DClick\Images\VM22\SubCategoryID_NetSales.png</v>
      </c>
      <c r="O50" s="16" t="str">
        <f t="shared" si="16"/>
        <v>D:\OneDrive-Sync\Christian Dior Couture\APAC Management - Reports - Reports\DClick\Images\VM24\SubCategoryID_NetSales.png</v>
      </c>
      <c r="P50" s="16" t="str">
        <f t="shared" si="16"/>
        <v>D:\OneDrive-Sync\Christian Dior Couture\APAC Management - Reports - Reports\DClick\Images\SubCategoryID_NetSales.png</v>
      </c>
      <c r="Q50" s="3" t="b">
        <f t="shared" si="17"/>
        <v>0</v>
      </c>
      <c r="R50" s="3" t="b">
        <f t="shared" si="18"/>
        <v>0</v>
      </c>
      <c r="S50" t="b">
        <v>0</v>
      </c>
      <c r="T50" t="b">
        <f t="shared" ca="1" si="13"/>
        <v>0</v>
      </c>
      <c r="U50" t="b">
        <f t="shared" ca="1" si="14"/>
        <v>1</v>
      </c>
      <c r="V50" s="17" t="b">
        <f t="shared" ca="1" si="14"/>
        <v>0</v>
      </c>
      <c r="W50">
        <f t="shared" ca="1" si="19"/>
        <v>0</v>
      </c>
      <c r="X50" s="15">
        <f t="shared" ca="1" si="20"/>
        <v>44899.125</v>
      </c>
      <c r="Y50" s="15">
        <f t="shared" ca="1" si="21"/>
        <v>44899.125</v>
      </c>
      <c r="Z50" s="15">
        <f t="shared" ca="1" si="21"/>
        <v>44899.125</v>
      </c>
      <c r="AA50">
        <f t="shared" ca="1" si="22"/>
        <v>1</v>
      </c>
      <c r="AB50" s="16" t="str">
        <f t="shared" ca="1" si="23"/>
        <v>D:\OneDrive-Sync\Christian Dior Couture\APAC Management - Reports - Reports\DClick\Images\VM22\SubCategoryID_NetSales.png</v>
      </c>
    </row>
    <row r="51" spans="1:28" x14ac:dyDescent="0.25">
      <c r="A51" t="s">
        <v>856</v>
      </c>
      <c r="B51" t="s">
        <v>774</v>
      </c>
      <c r="C51" t="s">
        <v>773</v>
      </c>
      <c r="E51" t="b">
        <v>1</v>
      </c>
      <c r="F51">
        <v>600</v>
      </c>
      <c r="G51" t="b">
        <v>0</v>
      </c>
      <c r="H51" t="b" cm="1">
        <f t="array" aca="1" ref="H51" ca="1">FileExists(N51,NOW())</f>
        <v>1</v>
      </c>
      <c r="I51" t="b" cm="1">
        <f t="array" aca="1" ref="I51" ca="1">FileExists(O51,NOW())</f>
        <v>0</v>
      </c>
      <c r="J51" s="17" t="b" cm="1">
        <f t="array" aca="1" ref="J51" ca="1">FileExists(P51,NOW())</f>
        <v>1</v>
      </c>
      <c r="K51" s="15" cm="1">
        <f t="array" aca="1" ref="K51" ca="1">IF(H51,fileModifiedDate(N51, NOW()),0)</f>
        <v>44899.284629629627</v>
      </c>
      <c r="L51" s="15" cm="1">
        <f t="array" aca="1" ref="L51" ca="1">IF(I51,fileModifiedDate(O51, NOW()),0)</f>
        <v>0</v>
      </c>
      <c r="M51" s="15" cm="1">
        <f t="array" aca="1" ref="M51" ca="1">IF(J51,fileModifiedDate(P51, NOW()),0)</f>
        <v>44899.284629629627</v>
      </c>
      <c r="N51" s="16" t="str">
        <f t="shared" si="15"/>
        <v>D:\OneDrive-Sync\Christian Dior Couture\APAC Management - Reports - Reports\DClick\Images\VM22\CountryStoreID_NetSales.png</v>
      </c>
      <c r="O51" s="16" t="str">
        <f t="shared" si="16"/>
        <v>D:\OneDrive-Sync\Christian Dior Couture\APAC Management - Reports - Reports\DClick\Images\VM24\CountryStoreID_NetSales.png</v>
      </c>
      <c r="P51" s="16" t="str">
        <f t="shared" si="16"/>
        <v>D:\OneDrive-Sync\Christian Dior Couture\APAC Management - Reports - Reports\DClick\Images\CountryStoreID_NetSales.png</v>
      </c>
      <c r="Q51" s="3" t="b">
        <f t="shared" si="17"/>
        <v>0</v>
      </c>
      <c r="R51" s="3" t="b">
        <f t="shared" si="18"/>
        <v>0</v>
      </c>
      <c r="S51" t="b">
        <v>0</v>
      </c>
      <c r="T51" t="b">
        <f t="shared" ca="1" si="13"/>
        <v>0</v>
      </c>
      <c r="U51" t="b">
        <f t="shared" ca="1" si="14"/>
        <v>1</v>
      </c>
      <c r="V51" s="17" t="b">
        <f t="shared" ca="1" si="14"/>
        <v>0</v>
      </c>
      <c r="W51">
        <f t="shared" ca="1" si="19"/>
        <v>0</v>
      </c>
      <c r="X51" s="15">
        <f t="shared" ca="1" si="20"/>
        <v>44899.125</v>
      </c>
      <c r="Y51" s="15">
        <f t="shared" ca="1" si="21"/>
        <v>44899.125</v>
      </c>
      <c r="Z51" s="15">
        <f t="shared" ca="1" si="21"/>
        <v>44899.125</v>
      </c>
      <c r="AA51">
        <f t="shared" ca="1" si="22"/>
        <v>1</v>
      </c>
      <c r="AB51" s="16" t="str">
        <f t="shared" ca="1" si="23"/>
        <v>D:\OneDrive-Sync\Christian Dior Couture\APAC Management - Reports - Reports\DClick\Images\VM22\CountryStoreID_NetSales.png</v>
      </c>
    </row>
    <row r="52" spans="1:28" x14ac:dyDescent="0.25">
      <c r="A52" t="s">
        <v>856</v>
      </c>
      <c r="B52" s="3" t="s">
        <v>797</v>
      </c>
      <c r="C52" t="s">
        <v>833</v>
      </c>
      <c r="E52" t="b">
        <v>0</v>
      </c>
      <c r="G52" t="b">
        <v>0</v>
      </c>
      <c r="H52" t="b" cm="1">
        <f t="array" aca="1" ref="H52" ca="1">FileExists(N52,NOW())</f>
        <v>1</v>
      </c>
      <c r="I52" t="b" cm="1">
        <f t="array" aca="1" ref="I52" ca="1">FileExists(O52,NOW())</f>
        <v>0</v>
      </c>
      <c r="J52" s="17" t="b" cm="1">
        <f t="array" aca="1" ref="J52" ca="1">FileExists(P52,NOW())</f>
        <v>1</v>
      </c>
      <c r="K52" s="15" cm="1">
        <f t="array" aca="1" ref="K52" ca="1">IF(H52,fileModifiedDate(N52, NOW()),0)</f>
        <v>44899.285358796296</v>
      </c>
      <c r="L52" s="15" cm="1">
        <f t="array" aca="1" ref="L52" ca="1">IF(I52,fileModifiedDate(O52, NOW()),0)</f>
        <v>0</v>
      </c>
      <c r="M52" s="15" cm="1">
        <f t="array" aca="1" ref="M52" ca="1">IF(J52,fileModifiedDate(P52, NOW()),0)</f>
        <v>44899.285358796296</v>
      </c>
      <c r="N52" s="16" t="str">
        <f t="shared" si="15"/>
        <v>D:\OneDrive-Sync\Christian Dior Couture\APAC Management - Reports - Reports\DClick\Images\VM22\SubCategoryPH_NetSales.png</v>
      </c>
      <c r="O52" s="16" t="str">
        <f t="shared" si="16"/>
        <v>D:\OneDrive-Sync\Christian Dior Couture\APAC Management - Reports - Reports\DClick\Images\VM24\SubCategoryPH_NetSales.png</v>
      </c>
      <c r="P52" s="16" t="str">
        <f t="shared" si="16"/>
        <v>D:\OneDrive-Sync\Christian Dior Couture\APAC Management - Reports - Reports\DClick\Images\SubCategoryPH_NetSales.png</v>
      </c>
      <c r="Q52" s="3" t="b">
        <f t="shared" si="17"/>
        <v>0</v>
      </c>
      <c r="R52" s="3" t="b">
        <f t="shared" si="18"/>
        <v>0</v>
      </c>
      <c r="S52" t="b">
        <v>0</v>
      </c>
      <c r="T52" t="b">
        <f t="shared" ca="1" si="13"/>
        <v>0</v>
      </c>
      <c r="U52" t="b">
        <f t="shared" ca="1" si="14"/>
        <v>1</v>
      </c>
      <c r="V52" s="17" t="b">
        <f t="shared" ca="1" si="14"/>
        <v>0</v>
      </c>
      <c r="W52">
        <f t="shared" ca="1" si="19"/>
        <v>0</v>
      </c>
      <c r="X52" s="15">
        <f t="shared" ca="1" si="20"/>
        <v>44899.125</v>
      </c>
      <c r="Y52" s="15">
        <f t="shared" ca="1" si="21"/>
        <v>44899.125</v>
      </c>
      <c r="Z52" s="15">
        <f t="shared" ca="1" si="21"/>
        <v>44899.125</v>
      </c>
      <c r="AA52">
        <f t="shared" ca="1" si="22"/>
        <v>1</v>
      </c>
      <c r="AB52" s="16" t="str">
        <f t="shared" ca="1" si="23"/>
        <v>D:\OneDrive-Sync\Christian Dior Couture\APAC Management - Reports - Reports\DClick\Images\VM22\SubCategoryPH_NetSales.png</v>
      </c>
    </row>
    <row r="53" spans="1:28" x14ac:dyDescent="0.25">
      <c r="A53" t="s">
        <v>856</v>
      </c>
      <c r="B53" t="s">
        <v>784</v>
      </c>
      <c r="C53" t="s">
        <v>783</v>
      </c>
      <c r="E53" t="b">
        <v>1</v>
      </c>
      <c r="F53">
        <v>600</v>
      </c>
      <c r="G53" t="b">
        <v>0</v>
      </c>
      <c r="H53" t="b" cm="1">
        <f t="array" aca="1" ref="H53" ca="1">FileExists(N53,NOW())</f>
        <v>1</v>
      </c>
      <c r="I53" t="b" cm="1">
        <f t="array" aca="1" ref="I53" ca="1">FileExists(O53,NOW())</f>
        <v>0</v>
      </c>
      <c r="J53" s="17" t="b" cm="1">
        <f t="array" aca="1" ref="J53" ca="1">FileExists(P53,NOW())</f>
        <v>1</v>
      </c>
      <c r="K53" s="15" cm="1">
        <f t="array" aca="1" ref="K53" ca="1">IF(H53,fileModifiedDate(N53, NOW()),0)</f>
        <v>44899.286076388889</v>
      </c>
      <c r="L53" s="15" cm="1">
        <f t="array" aca="1" ref="L53" ca="1">IF(I53,fileModifiedDate(O53, NOW()),0)</f>
        <v>0</v>
      </c>
      <c r="M53" s="15" cm="1">
        <f t="array" aca="1" ref="M53" ca="1">IF(J53,fileModifiedDate(P53, NOW()),0)</f>
        <v>44899.286076388889</v>
      </c>
      <c r="N53" s="16" t="str">
        <f t="shared" si="15"/>
        <v>D:\OneDrive-Sync\Christian Dior Couture\APAC Management - Reports - Reports\DClick\Images\VM22\CountryStorePH_NetSales.png</v>
      </c>
      <c r="O53" s="16" t="str">
        <f t="shared" si="16"/>
        <v>D:\OneDrive-Sync\Christian Dior Couture\APAC Management - Reports - Reports\DClick\Images\VM24\CountryStorePH_NetSales.png</v>
      </c>
      <c r="P53" s="16" t="str">
        <f t="shared" si="16"/>
        <v>D:\OneDrive-Sync\Christian Dior Couture\APAC Management - Reports - Reports\DClick\Images\CountryStorePH_NetSales.png</v>
      </c>
      <c r="Q53" s="3" t="b">
        <f t="shared" si="17"/>
        <v>0</v>
      </c>
      <c r="R53" s="3" t="b">
        <f t="shared" si="18"/>
        <v>0</v>
      </c>
      <c r="S53" t="b">
        <v>0</v>
      </c>
      <c r="T53" t="b">
        <f t="shared" ca="1" si="13"/>
        <v>0</v>
      </c>
      <c r="U53" t="b">
        <f t="shared" ca="1" si="14"/>
        <v>1</v>
      </c>
      <c r="V53" s="17" t="b">
        <f t="shared" ca="1" si="14"/>
        <v>0</v>
      </c>
      <c r="W53">
        <f t="shared" ca="1" si="19"/>
        <v>0</v>
      </c>
      <c r="X53" s="15">
        <f t="shared" ca="1" si="20"/>
        <v>44899.125</v>
      </c>
      <c r="Y53" s="15">
        <f t="shared" ca="1" si="21"/>
        <v>44899.125</v>
      </c>
      <c r="Z53" s="15">
        <f t="shared" ca="1" si="21"/>
        <v>44899.125</v>
      </c>
      <c r="AA53">
        <f t="shared" ca="1" si="22"/>
        <v>1</v>
      </c>
      <c r="AB53" s="16" t="str">
        <f t="shared" ca="1" si="23"/>
        <v>D:\OneDrive-Sync\Christian Dior Couture\APAC Management - Reports - Reports\DClick\Images\VM22\CountryStorePH_NetSales.png</v>
      </c>
    </row>
    <row r="54" spans="1:28" x14ac:dyDescent="0.25">
      <c r="A54" t="s">
        <v>856</v>
      </c>
      <c r="B54" s="3" t="s">
        <v>798</v>
      </c>
      <c r="C54" t="s">
        <v>834</v>
      </c>
      <c r="E54" t="b">
        <v>0</v>
      </c>
      <c r="G54" t="b">
        <v>0</v>
      </c>
      <c r="H54" t="b" cm="1">
        <f t="array" aca="1" ref="H54" ca="1">FileExists(N54,NOW())</f>
        <v>1</v>
      </c>
      <c r="I54" t="b" cm="1">
        <f t="array" aca="1" ref="I54" ca="1">FileExists(O54,NOW())</f>
        <v>0</v>
      </c>
      <c r="J54" s="17" t="b" cm="1">
        <f t="array" aca="1" ref="J54" ca="1">FileExists(P54,NOW())</f>
        <v>1</v>
      </c>
      <c r="K54" s="15" cm="1">
        <f t="array" aca="1" ref="K54" ca="1">IF(H54,fileModifiedDate(N54, NOW()),0)</f>
        <v>44899.286805555559</v>
      </c>
      <c r="L54" s="15" cm="1">
        <f t="array" aca="1" ref="L54" ca="1">IF(I54,fileModifiedDate(O54, NOW()),0)</f>
        <v>0</v>
      </c>
      <c r="M54" s="15" cm="1">
        <f t="array" aca="1" ref="M54" ca="1">IF(J54,fileModifiedDate(P54, NOW()),0)</f>
        <v>44899.286805555559</v>
      </c>
      <c r="N54" s="16" t="str">
        <f t="shared" si="15"/>
        <v>D:\OneDrive-Sync\Christian Dior Couture\APAC Management - Reports - Reports\DClick\Images\VM22\SubCategoryTW_NetSales.png</v>
      </c>
      <c r="O54" s="16" t="str">
        <f t="shared" si="16"/>
        <v>D:\OneDrive-Sync\Christian Dior Couture\APAC Management - Reports - Reports\DClick\Images\VM24\SubCategoryTW_NetSales.png</v>
      </c>
      <c r="P54" s="16" t="str">
        <f t="shared" si="16"/>
        <v>D:\OneDrive-Sync\Christian Dior Couture\APAC Management - Reports - Reports\DClick\Images\SubCategoryTW_NetSales.png</v>
      </c>
      <c r="Q54" s="3" t="b">
        <f t="shared" si="17"/>
        <v>0</v>
      </c>
      <c r="R54" s="3" t="b">
        <f t="shared" si="18"/>
        <v>0</v>
      </c>
      <c r="S54" t="b">
        <v>0</v>
      </c>
      <c r="T54" t="b">
        <f t="shared" ca="1" si="13"/>
        <v>0</v>
      </c>
      <c r="U54" t="b">
        <f t="shared" ca="1" si="14"/>
        <v>1</v>
      </c>
      <c r="V54" s="17" t="b">
        <f t="shared" ca="1" si="14"/>
        <v>0</v>
      </c>
      <c r="W54">
        <f t="shared" ca="1" si="19"/>
        <v>0</v>
      </c>
      <c r="X54" s="15">
        <f t="shared" ca="1" si="20"/>
        <v>44899.125</v>
      </c>
      <c r="Y54" s="15">
        <f t="shared" ca="1" si="21"/>
        <v>44899.125</v>
      </c>
      <c r="Z54" s="15">
        <f t="shared" ca="1" si="21"/>
        <v>44899.125</v>
      </c>
      <c r="AA54">
        <f t="shared" ca="1" si="22"/>
        <v>1</v>
      </c>
      <c r="AB54" s="16" t="str">
        <f t="shared" ca="1" si="23"/>
        <v>D:\OneDrive-Sync\Christian Dior Couture\APAC Management - Reports - Reports\DClick\Images\VM22\SubCategoryTW_NetSales.png</v>
      </c>
    </row>
    <row r="55" spans="1:28" x14ac:dyDescent="0.25">
      <c r="A55" t="s">
        <v>856</v>
      </c>
      <c r="B55" t="s">
        <v>782</v>
      </c>
      <c r="C55" t="s">
        <v>781</v>
      </c>
      <c r="E55" t="b">
        <v>1</v>
      </c>
      <c r="F55">
        <v>600</v>
      </c>
      <c r="G55" t="b">
        <v>0</v>
      </c>
      <c r="H55" t="b" cm="1">
        <f t="array" aca="1" ref="H55" ca="1">FileExists(N55,NOW())</f>
        <v>1</v>
      </c>
      <c r="I55" t="b" cm="1">
        <f t="array" aca="1" ref="I55" ca="1">FileExists(O55,NOW())</f>
        <v>0</v>
      </c>
      <c r="J55" s="17" t="b" cm="1">
        <f t="array" aca="1" ref="J55" ca="1">FileExists(P55,NOW())</f>
        <v>1</v>
      </c>
      <c r="K55" s="15" cm="1">
        <f t="array" aca="1" ref="K55" ca="1">IF(H55,fileModifiedDate(N55, NOW()),0)</f>
        <v>44899.287499999999</v>
      </c>
      <c r="L55" s="15" cm="1">
        <f t="array" aca="1" ref="L55" ca="1">IF(I55,fileModifiedDate(O55, NOW()),0)</f>
        <v>0</v>
      </c>
      <c r="M55" s="15" cm="1">
        <f t="array" aca="1" ref="M55" ca="1">IF(J55,fileModifiedDate(P55, NOW()),0)</f>
        <v>44899.287499999999</v>
      </c>
      <c r="N55" s="16" t="str">
        <f t="shared" si="15"/>
        <v>D:\OneDrive-Sync\Christian Dior Couture\APAC Management - Reports - Reports\DClick\Images\VM22\CountryStoreTW_NetSales.png</v>
      </c>
      <c r="O55" s="16" t="str">
        <f t="shared" si="16"/>
        <v>D:\OneDrive-Sync\Christian Dior Couture\APAC Management - Reports - Reports\DClick\Images\VM24\CountryStoreTW_NetSales.png</v>
      </c>
      <c r="P55" s="16" t="str">
        <f t="shared" si="16"/>
        <v>D:\OneDrive-Sync\Christian Dior Couture\APAC Management - Reports - Reports\DClick\Images\CountryStoreTW_NetSales.png</v>
      </c>
      <c r="Q55" s="3" t="b">
        <f t="shared" si="17"/>
        <v>0</v>
      </c>
      <c r="R55" s="3" t="b">
        <f t="shared" si="18"/>
        <v>0</v>
      </c>
      <c r="S55" t="b">
        <v>0</v>
      </c>
      <c r="T55" t="b">
        <f t="shared" ca="1" si="13"/>
        <v>0</v>
      </c>
      <c r="U55" t="b">
        <f t="shared" ca="1" si="14"/>
        <v>1</v>
      </c>
      <c r="V55" s="17" t="b">
        <f t="shared" ca="1" si="14"/>
        <v>0</v>
      </c>
      <c r="W55">
        <f t="shared" ca="1" si="19"/>
        <v>0</v>
      </c>
      <c r="X55" s="15">
        <f t="shared" ca="1" si="20"/>
        <v>44899.125</v>
      </c>
      <c r="Y55" s="15">
        <f t="shared" ca="1" si="21"/>
        <v>44899.125</v>
      </c>
      <c r="Z55" s="15">
        <f t="shared" ca="1" si="21"/>
        <v>44899.125</v>
      </c>
      <c r="AA55">
        <f t="shared" ca="1" si="22"/>
        <v>1</v>
      </c>
      <c r="AB55" s="16" t="str">
        <f t="shared" ca="1" si="23"/>
        <v>D:\OneDrive-Sync\Christian Dior Couture\APAC Management - Reports - Reports\DClick\Images\VM22\CountryStoreTW_NetSales.png</v>
      </c>
    </row>
    <row r="56" spans="1:28" x14ac:dyDescent="0.25">
      <c r="A56" t="s">
        <v>856</v>
      </c>
      <c r="B56" s="3" t="s">
        <v>799</v>
      </c>
      <c r="C56" t="s">
        <v>829</v>
      </c>
      <c r="E56" t="b">
        <v>0</v>
      </c>
      <c r="G56" t="b">
        <v>0</v>
      </c>
      <c r="H56" t="b" cm="1">
        <f t="array" aca="1" ref="H56" ca="1">FileExists(N56,NOW())</f>
        <v>1</v>
      </c>
      <c r="I56" t="b" cm="1">
        <f t="array" aca="1" ref="I56" ca="1">FileExists(O56,NOW())</f>
        <v>0</v>
      </c>
      <c r="J56" s="17" t="b" cm="1">
        <f t="array" aca="1" ref="J56" ca="1">FileExists(P56,NOW())</f>
        <v>1</v>
      </c>
      <c r="K56" s="15" cm="1">
        <f t="array" aca="1" ref="K56" ca="1">IF(H56,fileModifiedDate(N56, NOW()),0)</f>
        <v>44899.288217592592</v>
      </c>
      <c r="L56" s="15" cm="1">
        <f t="array" aca="1" ref="L56" ca="1">IF(I56,fileModifiedDate(O56, NOW()),0)</f>
        <v>0</v>
      </c>
      <c r="M56" s="15" cm="1">
        <f t="array" aca="1" ref="M56" ca="1">IF(J56,fileModifiedDate(P56, NOW()),0)</f>
        <v>44899.288217592592</v>
      </c>
      <c r="N56" s="16" t="str">
        <f t="shared" si="15"/>
        <v>D:\OneDrive-Sync\Christian Dior Couture\APAC Management - Reports - Reports\DClick\Images\VM22\SubCategoryTH_NetSales.png</v>
      </c>
      <c r="O56" s="16" t="str">
        <f t="shared" si="16"/>
        <v>D:\OneDrive-Sync\Christian Dior Couture\APAC Management - Reports - Reports\DClick\Images\VM24\SubCategoryTH_NetSales.png</v>
      </c>
      <c r="P56" s="16" t="str">
        <f t="shared" si="16"/>
        <v>D:\OneDrive-Sync\Christian Dior Couture\APAC Management - Reports - Reports\DClick\Images\SubCategoryTH_NetSales.png</v>
      </c>
      <c r="Q56" s="3" t="b">
        <f t="shared" si="17"/>
        <v>0</v>
      </c>
      <c r="R56" s="3" t="b">
        <f t="shared" si="18"/>
        <v>0</v>
      </c>
      <c r="S56" t="b">
        <v>0</v>
      </c>
      <c r="T56" t="b">
        <f t="shared" ca="1" si="13"/>
        <v>0</v>
      </c>
      <c r="U56" t="b">
        <f t="shared" ca="1" si="14"/>
        <v>1</v>
      </c>
      <c r="V56" s="17" t="b">
        <f t="shared" ca="1" si="14"/>
        <v>0</v>
      </c>
      <c r="W56">
        <f t="shared" ca="1" si="19"/>
        <v>0</v>
      </c>
      <c r="X56" s="15">
        <f t="shared" ca="1" si="20"/>
        <v>44899.125</v>
      </c>
      <c r="Y56" s="15">
        <f t="shared" ca="1" si="21"/>
        <v>44899.125</v>
      </c>
      <c r="Z56" s="15">
        <f t="shared" ca="1" si="21"/>
        <v>44899.125</v>
      </c>
      <c r="AA56">
        <f t="shared" ca="1" si="22"/>
        <v>1</v>
      </c>
      <c r="AB56" s="16" t="str">
        <f t="shared" ca="1" si="23"/>
        <v>D:\OneDrive-Sync\Christian Dior Couture\APAC Management - Reports - Reports\DClick\Images\VM22\SubCategoryTH_NetSales.png</v>
      </c>
    </row>
    <row r="57" spans="1:28" x14ac:dyDescent="0.25">
      <c r="A57" t="s">
        <v>856</v>
      </c>
      <c r="B57" t="s">
        <v>780</v>
      </c>
      <c r="C57" t="s">
        <v>779</v>
      </c>
      <c r="E57" t="b">
        <v>1</v>
      </c>
      <c r="F57">
        <v>600</v>
      </c>
      <c r="G57" t="b">
        <v>0</v>
      </c>
      <c r="H57" t="b" cm="1">
        <f t="array" aca="1" ref="H57" ca="1">FileExists(N57,NOW())</f>
        <v>1</v>
      </c>
      <c r="I57" t="b" cm="1">
        <f t="array" aca="1" ref="I57" ca="1">FileExists(O57,NOW())</f>
        <v>0</v>
      </c>
      <c r="J57" s="17" t="b" cm="1">
        <f t="array" aca="1" ref="J57" ca="1">FileExists(P57,NOW())</f>
        <v>1</v>
      </c>
      <c r="K57" s="15" cm="1">
        <f t="array" aca="1" ref="K57" ca="1">IF(H57,fileModifiedDate(N57, NOW()),0)</f>
        <v>44899.288923611108</v>
      </c>
      <c r="L57" s="15" cm="1">
        <f t="array" aca="1" ref="L57" ca="1">IF(I57,fileModifiedDate(O57, NOW()),0)</f>
        <v>0</v>
      </c>
      <c r="M57" s="15" cm="1">
        <f t="array" aca="1" ref="M57" ca="1">IF(J57,fileModifiedDate(P57, NOW()),0)</f>
        <v>44899.288923611108</v>
      </c>
      <c r="N57" s="16" t="str">
        <f t="shared" si="15"/>
        <v>D:\OneDrive-Sync\Christian Dior Couture\APAC Management - Reports - Reports\DClick\Images\VM22\CountryStoreTH_NetSales.png</v>
      </c>
      <c r="O57" s="16" t="str">
        <f t="shared" si="16"/>
        <v>D:\OneDrive-Sync\Christian Dior Couture\APAC Management - Reports - Reports\DClick\Images\VM24\CountryStoreTH_NetSales.png</v>
      </c>
      <c r="P57" s="16" t="str">
        <f t="shared" si="16"/>
        <v>D:\OneDrive-Sync\Christian Dior Couture\APAC Management - Reports - Reports\DClick\Images\CountryStoreTH_NetSales.png</v>
      </c>
      <c r="Q57" s="3" t="b">
        <f t="shared" si="17"/>
        <v>0</v>
      </c>
      <c r="R57" s="3" t="b">
        <f t="shared" si="18"/>
        <v>0</v>
      </c>
      <c r="S57" t="b">
        <v>0</v>
      </c>
      <c r="T57" t="b">
        <f t="shared" ca="1" si="13"/>
        <v>0</v>
      </c>
      <c r="U57" t="b">
        <f t="shared" ca="1" si="14"/>
        <v>1</v>
      </c>
      <c r="V57" s="17" t="b">
        <f t="shared" ca="1" si="14"/>
        <v>0</v>
      </c>
      <c r="W57">
        <f t="shared" ca="1" si="19"/>
        <v>0</v>
      </c>
      <c r="X57" s="15">
        <f t="shared" ca="1" si="20"/>
        <v>44899.125</v>
      </c>
      <c r="Y57" s="15">
        <f t="shared" ca="1" si="21"/>
        <v>44899.125</v>
      </c>
      <c r="Z57" s="15">
        <f t="shared" ca="1" si="21"/>
        <v>44899.125</v>
      </c>
      <c r="AA57">
        <f t="shared" ca="1" si="22"/>
        <v>1</v>
      </c>
      <c r="AB57" s="16" t="str">
        <f t="shared" ca="1" si="23"/>
        <v>D:\OneDrive-Sync\Christian Dior Couture\APAC Management - Reports - Reports\DClick\Images\VM22\CountryStoreTH_NetSales.png</v>
      </c>
    </row>
    <row r="58" spans="1:28" x14ac:dyDescent="0.25">
      <c r="A58" t="s">
        <v>856</v>
      </c>
      <c r="B58" s="3" t="s">
        <v>800</v>
      </c>
      <c r="C58" t="s">
        <v>835</v>
      </c>
      <c r="E58" t="b">
        <v>0</v>
      </c>
      <c r="G58" s="3" t="b">
        <v>0</v>
      </c>
      <c r="H58" t="b" cm="1">
        <f t="array" aca="1" ref="H58" ca="1">FileExists(N58,NOW())</f>
        <v>1</v>
      </c>
      <c r="I58" t="b" cm="1">
        <f t="array" aca="1" ref="I58" ca="1">FileExists(O58,NOW())</f>
        <v>0</v>
      </c>
      <c r="J58" s="17" t="b" cm="1">
        <f t="array" aca="1" ref="J58" ca="1">FileExists(P58,NOW())</f>
        <v>1</v>
      </c>
      <c r="K58" s="15" cm="1">
        <f t="array" aca="1" ref="K58" ca="1">IF(H58,fileModifiedDate(N58, NOW()),0)</f>
        <v>44899.289664351854</v>
      </c>
      <c r="L58" s="15" cm="1">
        <f t="array" aca="1" ref="L58" ca="1">IF(I58,fileModifiedDate(O58, NOW()),0)</f>
        <v>0</v>
      </c>
      <c r="M58" s="15" cm="1">
        <f t="array" aca="1" ref="M58" ca="1">IF(J58,fileModifiedDate(P58, NOW()),0)</f>
        <v>44899.289664351854</v>
      </c>
      <c r="N58" s="16" t="str">
        <f t="shared" si="15"/>
        <v>D:\OneDrive-Sync\Christian Dior Couture\APAC Management - Reports - Reports\DClick\Images\VM22\SubCategoryVN_NetSales.png</v>
      </c>
      <c r="O58" s="16" t="str">
        <f t="shared" si="16"/>
        <v>D:\OneDrive-Sync\Christian Dior Couture\APAC Management - Reports - Reports\DClick\Images\VM24\SubCategoryVN_NetSales.png</v>
      </c>
      <c r="P58" s="16" t="str">
        <f t="shared" si="16"/>
        <v>D:\OneDrive-Sync\Christian Dior Couture\APAC Management - Reports - Reports\DClick\Images\SubCategoryVN_NetSales.png</v>
      </c>
      <c r="Q58" s="3" t="b">
        <f t="shared" si="17"/>
        <v>0</v>
      </c>
      <c r="R58" s="3" t="b">
        <f t="shared" si="18"/>
        <v>0</v>
      </c>
      <c r="S58" t="b">
        <v>0</v>
      </c>
      <c r="T58" t="b">
        <f t="shared" ca="1" si="13"/>
        <v>0</v>
      </c>
      <c r="U58" t="b">
        <f t="shared" ca="1" si="14"/>
        <v>1</v>
      </c>
      <c r="V58" s="17" t="b">
        <f t="shared" ca="1" si="14"/>
        <v>0</v>
      </c>
      <c r="W58">
        <f t="shared" ca="1" si="19"/>
        <v>0</v>
      </c>
      <c r="X58" s="15">
        <f t="shared" ca="1" si="20"/>
        <v>44899.125</v>
      </c>
      <c r="Y58" s="15">
        <f t="shared" ca="1" si="21"/>
        <v>44899.125</v>
      </c>
      <c r="Z58" s="15">
        <f t="shared" ca="1" si="21"/>
        <v>44899.125</v>
      </c>
      <c r="AA58">
        <f t="shared" ca="1" si="22"/>
        <v>1</v>
      </c>
      <c r="AB58" s="16" t="str">
        <f t="shared" ca="1" si="23"/>
        <v>D:\OneDrive-Sync\Christian Dior Couture\APAC Management - Reports - Reports\DClick\Images\VM22\SubCategoryVN_NetSales.png</v>
      </c>
    </row>
    <row r="59" spans="1:28" x14ac:dyDescent="0.25">
      <c r="A59" t="s">
        <v>856</v>
      </c>
      <c r="B59" t="s">
        <v>778</v>
      </c>
      <c r="C59" t="s">
        <v>777</v>
      </c>
      <c r="E59" t="b">
        <v>1</v>
      </c>
      <c r="F59">
        <v>600</v>
      </c>
      <c r="G59" s="3" t="b">
        <v>0</v>
      </c>
      <c r="H59" t="b" cm="1">
        <f t="array" aca="1" ref="H59" ca="1">FileExists(N59,NOW())</f>
        <v>1</v>
      </c>
      <c r="I59" t="b" cm="1">
        <f t="array" aca="1" ref="I59" ca="1">FileExists(O59,NOW())</f>
        <v>0</v>
      </c>
      <c r="J59" s="17" t="b" cm="1">
        <f t="array" aca="1" ref="J59" ca="1">FileExists(P59,NOW())</f>
        <v>1</v>
      </c>
      <c r="K59" s="15" cm="1">
        <f t="array" aca="1" ref="K59" ca="1">IF(H59,fileModifiedDate(N59, NOW()),0)</f>
        <v>44899.290370370371</v>
      </c>
      <c r="L59" s="15" cm="1">
        <f t="array" aca="1" ref="L59" ca="1">IF(I59,fileModifiedDate(O59, NOW()),0)</f>
        <v>0</v>
      </c>
      <c r="M59" s="15" cm="1">
        <f t="array" aca="1" ref="M59" ca="1">IF(J59,fileModifiedDate(P59, NOW()),0)</f>
        <v>44899.290370370371</v>
      </c>
      <c r="N59" s="16" t="str">
        <f t="shared" si="15"/>
        <v>D:\OneDrive-Sync\Christian Dior Couture\APAC Management - Reports - Reports\DClick\Images\VM22\CountryStoreVN_NetSales.png</v>
      </c>
      <c r="O59" s="16" t="str">
        <f t="shared" si="16"/>
        <v>D:\OneDrive-Sync\Christian Dior Couture\APAC Management - Reports - Reports\DClick\Images\VM24\CountryStoreVN_NetSales.png</v>
      </c>
      <c r="P59" s="16" t="str">
        <f t="shared" si="16"/>
        <v>D:\OneDrive-Sync\Christian Dior Couture\APAC Management - Reports - Reports\DClick\Images\CountryStoreVN_NetSales.png</v>
      </c>
      <c r="Q59" s="3" t="b">
        <f t="shared" si="17"/>
        <v>0</v>
      </c>
      <c r="R59" s="3" t="b">
        <f t="shared" si="18"/>
        <v>0</v>
      </c>
      <c r="S59" t="b">
        <v>0</v>
      </c>
      <c r="T59" t="b">
        <f t="shared" ca="1" si="13"/>
        <v>0</v>
      </c>
      <c r="U59" t="b">
        <f t="shared" ca="1" si="14"/>
        <v>1</v>
      </c>
      <c r="V59" s="17" t="b">
        <f t="shared" ca="1" si="14"/>
        <v>0</v>
      </c>
      <c r="W59">
        <f t="shared" ca="1" si="19"/>
        <v>0</v>
      </c>
      <c r="X59" s="15">
        <f t="shared" ca="1" si="20"/>
        <v>44899.125</v>
      </c>
      <c r="Y59" s="15">
        <f t="shared" ca="1" si="21"/>
        <v>44899.125</v>
      </c>
      <c r="Z59" s="15">
        <f t="shared" ca="1" si="21"/>
        <v>44899.125</v>
      </c>
      <c r="AA59">
        <f t="shared" ca="1" si="22"/>
        <v>1</v>
      </c>
      <c r="AB59" s="16" t="str">
        <f t="shared" ca="1" si="23"/>
        <v>D:\OneDrive-Sync\Christian Dior Couture\APAC Management - Reports - Reports\DClick\Images\VM22\CountryStoreVN_NetSales.png</v>
      </c>
    </row>
    <row r="60" spans="1:28" x14ac:dyDescent="0.25">
      <c r="G60" s="3"/>
      <c r="K60" s="15"/>
      <c r="L60" s="15"/>
      <c r="M60" s="15"/>
      <c r="N60" s="16"/>
      <c r="O60" s="16"/>
      <c r="P60" s="16"/>
      <c r="Q60" s="3"/>
      <c r="R60" s="3"/>
      <c r="S60" s="3"/>
      <c r="X60" s="15"/>
      <c r="Y60" s="15"/>
      <c r="Z60" s="15"/>
      <c r="AB60" s="16"/>
    </row>
    <row r="61" spans="1:28" x14ac:dyDescent="0.25">
      <c r="A61" t="s">
        <v>859</v>
      </c>
      <c r="B61" t="s">
        <v>43</v>
      </c>
      <c r="C61" t="s">
        <v>474</v>
      </c>
      <c r="E61" t="b">
        <v>0</v>
      </c>
      <c r="G61" s="3" t="b">
        <v>1</v>
      </c>
      <c r="H61" t="b" cm="1">
        <f t="array" aca="1" ref="H61" ca="1">FileExists(N61,NOW())</f>
        <v>1</v>
      </c>
      <c r="I61" t="b" cm="1">
        <f t="array" aca="1" ref="I61" ca="1">FileExists(O61,NOW())</f>
        <v>1</v>
      </c>
      <c r="J61" s="17" t="b" cm="1">
        <f t="array" aca="1" ref="J61" ca="1">FileExists(P61,NOW())</f>
        <v>1</v>
      </c>
      <c r="K61" s="15" cm="1">
        <f t="array" aca="1" ref="K61" ca="1">IF(H61,fileModifiedDate(N61, NOW()),0)</f>
        <v>44899.291284722225</v>
      </c>
      <c r="L61" s="15" cm="1">
        <f t="array" aca="1" ref="L61" ca="1">IF(I61,fileModifiedDate(O61, NOW()),0)</f>
        <v>44892.973553240743</v>
      </c>
      <c r="M61" s="15" cm="1">
        <f t="array" aca="1" ref="M61" ca="1">IF(J61,fileModifiedDate(P61, NOW()),0)</f>
        <v>44899.291284722225</v>
      </c>
      <c r="N61" s="16" t="str">
        <f t="shared" si="15"/>
        <v>D:\OneDrive-Sync\Christian Dior Couture\APAC Management - Reports - Reports\DClick\Images\VM22\wBags_NetSales.png</v>
      </c>
      <c r="O61" s="16" t="str">
        <f t="shared" si="16"/>
        <v>D:\OneDrive-Sync\Christian Dior Couture\APAC Management - Reports - Reports\DClick\Images\VM24\wBags_NetSales.png</v>
      </c>
      <c r="P61" s="16" t="str">
        <f t="shared" si="16"/>
        <v>D:\OneDrive-Sync\Christian Dior Couture\APAC Management - Reports - Reports\DClick\Images\wBags_NetSales.png</v>
      </c>
      <c r="Q61" t="b">
        <f t="shared" ref="Q61:Q72" si="33">S61</f>
        <v>0</v>
      </c>
      <c r="R61" t="b">
        <f t="shared" ref="R61:R72" ca="1" si="34">T61</f>
        <v>0</v>
      </c>
      <c r="S61" t="b">
        <v>0</v>
      </c>
      <c r="T61" t="b">
        <f t="shared" ref="T61:T72" ca="1" si="35">NOT(AND(IF(K61,K61&gt;X61,FALSE),NOT(Q61)))</f>
        <v>0</v>
      </c>
      <c r="U61" t="b">
        <f t="shared" ref="U61:V72" ca="1" si="36">NOT(AND(IF(L61,L61&gt;Y61,FALSE),NOT(R61)))</f>
        <v>1</v>
      </c>
      <c r="V61" s="17" t="b">
        <f t="shared" ca="1" si="14"/>
        <v>0</v>
      </c>
      <c r="W61">
        <f t="shared" ca="1" si="19"/>
        <v>0</v>
      </c>
      <c r="X61" s="15">
        <f t="shared" ca="1" si="20"/>
        <v>44899.125</v>
      </c>
      <c r="Y61" s="15">
        <f t="shared" ca="1" si="21"/>
        <v>44899.125</v>
      </c>
      <c r="Z61" s="15">
        <f t="shared" ca="1" si="21"/>
        <v>44899.125</v>
      </c>
      <c r="AA61">
        <f t="shared" ca="1" si="22"/>
        <v>1</v>
      </c>
      <c r="AB61" s="16" t="str">
        <f t="shared" ca="1" si="23"/>
        <v>D:\OneDrive-Sync\Christian Dior Couture\APAC Management - Reports - Reports\DClick\Images\VM22\wBags_NetSales.png</v>
      </c>
    </row>
    <row r="62" spans="1:28" x14ac:dyDescent="0.25">
      <c r="A62" t="s">
        <v>859</v>
      </c>
      <c r="B62" t="s">
        <v>42</v>
      </c>
      <c r="C62" t="s">
        <v>475</v>
      </c>
      <c r="E62" t="b">
        <v>0</v>
      </c>
      <c r="G62" s="3" t="b">
        <v>1</v>
      </c>
      <c r="H62" t="b" cm="1">
        <f t="array" aca="1" ref="H62" ca="1">FileExists(N62,NOW())</f>
        <v>1</v>
      </c>
      <c r="I62" t="b" cm="1">
        <f t="array" aca="1" ref="I62" ca="1">FileExists(O62,NOW())</f>
        <v>1</v>
      </c>
      <c r="J62" s="17" t="b" cm="1">
        <f t="array" aca="1" ref="J62" ca="1">FileExists(P62,NOW())</f>
        <v>1</v>
      </c>
      <c r="K62" s="15" cm="1">
        <f t="array" aca="1" ref="K62" ca="1">IF(H62,fileModifiedDate(N62, NOW()),0)</f>
        <v>44899.292511574073</v>
      </c>
      <c r="L62" s="15" cm="1">
        <f t="array" aca="1" ref="L62" ca="1">IF(I62,fileModifiedDate(O62, NOW()),0)</f>
        <v>44892.974872685183</v>
      </c>
      <c r="M62" s="15" cm="1">
        <f t="array" aca="1" ref="M62" ca="1">IF(J62,fileModifiedDate(P62, NOW()),0)</f>
        <v>44899.292511574073</v>
      </c>
      <c r="N62" s="16" t="str">
        <f t="shared" si="15"/>
        <v>D:\OneDrive-Sync\Christian Dior Couture\APAC Management - Reports - Reports\DClick\Images\VM22\wRTW_NetSales.png</v>
      </c>
      <c r="O62" s="16" t="str">
        <f t="shared" si="16"/>
        <v>D:\OneDrive-Sync\Christian Dior Couture\APAC Management - Reports - Reports\DClick\Images\VM24\wRTW_NetSales.png</v>
      </c>
      <c r="P62" s="16" t="str">
        <f t="shared" si="16"/>
        <v>D:\OneDrive-Sync\Christian Dior Couture\APAC Management - Reports - Reports\DClick\Images\wRTW_NetSales.png</v>
      </c>
      <c r="Q62" t="b">
        <f t="shared" si="33"/>
        <v>0</v>
      </c>
      <c r="R62" t="b">
        <f t="shared" ca="1" si="34"/>
        <v>0</v>
      </c>
      <c r="S62" t="b">
        <v>0</v>
      </c>
      <c r="T62" t="b">
        <f t="shared" ca="1" si="35"/>
        <v>0</v>
      </c>
      <c r="U62" t="b">
        <f t="shared" ca="1" si="36"/>
        <v>1</v>
      </c>
      <c r="V62" s="17" t="b">
        <f t="shared" ca="1" si="36"/>
        <v>0</v>
      </c>
      <c r="W62">
        <f t="shared" ca="1" si="19"/>
        <v>0</v>
      </c>
      <c r="X62" s="15">
        <f t="shared" ca="1" si="20"/>
        <v>44899.125</v>
      </c>
      <c r="Y62" s="15">
        <f t="shared" ca="1" si="21"/>
        <v>44899.125</v>
      </c>
      <c r="Z62" s="15">
        <f t="shared" ca="1" si="21"/>
        <v>44899.125</v>
      </c>
      <c r="AA62">
        <f t="shared" ca="1" si="22"/>
        <v>1</v>
      </c>
      <c r="AB62" s="16" t="str">
        <f t="shared" ca="1" si="23"/>
        <v>D:\OneDrive-Sync\Christian Dior Couture\APAC Management - Reports - Reports\DClick\Images\VM22\wRTW_NetSales.png</v>
      </c>
    </row>
    <row r="63" spans="1:28" x14ac:dyDescent="0.25">
      <c r="A63" t="s">
        <v>859</v>
      </c>
      <c r="B63" t="s">
        <v>45</v>
      </c>
      <c r="C63" t="s">
        <v>476</v>
      </c>
      <c r="E63" t="b">
        <v>0</v>
      </c>
      <c r="G63" s="3" t="b">
        <v>1</v>
      </c>
      <c r="H63" t="b" cm="1">
        <f t="array" aca="1" ref="H63" ca="1">FileExists(N63,NOW())</f>
        <v>1</v>
      </c>
      <c r="I63" t="b" cm="1">
        <f t="array" aca="1" ref="I63" ca="1">FileExists(O63,NOW())</f>
        <v>0</v>
      </c>
      <c r="J63" s="17" t="b" cm="1">
        <f t="array" aca="1" ref="J63" ca="1">FileExists(P63,NOW())</f>
        <v>1</v>
      </c>
      <c r="K63" s="15" cm="1">
        <f t="array" aca="1" ref="K63" ca="1">IF(H63,fileModifiedDate(N63, NOW()),0)</f>
        <v>44899.293761574074</v>
      </c>
      <c r="L63" s="15" cm="1">
        <f t="array" aca="1" ref="L63" ca="1">IF(I63,fileModifiedDate(O63, NOW()),0)</f>
        <v>0</v>
      </c>
      <c r="M63" s="15" cm="1">
        <f t="array" aca="1" ref="M63" ca="1">IF(J63,fileModifiedDate(P63, NOW()),0)</f>
        <v>44899.293761574074</v>
      </c>
      <c r="N63" s="16" t="str">
        <f t="shared" si="15"/>
        <v>D:\OneDrive-Sync\Christian Dior Couture\APAC Management - Reports - Reports\DClick\Images\VM22\wShoes_NetSales.png</v>
      </c>
      <c r="O63" s="16" t="str">
        <f t="shared" si="16"/>
        <v>D:\OneDrive-Sync\Christian Dior Couture\APAC Management - Reports - Reports\DClick\Images\VM24\wShoes_NetSales.png</v>
      </c>
      <c r="P63" s="16" t="str">
        <f t="shared" si="16"/>
        <v>D:\OneDrive-Sync\Christian Dior Couture\APAC Management - Reports - Reports\DClick\Images\wShoes_NetSales.png</v>
      </c>
      <c r="Q63" t="b">
        <f t="shared" si="33"/>
        <v>0</v>
      </c>
      <c r="R63" t="b">
        <f t="shared" ca="1" si="34"/>
        <v>0</v>
      </c>
      <c r="S63" t="b">
        <v>0</v>
      </c>
      <c r="T63" t="b">
        <f t="shared" ca="1" si="35"/>
        <v>0</v>
      </c>
      <c r="U63" t="b">
        <f t="shared" ca="1" si="36"/>
        <v>1</v>
      </c>
      <c r="V63" s="17" t="b">
        <f t="shared" ca="1" si="36"/>
        <v>0</v>
      </c>
      <c r="W63">
        <f t="shared" ca="1" si="19"/>
        <v>0</v>
      </c>
      <c r="X63" s="15">
        <f t="shared" ca="1" si="20"/>
        <v>44899.125</v>
      </c>
      <c r="Y63" s="15">
        <f t="shared" ca="1" si="21"/>
        <v>44899.125</v>
      </c>
      <c r="Z63" s="15">
        <f t="shared" ca="1" si="21"/>
        <v>44899.125</v>
      </c>
      <c r="AA63">
        <f t="shared" ca="1" si="22"/>
        <v>1</v>
      </c>
      <c r="AB63" s="16" t="str">
        <f t="shared" ca="1" si="23"/>
        <v>D:\OneDrive-Sync\Christian Dior Couture\APAC Management - Reports - Reports\DClick\Images\VM22\wShoes_NetSales.png</v>
      </c>
    </row>
    <row r="64" spans="1:28" x14ac:dyDescent="0.25">
      <c r="A64" t="s">
        <v>859</v>
      </c>
      <c r="B64" t="s">
        <v>47</v>
      </c>
      <c r="C64" t="s">
        <v>477</v>
      </c>
      <c r="E64" t="b">
        <v>0</v>
      </c>
      <c r="G64" s="3" t="b">
        <v>1</v>
      </c>
      <c r="H64" t="b" cm="1">
        <f t="array" aca="1" ref="H64" ca="1">FileExists(N64,NOW())</f>
        <v>1</v>
      </c>
      <c r="I64" t="b" cm="1">
        <f t="array" aca="1" ref="I64" ca="1">FileExists(O64,NOW())</f>
        <v>0</v>
      </c>
      <c r="J64" s="17" t="b" cm="1">
        <f t="array" aca="1" ref="J64" ca="1">FileExists(P64,NOW())</f>
        <v>1</v>
      </c>
      <c r="K64" s="15" cm="1">
        <f t="array" aca="1" ref="K64" ca="1">IF(H64,fileModifiedDate(N64, NOW()),0)</f>
        <v>44899.295023148145</v>
      </c>
      <c r="L64" s="15" cm="1">
        <f t="array" aca="1" ref="L64" ca="1">IF(I64,fileModifiedDate(O64, NOW()),0)</f>
        <v>0</v>
      </c>
      <c r="M64" s="15" cm="1">
        <f t="array" aca="1" ref="M64" ca="1">IF(J64,fileModifiedDate(P64, NOW()),0)</f>
        <v>44899.295023148145</v>
      </c>
      <c r="N64" s="16" t="str">
        <f t="shared" si="15"/>
        <v>D:\OneDrive-Sync\Christian Dior Couture\APAC Management - Reports - Reports\DClick\Images\VM22\wAccessories_NetSales.png</v>
      </c>
      <c r="O64" s="16" t="str">
        <f t="shared" si="16"/>
        <v>D:\OneDrive-Sync\Christian Dior Couture\APAC Management - Reports - Reports\DClick\Images\VM24\wAccessories_NetSales.png</v>
      </c>
      <c r="P64" s="16" t="str">
        <f t="shared" si="16"/>
        <v>D:\OneDrive-Sync\Christian Dior Couture\APAC Management - Reports - Reports\DClick\Images\wAccessories_NetSales.png</v>
      </c>
      <c r="Q64" t="b">
        <f t="shared" si="33"/>
        <v>0</v>
      </c>
      <c r="R64" t="b">
        <f t="shared" ca="1" si="34"/>
        <v>0</v>
      </c>
      <c r="S64" t="b">
        <v>0</v>
      </c>
      <c r="T64" t="b">
        <f t="shared" ca="1" si="35"/>
        <v>0</v>
      </c>
      <c r="U64" t="b">
        <f t="shared" ca="1" si="36"/>
        <v>1</v>
      </c>
      <c r="V64" s="17" t="b">
        <f t="shared" ca="1" si="36"/>
        <v>0</v>
      </c>
      <c r="W64">
        <f t="shared" ca="1" si="19"/>
        <v>0</v>
      </c>
      <c r="X64" s="15">
        <f t="shared" ca="1" si="20"/>
        <v>44899.125</v>
      </c>
      <c r="Y64" s="15">
        <f t="shared" ca="1" si="21"/>
        <v>44899.125</v>
      </c>
      <c r="Z64" s="15">
        <f t="shared" ca="1" si="21"/>
        <v>44899.125</v>
      </c>
      <c r="AA64">
        <f t="shared" ca="1" si="22"/>
        <v>1</v>
      </c>
      <c r="AB64" s="16" t="str">
        <f t="shared" ca="1" si="23"/>
        <v>D:\OneDrive-Sync\Christian Dior Couture\APAC Management - Reports - Reports\DClick\Images\VM22\wAccessories_NetSales.png</v>
      </c>
    </row>
    <row r="65" spans="1:28" x14ac:dyDescent="0.25">
      <c r="A65" t="s">
        <v>859</v>
      </c>
      <c r="B65" t="s">
        <v>49</v>
      </c>
      <c r="C65" t="s">
        <v>478</v>
      </c>
      <c r="E65" t="b">
        <v>0</v>
      </c>
      <c r="G65" s="3" t="b">
        <v>1</v>
      </c>
      <c r="H65" t="b" cm="1">
        <f t="array" aca="1" ref="H65" ca="1">FileExists(N65,NOW())</f>
        <v>1</v>
      </c>
      <c r="I65" t="b" cm="1">
        <f t="array" aca="1" ref="I65" ca="1">FileExists(O65,NOW())</f>
        <v>0</v>
      </c>
      <c r="J65" s="17" t="b" cm="1">
        <f t="array" aca="1" ref="J65" ca="1">FileExists(P65,NOW())</f>
        <v>1</v>
      </c>
      <c r="K65" s="15" cm="1">
        <f t="array" aca="1" ref="K65" ca="1">IF(H65,fileModifiedDate(N65, NOW()),0)</f>
        <v>44899.296261574076</v>
      </c>
      <c r="L65" s="15" cm="1">
        <f t="array" aca="1" ref="L65" ca="1">IF(I65,fileModifiedDate(O65, NOW()),0)</f>
        <v>0</v>
      </c>
      <c r="M65" s="15" cm="1">
        <f t="array" aca="1" ref="M65" ca="1">IF(J65,fileModifiedDate(P65, NOW()),0)</f>
        <v>44899.296261574076</v>
      </c>
      <c r="N65" s="16" t="str">
        <f t="shared" si="15"/>
        <v>D:\OneDrive-Sync\Christian Dior Couture\APAC Management - Reports - Reports\DClick\Images\VM22\JewelleryAndWatches_NetSales.png</v>
      </c>
      <c r="O65" s="16" t="str">
        <f t="shared" si="16"/>
        <v>D:\OneDrive-Sync\Christian Dior Couture\APAC Management - Reports - Reports\DClick\Images\VM24\JewelleryAndWatches_NetSales.png</v>
      </c>
      <c r="P65" s="16" t="str">
        <f t="shared" si="16"/>
        <v>D:\OneDrive-Sync\Christian Dior Couture\APAC Management - Reports - Reports\DClick\Images\JewelleryAndWatches_NetSales.png</v>
      </c>
      <c r="Q65" t="b">
        <f t="shared" si="33"/>
        <v>0</v>
      </c>
      <c r="R65" t="b">
        <f t="shared" ca="1" si="34"/>
        <v>0</v>
      </c>
      <c r="S65" t="b">
        <v>0</v>
      </c>
      <c r="T65" t="b">
        <f t="shared" ca="1" si="35"/>
        <v>0</v>
      </c>
      <c r="U65" t="b">
        <f t="shared" ca="1" si="36"/>
        <v>1</v>
      </c>
      <c r="V65" s="17" t="b">
        <f t="shared" ca="1" si="36"/>
        <v>0</v>
      </c>
      <c r="W65">
        <f t="shared" ca="1" si="19"/>
        <v>0</v>
      </c>
      <c r="X65" s="15">
        <f t="shared" ca="1" si="20"/>
        <v>44899.125</v>
      </c>
      <c r="Y65" s="15">
        <f t="shared" ca="1" si="21"/>
        <v>44899.125</v>
      </c>
      <c r="Z65" s="15">
        <f t="shared" ca="1" si="21"/>
        <v>44899.125</v>
      </c>
      <c r="AA65">
        <f t="shared" ca="1" si="22"/>
        <v>1</v>
      </c>
      <c r="AB65" s="16" t="str">
        <f t="shared" ca="1" si="23"/>
        <v>D:\OneDrive-Sync\Christian Dior Couture\APAC Management - Reports - Reports\DClick\Images\VM22\JewelleryAndWatches_NetSales.png</v>
      </c>
    </row>
    <row r="66" spans="1:28" x14ac:dyDescent="0.25">
      <c r="A66" t="s">
        <v>859</v>
      </c>
      <c r="B66" t="s">
        <v>50</v>
      </c>
      <c r="C66" t="s">
        <v>479</v>
      </c>
      <c r="E66" t="b">
        <v>0</v>
      </c>
      <c r="G66" s="3" t="b">
        <v>1</v>
      </c>
      <c r="H66" t="b" cm="1">
        <f t="array" aca="1" ref="H66" ca="1">FileExists(N66,NOW())</f>
        <v>1</v>
      </c>
      <c r="I66" t="b" cm="1">
        <f t="array" aca="1" ref="I66" ca="1">FileExists(O66,NOW())</f>
        <v>0</v>
      </c>
      <c r="J66" s="17" t="b" cm="1">
        <f t="array" aca="1" ref="J66" ca="1">FileExists(P66,NOW())</f>
        <v>1</v>
      </c>
      <c r="K66" s="15" cm="1">
        <f t="array" aca="1" ref="K66" ca="1">IF(H66,fileModifiedDate(N66, NOW()),0)</f>
        <v>44899.297511574077</v>
      </c>
      <c r="L66" s="15" cm="1">
        <f t="array" aca="1" ref="L66" ca="1">IF(I66,fileModifiedDate(O66, NOW()),0)</f>
        <v>0</v>
      </c>
      <c r="M66" s="15" cm="1">
        <f t="array" aca="1" ref="M66" ca="1">IF(J66,fileModifiedDate(P66, NOW()),0)</f>
        <v>44899.297511574077</v>
      </c>
      <c r="N66" s="16" t="str">
        <f t="shared" si="15"/>
        <v>D:\OneDrive-Sync\Christian Dior Couture\APAC Management - Reports - Reports\DClick\Images\VM22\Mens_NetSales.png</v>
      </c>
      <c r="O66" s="16" t="str">
        <f t="shared" si="16"/>
        <v>D:\OneDrive-Sync\Christian Dior Couture\APAC Management - Reports - Reports\DClick\Images\VM24\Mens_NetSales.png</v>
      </c>
      <c r="P66" s="16" t="str">
        <f t="shared" si="16"/>
        <v>D:\OneDrive-Sync\Christian Dior Couture\APAC Management - Reports - Reports\DClick\Images\Mens_NetSales.png</v>
      </c>
      <c r="Q66" t="b">
        <f t="shared" si="33"/>
        <v>0</v>
      </c>
      <c r="R66" t="b">
        <f t="shared" ca="1" si="34"/>
        <v>0</v>
      </c>
      <c r="S66" t="b">
        <v>0</v>
      </c>
      <c r="T66" t="b">
        <f t="shared" ca="1" si="35"/>
        <v>0</v>
      </c>
      <c r="U66" t="b">
        <f t="shared" ca="1" si="36"/>
        <v>1</v>
      </c>
      <c r="V66" s="17" t="b">
        <f t="shared" ca="1" si="36"/>
        <v>0</v>
      </c>
      <c r="W66">
        <f t="shared" ca="1" si="19"/>
        <v>0</v>
      </c>
      <c r="X66" s="15">
        <f t="shared" ca="1" si="20"/>
        <v>44899.125</v>
      </c>
      <c r="Y66" s="15">
        <f t="shared" ca="1" si="21"/>
        <v>44899.125</v>
      </c>
      <c r="Z66" s="15">
        <f t="shared" ca="1" si="21"/>
        <v>44899.125</v>
      </c>
      <c r="AA66">
        <f t="shared" ca="1" si="22"/>
        <v>1</v>
      </c>
      <c r="AB66" s="16" t="str">
        <f t="shared" ca="1" si="23"/>
        <v>D:\OneDrive-Sync\Christian Dior Couture\APAC Management - Reports - Reports\DClick\Images\VM22\Mens_NetSales.png</v>
      </c>
    </row>
    <row r="67" spans="1:28" x14ac:dyDescent="0.25">
      <c r="A67" t="s">
        <v>859</v>
      </c>
      <c r="B67" t="s">
        <v>51</v>
      </c>
      <c r="C67" t="s">
        <v>480</v>
      </c>
      <c r="E67" t="b">
        <v>0</v>
      </c>
      <c r="G67" s="3" t="b">
        <v>1</v>
      </c>
      <c r="H67" t="b" cm="1">
        <f t="array" aca="1" ref="H67" ca="1">FileExists(N67,NOW())</f>
        <v>1</v>
      </c>
      <c r="I67" t="b" cm="1">
        <f t="array" aca="1" ref="I67" ca="1">FileExists(O67,NOW())</f>
        <v>0</v>
      </c>
      <c r="J67" s="17" t="b" cm="1">
        <f t="array" aca="1" ref="J67" ca="1">FileExists(P67,NOW())</f>
        <v>1</v>
      </c>
      <c r="K67" s="15" cm="1">
        <f t="array" aca="1" ref="K67" ca="1">IF(H67,fileModifiedDate(N67, NOW()),0)</f>
        <v>44899.298738425925</v>
      </c>
      <c r="L67" s="15" cm="1">
        <f t="array" aca="1" ref="L67" ca="1">IF(I67,fileModifiedDate(O67, NOW()),0)</f>
        <v>0</v>
      </c>
      <c r="M67" s="15" cm="1">
        <f t="array" aca="1" ref="M67" ca="1">IF(J67,fileModifiedDate(P67, NOW()),0)</f>
        <v>44899.298738425925</v>
      </c>
      <c r="N67" s="16" t="str">
        <f t="shared" si="15"/>
        <v>D:\OneDrive-Sync\Christian Dior Couture\APAC Management - Reports - Reports\DClick\Images\VM22\Baby_NetSales.png</v>
      </c>
      <c r="O67" s="16" t="str">
        <f t="shared" si="16"/>
        <v>D:\OneDrive-Sync\Christian Dior Couture\APAC Management - Reports - Reports\DClick\Images\VM24\Baby_NetSales.png</v>
      </c>
      <c r="P67" s="16" t="str">
        <f t="shared" si="16"/>
        <v>D:\OneDrive-Sync\Christian Dior Couture\APAC Management - Reports - Reports\DClick\Images\Baby_NetSales.png</v>
      </c>
      <c r="Q67" t="b">
        <f t="shared" si="33"/>
        <v>0</v>
      </c>
      <c r="R67" t="b">
        <f t="shared" ca="1" si="34"/>
        <v>0</v>
      </c>
      <c r="S67" t="b">
        <v>0</v>
      </c>
      <c r="T67" t="b">
        <f t="shared" ca="1" si="35"/>
        <v>0</v>
      </c>
      <c r="U67" t="b">
        <f t="shared" ca="1" si="36"/>
        <v>1</v>
      </c>
      <c r="V67" s="17" t="b">
        <f t="shared" ca="1" si="36"/>
        <v>0</v>
      </c>
      <c r="W67">
        <f t="shared" ca="1" si="19"/>
        <v>0</v>
      </c>
      <c r="X67" s="15">
        <f t="shared" ca="1" si="20"/>
        <v>44899.125</v>
      </c>
      <c r="Y67" s="15">
        <f t="shared" ca="1" si="21"/>
        <v>44899.125</v>
      </c>
      <c r="Z67" s="15">
        <f t="shared" ca="1" si="21"/>
        <v>44899.125</v>
      </c>
      <c r="AA67">
        <f t="shared" ca="1" si="22"/>
        <v>1</v>
      </c>
      <c r="AB67" s="16" t="str">
        <f t="shared" ca="1" si="23"/>
        <v>D:\OneDrive-Sync\Christian Dior Couture\APAC Management - Reports - Reports\DClick\Images\VM22\Baby_NetSales.png</v>
      </c>
    </row>
    <row r="68" spans="1:28" x14ac:dyDescent="0.25">
      <c r="A68" t="s">
        <v>859</v>
      </c>
      <c r="B68" t="s">
        <v>562</v>
      </c>
      <c r="C68" t="s">
        <v>563</v>
      </c>
      <c r="E68" t="b">
        <v>0</v>
      </c>
      <c r="G68" s="3" t="b">
        <v>1</v>
      </c>
      <c r="H68" t="b" cm="1">
        <f t="array" aca="1" ref="H68" ca="1">FileExists(N68,NOW())</f>
        <v>1</v>
      </c>
      <c r="I68" t="b" cm="1">
        <f t="array" aca="1" ref="I68" ca="1">FileExists(O68,NOW())</f>
        <v>0</v>
      </c>
      <c r="J68" s="17" t="b" cm="1">
        <f t="array" aca="1" ref="J68" ca="1">FileExists(P68,NOW())</f>
        <v>1</v>
      </c>
      <c r="K68" s="15" cm="1">
        <f t="array" aca="1" ref="K68" ca="1">IF(H68,fileModifiedDate(N68, NOW()),0)</f>
        <v>44899.3</v>
      </c>
      <c r="L68" s="15" cm="1">
        <f t="array" aca="1" ref="L68" ca="1">IF(I68,fileModifiedDate(O68, NOW()),0)</f>
        <v>0</v>
      </c>
      <c r="M68" s="15" cm="1">
        <f t="array" aca="1" ref="M68" ca="1">IF(J68,fileModifiedDate(P68, NOW()),0)</f>
        <v>44899.3</v>
      </c>
      <c r="N68" s="16" t="str">
        <f t="shared" si="15"/>
        <v>D:\OneDrive-Sync\Christian Dior Couture\APAC Management - Reports - Reports\DClick\Images\VM22\wSLG_NetSales.png</v>
      </c>
      <c r="O68" s="16" t="str">
        <f t="shared" si="16"/>
        <v>D:\OneDrive-Sync\Christian Dior Couture\APAC Management - Reports - Reports\DClick\Images\VM24\wSLG_NetSales.png</v>
      </c>
      <c r="P68" s="16" t="str">
        <f t="shared" si="16"/>
        <v>D:\OneDrive-Sync\Christian Dior Couture\APAC Management - Reports - Reports\DClick\Images\wSLG_NetSales.png</v>
      </c>
      <c r="Q68" t="b">
        <f t="shared" si="33"/>
        <v>0</v>
      </c>
      <c r="R68" t="b">
        <f t="shared" ca="1" si="34"/>
        <v>0</v>
      </c>
      <c r="S68" t="b">
        <v>0</v>
      </c>
      <c r="T68" t="b">
        <f t="shared" ca="1" si="35"/>
        <v>0</v>
      </c>
      <c r="U68" t="b">
        <f t="shared" ca="1" si="36"/>
        <v>1</v>
      </c>
      <c r="V68" s="17" t="b">
        <f t="shared" ca="1" si="36"/>
        <v>0</v>
      </c>
      <c r="W68">
        <f t="shared" ca="1" si="19"/>
        <v>0</v>
      </c>
      <c r="X68" s="15">
        <f t="shared" ca="1" si="20"/>
        <v>44899.125</v>
      </c>
      <c r="Y68" s="15">
        <f t="shared" ca="1" si="21"/>
        <v>44899.125</v>
      </c>
      <c r="Z68" s="15">
        <f t="shared" ca="1" si="21"/>
        <v>44899.125</v>
      </c>
      <c r="AA68">
        <f t="shared" ca="1" si="22"/>
        <v>1</v>
      </c>
      <c r="AB68" s="16" t="str">
        <f t="shared" ca="1" si="23"/>
        <v>D:\OneDrive-Sync\Christian Dior Couture\APAC Management - Reports - Reports\DClick\Images\VM22\wSLG_NetSales.png</v>
      </c>
    </row>
    <row r="69" spans="1:28" x14ac:dyDescent="0.25">
      <c r="A69" t="s">
        <v>859</v>
      </c>
      <c r="B69" t="s">
        <v>55</v>
      </c>
      <c r="C69" t="s">
        <v>465</v>
      </c>
      <c r="E69" t="b">
        <v>0</v>
      </c>
      <c r="G69" s="3" t="b">
        <v>1</v>
      </c>
      <c r="H69" t="b" cm="1">
        <f t="array" aca="1" ref="H69" ca="1">FileExists(N69,NOW())</f>
        <v>1</v>
      </c>
      <c r="I69" t="b" cm="1">
        <f t="array" aca="1" ref="I69" ca="1">FileExists(O69,NOW())</f>
        <v>0</v>
      </c>
      <c r="J69" s="17" t="b" cm="1">
        <f t="array" aca="1" ref="J69" ca="1">FileExists(P69,NOW())</f>
        <v>1</v>
      </c>
      <c r="K69" s="15" cm="1">
        <f t="array" aca="1" ref="K69" ca="1">IF(H69,fileModifiedDate(N69, NOW()),0)</f>
        <v>44899.301238425927</v>
      </c>
      <c r="L69" s="15" cm="1">
        <f t="array" aca="1" ref="L69" ca="1">IF(I69,fileModifiedDate(O69, NOW()),0)</f>
        <v>0</v>
      </c>
      <c r="M69" s="15" cm="1">
        <f t="array" aca="1" ref="M69" ca="1">IF(J69,fileModifiedDate(P69, NOW()),0)</f>
        <v>44899.301238425927</v>
      </c>
      <c r="N69" s="16" t="str">
        <f t="shared" si="15"/>
        <v>D:\OneDrive-Sync\Christian Dior Couture\APAC Management - Reports - Reports\DClick\Images\VM22\ALL_NetSales.png</v>
      </c>
      <c r="O69" s="16" t="str">
        <f t="shared" si="16"/>
        <v>D:\OneDrive-Sync\Christian Dior Couture\APAC Management - Reports - Reports\DClick\Images\VM24\ALL_NetSales.png</v>
      </c>
      <c r="P69" s="16" t="str">
        <f t="shared" si="16"/>
        <v>D:\OneDrive-Sync\Christian Dior Couture\APAC Management - Reports - Reports\DClick\Images\ALL_NetSales.png</v>
      </c>
      <c r="Q69" t="b">
        <f t="shared" si="33"/>
        <v>0</v>
      </c>
      <c r="R69" t="b">
        <f t="shared" ca="1" si="34"/>
        <v>0</v>
      </c>
      <c r="S69" t="b">
        <v>0</v>
      </c>
      <c r="T69" t="b">
        <f t="shared" ca="1" si="35"/>
        <v>0</v>
      </c>
      <c r="U69" t="b">
        <f t="shared" ca="1" si="36"/>
        <v>1</v>
      </c>
      <c r="V69" s="17" t="b">
        <f t="shared" ca="1" si="36"/>
        <v>0</v>
      </c>
      <c r="W69">
        <f t="shared" ca="1" si="19"/>
        <v>0</v>
      </c>
      <c r="X69" s="15">
        <f t="shared" ca="1" si="20"/>
        <v>44899.125</v>
      </c>
      <c r="Y69" s="15">
        <f t="shared" ca="1" si="21"/>
        <v>44899.125</v>
      </c>
      <c r="Z69" s="15">
        <f t="shared" ca="1" si="21"/>
        <v>44899.125</v>
      </c>
      <c r="AA69">
        <f t="shared" ca="1" si="22"/>
        <v>1</v>
      </c>
      <c r="AB69" s="16" t="str">
        <f t="shared" ca="1" si="23"/>
        <v>D:\OneDrive-Sync\Christian Dior Couture\APAC Management - Reports - Reports\DClick\Images\VM22\ALL_NetSales.png</v>
      </c>
    </row>
    <row r="70" spans="1:28" x14ac:dyDescent="0.25">
      <c r="A70" t="s">
        <v>859</v>
      </c>
      <c r="B70" t="s">
        <v>567</v>
      </c>
      <c r="C70" t="s">
        <v>566</v>
      </c>
      <c r="E70" t="b">
        <v>0</v>
      </c>
      <c r="G70" s="3" t="b">
        <v>1</v>
      </c>
      <c r="H70" t="b" cm="1">
        <f t="array" aca="1" ref="H70" ca="1">FileExists(N70,NOW())</f>
        <v>1</v>
      </c>
      <c r="I70" t="b" cm="1">
        <f t="array" aca="1" ref="I70" ca="1">FileExists(O70,NOW())</f>
        <v>0</v>
      </c>
      <c r="J70" s="17" t="b" cm="1">
        <f t="array" aca="1" ref="J70" ca="1">FileExists(P70,NOW())</f>
        <v>1</v>
      </c>
      <c r="K70" s="15" cm="1">
        <f t="array" aca="1" ref="K70" ca="1">IF(H70,fileModifiedDate(N70, NOW()),0)</f>
        <v>44899.302499999998</v>
      </c>
      <c r="L70" s="15" cm="1">
        <f t="array" aca="1" ref="L70" ca="1">IF(I70,fileModifiedDate(O70, NOW()),0)</f>
        <v>0</v>
      </c>
      <c r="M70" s="15" cm="1">
        <f t="array" aca="1" ref="M70" ca="1">IF(J70,fileModifiedDate(P70, NOW()),0)</f>
        <v>44899.302499999998</v>
      </c>
      <c r="N70" s="16" t="str">
        <f t="shared" si="15"/>
        <v>D:\OneDrive-Sync\Christian Dior Couture\APAC Management - Reports - Reports\DClick\Images\VM22\mBags_mRTW_NetSales.png</v>
      </c>
      <c r="O70" s="16" t="str">
        <f t="shared" si="16"/>
        <v>D:\OneDrive-Sync\Christian Dior Couture\APAC Management - Reports - Reports\DClick\Images\VM24\mBags_mRTW_NetSales.png</v>
      </c>
      <c r="P70" s="16" t="str">
        <f t="shared" si="16"/>
        <v>D:\OneDrive-Sync\Christian Dior Couture\APAC Management - Reports - Reports\DClick\Images\mBags_mRTW_NetSales.png</v>
      </c>
      <c r="Q70" t="b">
        <f t="shared" si="33"/>
        <v>0</v>
      </c>
      <c r="R70" t="b">
        <f t="shared" ca="1" si="34"/>
        <v>0</v>
      </c>
      <c r="S70" t="b">
        <v>0</v>
      </c>
      <c r="T70" t="b">
        <f t="shared" ca="1" si="35"/>
        <v>0</v>
      </c>
      <c r="U70" t="b">
        <f t="shared" ca="1" si="36"/>
        <v>1</v>
      </c>
      <c r="V70" s="17" t="b">
        <f t="shared" ca="1" si="36"/>
        <v>0</v>
      </c>
      <c r="W70">
        <f t="shared" ca="1" si="19"/>
        <v>0</v>
      </c>
      <c r="X70" s="15">
        <f t="shared" ca="1" si="20"/>
        <v>44899.125</v>
      </c>
      <c r="Y70" s="15">
        <f t="shared" ca="1" si="21"/>
        <v>44899.125</v>
      </c>
      <c r="Z70" s="15">
        <f t="shared" ca="1" si="21"/>
        <v>44899.125</v>
      </c>
      <c r="AA70">
        <f t="shared" ca="1" si="22"/>
        <v>1</v>
      </c>
      <c r="AB70" s="16" t="str">
        <f t="shared" ca="1" si="23"/>
        <v>D:\OneDrive-Sync\Christian Dior Couture\APAC Management - Reports - Reports\DClick\Images\VM22\mBags_mRTW_NetSales.png</v>
      </c>
    </row>
    <row r="71" spans="1:28" x14ac:dyDescent="0.25">
      <c r="A71" t="s">
        <v>859</v>
      </c>
      <c r="B71" t="s">
        <v>571</v>
      </c>
      <c r="C71" t="s">
        <v>570</v>
      </c>
      <c r="E71" t="b">
        <v>0</v>
      </c>
      <c r="G71" s="3" t="b">
        <v>1</v>
      </c>
      <c r="H71" t="b" cm="1">
        <f t="array" aca="1" ref="H71" ca="1">FileExists(N71,NOW())</f>
        <v>1</v>
      </c>
      <c r="I71" t="b" cm="1">
        <f t="array" aca="1" ref="I71" ca="1">FileExists(O71,NOW())</f>
        <v>0</v>
      </c>
      <c r="J71" s="17" t="b" cm="1">
        <f t="array" aca="1" ref="J71" ca="1">FileExists(P71,NOW())</f>
        <v>1</v>
      </c>
      <c r="K71" s="15" cm="1">
        <f t="array" aca="1" ref="K71" ca="1">IF(H71,fileModifiedDate(N71, NOW()),0)</f>
        <v>44899.303796296299</v>
      </c>
      <c r="L71" s="15" cm="1">
        <f t="array" aca="1" ref="L71" ca="1">IF(I71,fileModifiedDate(O71, NOW()),0)</f>
        <v>0</v>
      </c>
      <c r="M71" s="15" cm="1">
        <f t="array" aca="1" ref="M71" ca="1">IF(J71,fileModifiedDate(P71, NOW()),0)</f>
        <v>44899.303796296299</v>
      </c>
      <c r="N71" s="16" t="str">
        <f t="shared" si="15"/>
        <v>D:\OneDrive-Sync\Christian Dior Couture\APAC Management - Reports - Reports\DClick\Images\VM22\mAcc_mShoes_NetSales.png</v>
      </c>
      <c r="O71" s="16" t="str">
        <f t="shared" si="16"/>
        <v>D:\OneDrive-Sync\Christian Dior Couture\APAC Management - Reports - Reports\DClick\Images\VM24\mAcc_mShoes_NetSales.png</v>
      </c>
      <c r="P71" s="16" t="str">
        <f t="shared" si="16"/>
        <v>D:\OneDrive-Sync\Christian Dior Couture\APAC Management - Reports - Reports\DClick\Images\mAcc_mShoes_NetSales.png</v>
      </c>
      <c r="Q71" t="b">
        <f t="shared" si="33"/>
        <v>0</v>
      </c>
      <c r="R71" t="b">
        <f t="shared" ca="1" si="34"/>
        <v>0</v>
      </c>
      <c r="S71" t="b">
        <v>0</v>
      </c>
      <c r="T71" t="b">
        <f t="shared" ca="1" si="35"/>
        <v>0</v>
      </c>
      <c r="U71" t="b">
        <f t="shared" ca="1" si="36"/>
        <v>1</v>
      </c>
      <c r="V71" s="17" t="b">
        <f t="shared" ca="1" si="36"/>
        <v>0</v>
      </c>
      <c r="W71">
        <f t="shared" ca="1" si="19"/>
        <v>0</v>
      </c>
      <c r="X71" s="15">
        <f t="shared" ca="1" si="20"/>
        <v>44899.125</v>
      </c>
      <c r="Y71" s="15">
        <f t="shared" ca="1" si="21"/>
        <v>44899.125</v>
      </c>
      <c r="Z71" s="15">
        <f t="shared" ca="1" si="21"/>
        <v>44899.125</v>
      </c>
      <c r="AA71">
        <f t="shared" ca="1" si="22"/>
        <v>1</v>
      </c>
      <c r="AB71" s="16" t="str">
        <f t="shared" ca="1" si="23"/>
        <v>D:\OneDrive-Sync\Christian Dior Couture\APAC Management - Reports - Reports\DClick\Images\VM22\mAcc_mShoes_NetSales.png</v>
      </c>
    </row>
    <row r="72" spans="1:28" x14ac:dyDescent="0.25">
      <c r="A72" t="s">
        <v>859</v>
      </c>
      <c r="B72" t="s">
        <v>575</v>
      </c>
      <c r="C72" t="s">
        <v>574</v>
      </c>
      <c r="E72" t="b">
        <v>0</v>
      </c>
      <c r="G72" s="3" t="b">
        <v>1</v>
      </c>
      <c r="H72" t="b" cm="1">
        <f t="array" aca="1" ref="H72" ca="1">FileExists(N72,NOW())</f>
        <v>1</v>
      </c>
      <c r="I72" t="b" cm="1">
        <f t="array" aca="1" ref="I72" ca="1">FileExists(O72,NOW())</f>
        <v>0</v>
      </c>
      <c r="J72" s="17" t="b" cm="1">
        <f t="array" aca="1" ref="J72" ca="1">FileExists(P72,NOW())</f>
        <v>1</v>
      </c>
      <c r="K72" s="15" cm="1">
        <f t="array" aca="1" ref="K72" ca="1">IF(H72,fileModifiedDate(N72, NOW()),0)</f>
        <v>44899.305069444446</v>
      </c>
      <c r="L72" s="15" cm="1">
        <f t="array" aca="1" ref="L72" ca="1">IF(I72,fileModifiedDate(O72, NOW()),0)</f>
        <v>0</v>
      </c>
      <c r="M72" s="15" cm="1">
        <f t="array" aca="1" ref="M72" ca="1">IF(J72,fileModifiedDate(P72, NOW()),0)</f>
        <v>44899.305069444446</v>
      </c>
      <c r="N72" s="16" t="str">
        <f t="shared" si="15"/>
        <v>D:\OneDrive-Sync\Christian Dior Couture\APAC Management - Reports - Reports\DClick\Images\VM22\mSLG_mSpecial_NetSales.png</v>
      </c>
      <c r="O72" s="16" t="str">
        <f t="shared" si="16"/>
        <v>D:\OneDrive-Sync\Christian Dior Couture\APAC Management - Reports - Reports\DClick\Images\VM24\mSLG_mSpecial_NetSales.png</v>
      </c>
      <c r="P72" s="16" t="str">
        <f t="shared" si="16"/>
        <v>D:\OneDrive-Sync\Christian Dior Couture\APAC Management - Reports - Reports\DClick\Images\mSLG_mSpecial_NetSales.png</v>
      </c>
      <c r="Q72" t="b">
        <f t="shared" si="33"/>
        <v>0</v>
      </c>
      <c r="R72" t="b">
        <f t="shared" ca="1" si="34"/>
        <v>0</v>
      </c>
      <c r="S72" t="b">
        <v>0</v>
      </c>
      <c r="T72" t="b">
        <f t="shared" ca="1" si="35"/>
        <v>0</v>
      </c>
      <c r="U72" t="b">
        <f t="shared" ca="1" si="36"/>
        <v>1</v>
      </c>
      <c r="V72" s="17" t="b">
        <f t="shared" ca="1" si="36"/>
        <v>0</v>
      </c>
      <c r="W72">
        <f t="shared" ca="1" si="19"/>
        <v>0</v>
      </c>
      <c r="X72" s="15">
        <f t="shared" ca="1" si="20"/>
        <v>44899.125</v>
      </c>
      <c r="Y72" s="15">
        <f t="shared" ca="1" si="21"/>
        <v>44899.125</v>
      </c>
      <c r="Z72" s="15">
        <f t="shared" ca="1" si="21"/>
        <v>44899.125</v>
      </c>
      <c r="AA72">
        <f t="shared" ca="1" si="22"/>
        <v>1</v>
      </c>
      <c r="AB72" s="16" t="str">
        <f t="shared" ca="1" si="23"/>
        <v>D:\OneDrive-Sync\Christian Dior Couture\APAC Management - Reports - Reports\DClick\Images\VM22\mSLG_mSpecial_NetSales.png</v>
      </c>
    </row>
    <row r="73" spans="1:28" x14ac:dyDescent="0.25">
      <c r="G73" s="3"/>
      <c r="K73" s="15"/>
      <c r="L73" s="15"/>
      <c r="M73" s="15"/>
      <c r="N73" s="16"/>
      <c r="O73" s="16"/>
      <c r="P73" s="16"/>
      <c r="X73" s="15"/>
      <c r="Y73" s="15"/>
      <c r="Z73" s="15"/>
      <c r="AB73" s="16"/>
    </row>
    <row r="74" spans="1:28" x14ac:dyDescent="0.25">
      <c r="G74" s="3"/>
      <c r="K74" s="15"/>
      <c r="L74" s="15"/>
      <c r="M74" s="15"/>
      <c r="N74" t="s">
        <v>696</v>
      </c>
      <c r="O74" t="s">
        <v>858</v>
      </c>
      <c r="X74" s="15"/>
      <c r="Y74" s="15"/>
      <c r="Z74" s="15"/>
      <c r="AB74" s="16"/>
    </row>
    <row r="75" spans="1:28" x14ac:dyDescent="0.25">
      <c r="A75" t="s">
        <v>857</v>
      </c>
      <c r="B75" t="s">
        <v>205</v>
      </c>
      <c r="C75" t="s">
        <v>254</v>
      </c>
      <c r="D75">
        <v>3</v>
      </c>
      <c r="H75" t="b" cm="1">
        <f t="array" aca="1" ref="H75" ca="1">FileExists(N75,NOW())</f>
        <v>1</v>
      </c>
      <c r="I75" t="b" cm="1">
        <f t="array" aca="1" ref="I75" ca="1">FileExists(O75,NOW())</f>
        <v>1</v>
      </c>
      <c r="K75" s="15" cm="1">
        <f t="array" aca="1" ref="K75" ca="1">IF(H75,fileModifiedDate(N75, NOW()),0)</f>
        <v>44858.223611111112</v>
      </c>
      <c r="L75" s="15" cm="1">
        <f t="array" aca="1" ref="L75" ca="1">IF(I75,fileModifiedDate(O75, NOW()),0)</f>
        <v>44898.731053240743</v>
      </c>
      <c r="M75" s="15"/>
      <c r="N75" s="16" t="str">
        <f>N$74&amp;"\"&amp;$B75</f>
        <v>D:\OneDrive-Sync\Christian Dior Couture\APAC Management - Reports - Reports\iCristal\Images\overview.png</v>
      </c>
      <c r="O75" s="16" t="str">
        <f>O$74&amp;"\"&amp;$B75</f>
        <v>D:\OneDrive-Sync\Christian Dior Couture\APAC Management - Reports - Reports\iCristal\Images\VM24\overview.png</v>
      </c>
      <c r="P75" s="16"/>
      <c r="Q75" t="b">
        <f t="shared" ref="Q75:Q138" si="37">S75</f>
        <v>0</v>
      </c>
      <c r="R75" t="b">
        <f t="shared" ref="R75:R138" ca="1" si="38">T75</f>
        <v>1</v>
      </c>
      <c r="S75" t="b">
        <v>0</v>
      </c>
      <c r="T75" t="b">
        <f ca="1">NOT(AND(IF(K75,K75&gt;X75,FALSE),NOT(Q75)))</f>
        <v>1</v>
      </c>
      <c r="U75" t="b">
        <f ca="1">NOT(AND(IF(L75,L75&gt;Y75,FALSE),NOT(R75)))</f>
        <v>1</v>
      </c>
      <c r="V75" t="b">
        <f t="shared" ref="V75" ca="1" si="39">AND(T75,U75)</f>
        <v>1</v>
      </c>
      <c r="W75">
        <f t="shared" ref="W75:W138" ca="1" si="40">IF(V75,1,0)</f>
        <v>1</v>
      </c>
      <c r="X75" s="15">
        <f t="shared" ref="X75:X138" ca="1" si="41">IF(NOW()&gt;X$2,X$2,X$2-1)</f>
        <v>44899.125</v>
      </c>
      <c r="Y75" s="15">
        <f t="shared" ref="Y75:Z138" ca="1" si="42">IF(NOW()&gt;$Y$2,$Y$2,$Y$2-1)</f>
        <v>44899.125</v>
      </c>
      <c r="Z75" s="15">
        <f t="shared" ca="1" si="42"/>
        <v>44899.125</v>
      </c>
      <c r="AA75">
        <f t="shared" ref="AA75" ca="1" si="43">IF(K75&gt;L75,1,2)</f>
        <v>2</v>
      </c>
      <c r="AB75" s="16" t="str">
        <f t="shared" ref="AB75" ca="1" si="44">IF(V75,"",IF(AA75=1,N75,O75))</f>
        <v/>
      </c>
    </row>
    <row r="76" spans="1:28" x14ac:dyDescent="0.25">
      <c r="A76" t="s">
        <v>857</v>
      </c>
      <c r="B76" t="s">
        <v>206</v>
      </c>
      <c r="C76" t="s">
        <v>255</v>
      </c>
      <c r="D76">
        <v>-3</v>
      </c>
      <c r="H76" t="b" cm="1">
        <f t="array" aca="1" ref="H76" ca="1">FileExists(N76,NOW())</f>
        <v>1</v>
      </c>
      <c r="I76" t="b" cm="1">
        <f t="array" aca="1" ref="I76" ca="1">FileExists(O76,NOW())</f>
        <v>1</v>
      </c>
      <c r="K76" s="15" cm="1">
        <f t="array" aca="1" ref="K76" ca="1">IF(H76,fileModifiedDate(N76, NOW()),0)</f>
        <v>44858.223877314813</v>
      </c>
      <c r="L76" s="15" cm="1">
        <f t="array" aca="1" ref="L76" ca="1">IF(I76,fileModifiedDate(O76, NOW()),0)</f>
        <v>44898.73133101852</v>
      </c>
      <c r="M76" s="15"/>
      <c r="N76" s="16" t="str">
        <f t="shared" ref="N76:N150" si="45">N$74&amp;"\"&amp;$B76</f>
        <v>D:\OneDrive-Sync\Christian Dior Couture\APAC Management - Reports - Reports\iCristal\Images\grid_country_Day.png</v>
      </c>
      <c r="O76" s="16" t="str">
        <f t="shared" ref="O76:O107" si="46">O$74&amp;"\"&amp;$B76</f>
        <v>D:\OneDrive-Sync\Christian Dior Couture\APAC Management - Reports - Reports\iCristal\Images\VM24\grid_country_Day.png</v>
      </c>
      <c r="P76" s="16"/>
      <c r="Q76" t="b">
        <f t="shared" si="37"/>
        <v>0</v>
      </c>
      <c r="R76" t="b">
        <f t="shared" ca="1" si="38"/>
        <v>1</v>
      </c>
      <c r="S76" t="b">
        <v>0</v>
      </c>
      <c r="T76" t="b">
        <f t="shared" ref="T76:T139" ca="1" si="47">NOT(AND(IF(K76,K76&gt;X76,FALSE),NOT(Q76)))</f>
        <v>1</v>
      </c>
      <c r="U76" t="b">
        <f t="shared" ref="U76:U139" ca="1" si="48">NOT(AND(IF(L76,L76&gt;Y76,FALSE),NOT(R76)))</f>
        <v>1</v>
      </c>
      <c r="V76" t="b">
        <f t="shared" ref="V76:V139" ca="1" si="49">AND(T76,U76)</f>
        <v>1</v>
      </c>
      <c r="W76">
        <f t="shared" ca="1" si="40"/>
        <v>1</v>
      </c>
      <c r="X76" s="15">
        <f t="shared" ca="1" si="41"/>
        <v>44899.125</v>
      </c>
      <c r="Y76" s="15">
        <f t="shared" ca="1" si="42"/>
        <v>44899.125</v>
      </c>
      <c r="Z76" s="15">
        <f t="shared" ca="1" si="42"/>
        <v>44899.125</v>
      </c>
      <c r="AA76">
        <f t="shared" ref="AA76:AA139" ca="1" si="50">IF(K76&gt;L76,1,2)</f>
        <v>2</v>
      </c>
      <c r="AB76" s="16" t="str">
        <f t="shared" ref="AB76:AB139" ca="1" si="51">IF(V76,"",IF(AA76=1,N76,O76))</f>
        <v/>
      </c>
    </row>
    <row r="77" spans="1:28" x14ac:dyDescent="0.25">
      <c r="A77" t="s">
        <v>857</v>
      </c>
      <c r="B77" t="s">
        <v>207</v>
      </c>
      <c r="H77" t="b" cm="1">
        <f t="array" aca="1" ref="H77" ca="1">FileExists(N77,NOW())</f>
        <v>1</v>
      </c>
      <c r="I77" t="b" cm="1">
        <f t="array" aca="1" ref="I77" ca="1">FileExists(O77,NOW())</f>
        <v>1</v>
      </c>
      <c r="K77" s="15" cm="1">
        <f t="array" aca="1" ref="K77" ca="1">IF(H77,fileModifiedDate(N77, NOW()),0)</f>
        <v>44858.223993055559</v>
      </c>
      <c r="L77" s="15" cm="1">
        <f t="array" aca="1" ref="L77" ca="1">IF(I77,fileModifiedDate(O77, NOW()),0)</f>
        <v>44898.731469907405</v>
      </c>
      <c r="M77" s="15"/>
      <c r="N77" s="16" t="str">
        <f t="shared" si="45"/>
        <v>D:\OneDrive-Sync\Christian Dior Couture\APAC Management - Reports - Reports\iCristal\Images\grid_country_WTD.png</v>
      </c>
      <c r="O77" s="16" t="str">
        <f t="shared" si="46"/>
        <v>D:\OneDrive-Sync\Christian Dior Couture\APAC Management - Reports - Reports\iCristal\Images\VM24\grid_country_WTD.png</v>
      </c>
      <c r="P77" s="16"/>
      <c r="Q77" t="b">
        <f t="shared" si="37"/>
        <v>0</v>
      </c>
      <c r="R77" t="b">
        <f t="shared" ca="1" si="38"/>
        <v>1</v>
      </c>
      <c r="S77" t="b">
        <v>0</v>
      </c>
      <c r="T77" t="b">
        <f t="shared" ca="1" si="47"/>
        <v>1</v>
      </c>
      <c r="U77" t="b">
        <f t="shared" ca="1" si="48"/>
        <v>1</v>
      </c>
      <c r="V77" t="b">
        <f t="shared" ca="1" si="49"/>
        <v>1</v>
      </c>
      <c r="W77">
        <f t="shared" ca="1" si="40"/>
        <v>1</v>
      </c>
      <c r="X77" s="15">
        <f t="shared" ca="1" si="41"/>
        <v>44899.125</v>
      </c>
      <c r="Y77" s="15">
        <f t="shared" ca="1" si="42"/>
        <v>44899.125</v>
      </c>
      <c r="Z77" s="15">
        <f t="shared" ca="1" si="42"/>
        <v>44899.125</v>
      </c>
      <c r="AA77">
        <f t="shared" ca="1" si="50"/>
        <v>2</v>
      </c>
      <c r="AB77" s="16" t="str">
        <f t="shared" ca="1" si="51"/>
        <v/>
      </c>
    </row>
    <row r="78" spans="1:28" x14ac:dyDescent="0.25">
      <c r="A78" t="s">
        <v>857</v>
      </c>
      <c r="B78" t="s">
        <v>208</v>
      </c>
      <c r="H78" t="b" cm="1">
        <f t="array" aca="1" ref="H78" ca="1">FileExists(N78,NOW())</f>
        <v>1</v>
      </c>
      <c r="I78" t="b" cm="1">
        <f t="array" aca="1" ref="I78" ca="1">FileExists(O78,NOW())</f>
        <v>1</v>
      </c>
      <c r="K78" s="15" cm="1">
        <f t="array" aca="1" ref="K78" ca="1">IF(H78,fileModifiedDate(N78, NOW()),0)</f>
        <v>44858.224120370367</v>
      </c>
      <c r="L78" s="15" cm="1">
        <f t="array" aca="1" ref="L78" ca="1">IF(I78,fileModifiedDate(O78, NOW()),0)</f>
        <v>44898.731620370374</v>
      </c>
      <c r="M78" s="15"/>
      <c r="N78" s="16" t="str">
        <f t="shared" si="45"/>
        <v>D:\OneDrive-Sync\Christian Dior Couture\APAC Management - Reports - Reports\iCristal\Images\grid_country_MTD.png</v>
      </c>
      <c r="O78" s="16" t="str">
        <f t="shared" si="46"/>
        <v>D:\OneDrive-Sync\Christian Dior Couture\APAC Management - Reports - Reports\iCristal\Images\VM24\grid_country_MTD.png</v>
      </c>
      <c r="P78" s="16"/>
      <c r="Q78" t="b">
        <f t="shared" si="37"/>
        <v>0</v>
      </c>
      <c r="R78" t="b">
        <f t="shared" ca="1" si="38"/>
        <v>1</v>
      </c>
      <c r="S78" t="b">
        <v>0</v>
      </c>
      <c r="T78" t="b">
        <f t="shared" ca="1" si="47"/>
        <v>1</v>
      </c>
      <c r="U78" t="b">
        <f t="shared" ca="1" si="48"/>
        <v>1</v>
      </c>
      <c r="V78" t="b">
        <f t="shared" ca="1" si="49"/>
        <v>1</v>
      </c>
      <c r="W78">
        <f t="shared" ca="1" si="40"/>
        <v>1</v>
      </c>
      <c r="X78" s="15">
        <f t="shared" ca="1" si="41"/>
        <v>44899.125</v>
      </c>
      <c r="Y78" s="15">
        <f t="shared" ca="1" si="42"/>
        <v>44899.125</v>
      </c>
      <c r="Z78" s="15">
        <f t="shared" ca="1" si="42"/>
        <v>44899.125</v>
      </c>
      <c r="AA78">
        <f t="shared" ca="1" si="50"/>
        <v>2</v>
      </c>
      <c r="AB78" s="16" t="str">
        <f t="shared" ca="1" si="51"/>
        <v/>
      </c>
    </row>
    <row r="79" spans="1:28" x14ac:dyDescent="0.25">
      <c r="A79" t="s">
        <v>857</v>
      </c>
      <c r="B79" t="s">
        <v>209</v>
      </c>
      <c r="H79" t="b" cm="1">
        <f t="array" aca="1" ref="H79" ca="1">FileExists(N79,NOW())</f>
        <v>1</v>
      </c>
      <c r="I79" t="b" cm="1">
        <f t="array" aca="1" ref="I79" ca="1">FileExists(O79,NOW())</f>
        <v>1</v>
      </c>
      <c r="K79" s="15" cm="1">
        <f t="array" aca="1" ref="K79" ca="1">IF(H79,fileModifiedDate(N79, NOW()),0)</f>
        <v>44858.224236111113</v>
      </c>
      <c r="L79" s="15" cm="1">
        <f t="array" aca="1" ref="L79" ca="1">IF(I79,fileModifiedDate(O79, NOW()),0)</f>
        <v>44898.731747685182</v>
      </c>
      <c r="M79" s="15"/>
      <c r="N79" s="16" t="str">
        <f t="shared" si="45"/>
        <v>D:\OneDrive-Sync\Christian Dior Couture\APAC Management - Reports - Reports\iCristal\Images\grid_country_YTD.png</v>
      </c>
      <c r="O79" s="16" t="str">
        <f t="shared" si="46"/>
        <v>D:\OneDrive-Sync\Christian Dior Couture\APAC Management - Reports - Reports\iCristal\Images\VM24\grid_country_YTD.png</v>
      </c>
      <c r="P79" s="16"/>
      <c r="Q79" t="b">
        <f t="shared" si="37"/>
        <v>0</v>
      </c>
      <c r="R79" t="b">
        <f t="shared" ca="1" si="38"/>
        <v>1</v>
      </c>
      <c r="S79" t="b">
        <v>0</v>
      </c>
      <c r="T79" t="b">
        <f t="shared" ca="1" si="47"/>
        <v>1</v>
      </c>
      <c r="U79" t="b">
        <f t="shared" ca="1" si="48"/>
        <v>1</v>
      </c>
      <c r="V79" t="b">
        <f t="shared" ca="1" si="49"/>
        <v>1</v>
      </c>
      <c r="W79">
        <f t="shared" ca="1" si="40"/>
        <v>1</v>
      </c>
      <c r="X79" s="15">
        <f t="shared" ca="1" si="41"/>
        <v>44899.125</v>
      </c>
      <c r="Y79" s="15">
        <f t="shared" ca="1" si="42"/>
        <v>44899.125</v>
      </c>
      <c r="Z79" s="15">
        <f t="shared" ca="1" si="42"/>
        <v>44899.125</v>
      </c>
      <c r="AA79">
        <f t="shared" ca="1" si="50"/>
        <v>2</v>
      </c>
      <c r="AB79" s="16" t="str">
        <f t="shared" ca="1" si="51"/>
        <v/>
      </c>
    </row>
    <row r="80" spans="1:28" x14ac:dyDescent="0.25">
      <c r="A80" t="s">
        <v>857</v>
      </c>
      <c r="B80" t="s">
        <v>210</v>
      </c>
      <c r="H80" t="b" cm="1">
        <f t="array" aca="1" ref="H80" ca="1">FileExists(N80,NOW())</f>
        <v>1</v>
      </c>
      <c r="I80" t="b" cm="1">
        <f t="array" aca="1" ref="I80" ca="1">FileExists(O80,NOW())</f>
        <v>1</v>
      </c>
      <c r="K80" s="15" cm="1">
        <f t="array" aca="1" ref="K80" ca="1">IF(H80,fileModifiedDate(N80, NOW()),0)</f>
        <v>44858.224548611113</v>
      </c>
      <c r="L80" s="15" cm="1">
        <f t="array" aca="1" ref="L80" ca="1">IF(I80,fileModifiedDate(O80, NOW()),0)</f>
        <v>44898.732106481482</v>
      </c>
      <c r="M80" s="15"/>
      <c r="N80" s="16" t="str">
        <f t="shared" si="45"/>
        <v>D:\OneDrive-Sync\Christian Dior Couture\APAC Management - Reports - Reports\iCristal\Images\grid_Day_WHB.png</v>
      </c>
      <c r="O80" s="16" t="str">
        <f t="shared" si="46"/>
        <v>D:\OneDrive-Sync\Christian Dior Couture\APAC Management - Reports - Reports\iCristal\Images\VM24\grid_Day_WHB.png</v>
      </c>
      <c r="P80" s="16"/>
      <c r="Q80" t="b">
        <f t="shared" si="37"/>
        <v>0</v>
      </c>
      <c r="R80" t="b">
        <f t="shared" ca="1" si="38"/>
        <v>1</v>
      </c>
      <c r="S80" t="b">
        <v>0</v>
      </c>
      <c r="T80" t="b">
        <f t="shared" ca="1" si="47"/>
        <v>1</v>
      </c>
      <c r="U80" t="b">
        <f t="shared" ca="1" si="48"/>
        <v>1</v>
      </c>
      <c r="V80" t="b">
        <f t="shared" ca="1" si="49"/>
        <v>1</v>
      </c>
      <c r="W80">
        <f t="shared" ca="1" si="40"/>
        <v>1</v>
      </c>
      <c r="X80" s="15">
        <f t="shared" ca="1" si="41"/>
        <v>44899.125</v>
      </c>
      <c r="Y80" s="15">
        <f t="shared" ca="1" si="42"/>
        <v>44899.125</v>
      </c>
      <c r="Z80" s="15">
        <f t="shared" ca="1" si="42"/>
        <v>44899.125</v>
      </c>
      <c r="AA80">
        <f t="shared" ca="1" si="50"/>
        <v>2</v>
      </c>
      <c r="AB80" s="16" t="str">
        <f t="shared" ca="1" si="51"/>
        <v/>
      </c>
    </row>
    <row r="81" spans="1:28" x14ac:dyDescent="0.25">
      <c r="A81" t="s">
        <v>857</v>
      </c>
      <c r="B81" t="s">
        <v>211</v>
      </c>
      <c r="H81" t="b" cm="1">
        <f t="array" aca="1" ref="H81" ca="1">FileExists(N81,NOW())</f>
        <v>1</v>
      </c>
      <c r="I81" t="b" cm="1">
        <f t="array" aca="1" ref="I81" ca="1">FileExists(O81,NOW())</f>
        <v>1</v>
      </c>
      <c r="K81" s="15" cm="1">
        <f t="array" aca="1" ref="K81" ca="1">IF(H81,fileModifiedDate(N81, NOW()),0)</f>
        <v>44858.224675925929</v>
      </c>
      <c r="L81" s="15" cm="1">
        <f t="array" aca="1" ref="L81" ca="1">IF(I81,fileModifiedDate(O81, NOW()),0)</f>
        <v>44898.732245370367</v>
      </c>
      <c r="M81" s="15"/>
      <c r="N81" s="16" t="str">
        <f t="shared" si="45"/>
        <v>D:\OneDrive-Sync\Christian Dior Couture\APAC Management - Reports - Reports\iCristal\Images\grid_WTD_WHB.png</v>
      </c>
      <c r="O81" s="16" t="str">
        <f t="shared" si="46"/>
        <v>D:\OneDrive-Sync\Christian Dior Couture\APAC Management - Reports - Reports\iCristal\Images\VM24\grid_WTD_WHB.png</v>
      </c>
      <c r="P81" s="16"/>
      <c r="Q81" t="b">
        <f t="shared" si="37"/>
        <v>0</v>
      </c>
      <c r="R81" t="b">
        <f t="shared" ca="1" si="38"/>
        <v>1</v>
      </c>
      <c r="S81" t="b">
        <v>0</v>
      </c>
      <c r="T81" t="b">
        <f t="shared" ca="1" si="47"/>
        <v>1</v>
      </c>
      <c r="U81" t="b">
        <f t="shared" ca="1" si="48"/>
        <v>1</v>
      </c>
      <c r="V81" t="b">
        <f t="shared" ca="1" si="49"/>
        <v>1</v>
      </c>
      <c r="W81">
        <f t="shared" ca="1" si="40"/>
        <v>1</v>
      </c>
      <c r="X81" s="15">
        <f t="shared" ca="1" si="41"/>
        <v>44899.125</v>
      </c>
      <c r="Y81" s="15">
        <f t="shared" ca="1" si="42"/>
        <v>44899.125</v>
      </c>
      <c r="Z81" s="15">
        <f t="shared" ca="1" si="42"/>
        <v>44899.125</v>
      </c>
      <c r="AA81">
        <f t="shared" ca="1" si="50"/>
        <v>2</v>
      </c>
      <c r="AB81" s="16" t="str">
        <f t="shared" ca="1" si="51"/>
        <v/>
      </c>
    </row>
    <row r="82" spans="1:28" x14ac:dyDescent="0.25">
      <c r="A82" t="s">
        <v>857</v>
      </c>
      <c r="B82" t="s">
        <v>212</v>
      </c>
      <c r="H82" t="b" cm="1">
        <f t="array" aca="1" ref="H82" ca="1">FileExists(N82,NOW())</f>
        <v>1</v>
      </c>
      <c r="I82" t="b" cm="1">
        <f t="array" aca="1" ref="I82" ca="1">FileExists(O82,NOW())</f>
        <v>1</v>
      </c>
      <c r="K82" s="15" cm="1">
        <f t="array" aca="1" ref="K82" ca="1">IF(H82,fileModifiedDate(N82, NOW()),0)</f>
        <v>44858.224791666667</v>
      </c>
      <c r="L82" s="15" cm="1">
        <f t="array" aca="1" ref="L82" ca="1">IF(I82,fileModifiedDate(O82, NOW()),0)</f>
        <v>44898.73238425926</v>
      </c>
      <c r="M82" s="15"/>
      <c r="N82" s="16" t="str">
        <f t="shared" si="45"/>
        <v>D:\OneDrive-Sync\Christian Dior Couture\APAC Management - Reports - Reports\iCristal\Images\grid_MTD_WHB.png</v>
      </c>
      <c r="O82" s="16" t="str">
        <f t="shared" si="46"/>
        <v>D:\OneDrive-Sync\Christian Dior Couture\APAC Management - Reports - Reports\iCristal\Images\VM24\grid_MTD_WHB.png</v>
      </c>
      <c r="P82" s="16"/>
      <c r="Q82" t="b">
        <f t="shared" si="37"/>
        <v>0</v>
      </c>
      <c r="R82" t="b">
        <f t="shared" ca="1" si="38"/>
        <v>1</v>
      </c>
      <c r="S82" t="b">
        <v>0</v>
      </c>
      <c r="T82" t="b">
        <f t="shared" ca="1" si="47"/>
        <v>1</v>
      </c>
      <c r="U82" t="b">
        <f t="shared" ca="1" si="48"/>
        <v>1</v>
      </c>
      <c r="V82" t="b">
        <f t="shared" ca="1" si="49"/>
        <v>1</v>
      </c>
      <c r="W82">
        <f t="shared" ca="1" si="40"/>
        <v>1</v>
      </c>
      <c r="X82" s="15">
        <f t="shared" ca="1" si="41"/>
        <v>44899.125</v>
      </c>
      <c r="Y82" s="15">
        <f t="shared" ca="1" si="42"/>
        <v>44899.125</v>
      </c>
      <c r="Z82" s="15">
        <f t="shared" ca="1" si="42"/>
        <v>44899.125</v>
      </c>
      <c r="AA82">
        <f t="shared" ca="1" si="50"/>
        <v>2</v>
      </c>
      <c r="AB82" s="16" t="str">
        <f t="shared" ca="1" si="51"/>
        <v/>
      </c>
    </row>
    <row r="83" spans="1:28" x14ac:dyDescent="0.25">
      <c r="A83" t="s">
        <v>857</v>
      </c>
      <c r="B83" t="s">
        <v>213</v>
      </c>
      <c r="H83" t="b" cm="1">
        <f t="array" aca="1" ref="H83" ca="1">FileExists(N83,NOW())</f>
        <v>1</v>
      </c>
      <c r="I83" t="b" cm="1">
        <f t="array" aca="1" ref="I83" ca="1">FileExists(O83,NOW())</f>
        <v>1</v>
      </c>
      <c r="K83" s="15" cm="1">
        <f t="array" aca="1" ref="K83" ca="1">IF(H83,fileModifiedDate(N83, NOW()),0)</f>
        <v>44858.224907407406</v>
      </c>
      <c r="L83" s="15" cm="1">
        <f t="array" aca="1" ref="L83" ca="1">IF(I83,fileModifiedDate(O83, NOW()),0)</f>
        <v>44898.732523148145</v>
      </c>
      <c r="M83" s="15"/>
      <c r="N83" s="16" t="str">
        <f t="shared" si="45"/>
        <v>D:\OneDrive-Sync\Christian Dior Couture\APAC Management - Reports - Reports\iCristal\Images\grid_YTD_WHB.png</v>
      </c>
      <c r="O83" s="16" t="str">
        <f t="shared" si="46"/>
        <v>D:\OneDrive-Sync\Christian Dior Couture\APAC Management - Reports - Reports\iCristal\Images\VM24\grid_YTD_WHB.png</v>
      </c>
      <c r="P83" s="16"/>
      <c r="Q83" t="b">
        <f t="shared" si="37"/>
        <v>0</v>
      </c>
      <c r="R83" t="b">
        <f t="shared" ca="1" si="38"/>
        <v>1</v>
      </c>
      <c r="S83" t="b">
        <v>0</v>
      </c>
      <c r="T83" t="b">
        <f t="shared" ca="1" si="47"/>
        <v>1</v>
      </c>
      <c r="U83" t="b">
        <f t="shared" ca="1" si="48"/>
        <v>1</v>
      </c>
      <c r="V83" t="b">
        <f t="shared" ca="1" si="49"/>
        <v>1</v>
      </c>
      <c r="W83">
        <f t="shared" ca="1" si="40"/>
        <v>1</v>
      </c>
      <c r="X83" s="15">
        <f t="shared" ca="1" si="41"/>
        <v>44899.125</v>
      </c>
      <c r="Y83" s="15">
        <f t="shared" ca="1" si="42"/>
        <v>44899.125</v>
      </c>
      <c r="Z83" s="15">
        <f t="shared" ca="1" si="42"/>
        <v>44899.125</v>
      </c>
      <c r="AA83">
        <f t="shared" ca="1" si="50"/>
        <v>2</v>
      </c>
      <c r="AB83" s="16" t="str">
        <f t="shared" ca="1" si="51"/>
        <v/>
      </c>
    </row>
    <row r="84" spans="1:28" x14ac:dyDescent="0.25">
      <c r="A84" t="s">
        <v>857</v>
      </c>
      <c r="B84" t="s">
        <v>214</v>
      </c>
      <c r="H84" t="b" cm="1">
        <f t="array" aca="1" ref="H84" ca="1">FileExists(N84,NOW())</f>
        <v>1</v>
      </c>
      <c r="I84" t="b" cm="1">
        <f t="array" aca="1" ref="I84" ca="1">FileExists(O84,NOW())</f>
        <v>1</v>
      </c>
      <c r="K84" s="15" cm="1">
        <f t="array" aca="1" ref="K84" ca="1">IF(H84,fileModifiedDate(N84, NOW()),0)</f>
        <v>44858.225266203706</v>
      </c>
      <c r="L84" s="15" cm="1">
        <f t="array" aca="1" ref="L84" ca="1">IF(I84,fileModifiedDate(O84, NOW()),0)</f>
        <v>44898.732939814814</v>
      </c>
      <c r="M84" s="15"/>
      <c r="N84" s="16" t="str">
        <f t="shared" si="45"/>
        <v>D:\OneDrive-Sync\Christian Dior Couture\APAC Management - Reports - Reports\iCristal\Images\grid_Day_WSLG.png</v>
      </c>
      <c r="O84" s="16" t="str">
        <f t="shared" si="46"/>
        <v>D:\OneDrive-Sync\Christian Dior Couture\APAC Management - Reports - Reports\iCristal\Images\VM24\grid_Day_WSLG.png</v>
      </c>
      <c r="P84" s="16"/>
      <c r="Q84" t="b">
        <f t="shared" si="37"/>
        <v>0</v>
      </c>
      <c r="R84" t="b">
        <f t="shared" ca="1" si="38"/>
        <v>1</v>
      </c>
      <c r="S84" t="b">
        <v>0</v>
      </c>
      <c r="T84" t="b">
        <f t="shared" ca="1" si="47"/>
        <v>1</v>
      </c>
      <c r="U84" t="b">
        <f t="shared" ca="1" si="48"/>
        <v>1</v>
      </c>
      <c r="V84" t="b">
        <f t="shared" ca="1" si="49"/>
        <v>1</v>
      </c>
      <c r="W84">
        <f t="shared" ca="1" si="40"/>
        <v>1</v>
      </c>
      <c r="X84" s="15">
        <f t="shared" ca="1" si="41"/>
        <v>44899.125</v>
      </c>
      <c r="Y84" s="15">
        <f t="shared" ca="1" si="42"/>
        <v>44899.125</v>
      </c>
      <c r="Z84" s="15">
        <f t="shared" ca="1" si="42"/>
        <v>44899.125</v>
      </c>
      <c r="AA84">
        <f t="shared" ca="1" si="50"/>
        <v>2</v>
      </c>
      <c r="AB84" s="16" t="str">
        <f t="shared" ca="1" si="51"/>
        <v/>
      </c>
    </row>
    <row r="85" spans="1:28" x14ac:dyDescent="0.25">
      <c r="A85" t="s">
        <v>857</v>
      </c>
      <c r="B85" t="s">
        <v>215</v>
      </c>
      <c r="H85" t="b" cm="1">
        <f t="array" aca="1" ref="H85" ca="1">FileExists(N85,NOW())</f>
        <v>1</v>
      </c>
      <c r="I85" t="b" cm="1">
        <f t="array" aca="1" ref="I85" ca="1">FileExists(O85,NOW())</f>
        <v>1</v>
      </c>
      <c r="K85" s="15" cm="1">
        <f t="array" aca="1" ref="K85" ca="1">IF(H85,fileModifiedDate(N85, NOW()),0)</f>
        <v>44858.225381944445</v>
      </c>
      <c r="L85" s="15" cm="1">
        <f t="array" aca="1" ref="L85" ca="1">IF(I85,fileModifiedDate(O85, NOW()),0)</f>
        <v>44898.733078703706</v>
      </c>
      <c r="M85" s="15"/>
      <c r="N85" s="16" t="str">
        <f t="shared" si="45"/>
        <v>D:\OneDrive-Sync\Christian Dior Couture\APAC Management - Reports - Reports\iCristal\Images\grid_WTD_WSLG.png</v>
      </c>
      <c r="O85" s="16" t="str">
        <f t="shared" si="46"/>
        <v>D:\OneDrive-Sync\Christian Dior Couture\APAC Management - Reports - Reports\iCristal\Images\VM24\grid_WTD_WSLG.png</v>
      </c>
      <c r="P85" s="16"/>
      <c r="Q85" t="b">
        <f t="shared" si="37"/>
        <v>0</v>
      </c>
      <c r="R85" t="b">
        <f t="shared" ca="1" si="38"/>
        <v>1</v>
      </c>
      <c r="S85" t="b">
        <v>0</v>
      </c>
      <c r="T85" t="b">
        <f t="shared" ca="1" si="47"/>
        <v>1</v>
      </c>
      <c r="U85" t="b">
        <f t="shared" ca="1" si="48"/>
        <v>1</v>
      </c>
      <c r="V85" t="b">
        <f t="shared" ca="1" si="49"/>
        <v>1</v>
      </c>
      <c r="W85">
        <f t="shared" ca="1" si="40"/>
        <v>1</v>
      </c>
      <c r="X85" s="15">
        <f t="shared" ca="1" si="41"/>
        <v>44899.125</v>
      </c>
      <c r="Y85" s="15">
        <f t="shared" ca="1" si="42"/>
        <v>44899.125</v>
      </c>
      <c r="Z85" s="15">
        <f t="shared" ca="1" si="42"/>
        <v>44899.125</v>
      </c>
      <c r="AA85">
        <f t="shared" ca="1" si="50"/>
        <v>2</v>
      </c>
      <c r="AB85" s="16" t="str">
        <f t="shared" ca="1" si="51"/>
        <v/>
      </c>
    </row>
    <row r="86" spans="1:28" x14ac:dyDescent="0.25">
      <c r="A86" t="s">
        <v>857</v>
      </c>
      <c r="B86" t="s">
        <v>216</v>
      </c>
      <c r="H86" t="b" cm="1">
        <f t="array" aca="1" ref="H86" ca="1">FileExists(N86,NOW())</f>
        <v>1</v>
      </c>
      <c r="I86" t="b" cm="1">
        <f t="array" aca="1" ref="I86" ca="1">FileExists(O86,NOW())</f>
        <v>1</v>
      </c>
      <c r="K86" s="15" cm="1">
        <f t="array" aca="1" ref="K86" ca="1">IF(H86,fileModifiedDate(N86, NOW()),0)</f>
        <v>44858.225497685184</v>
      </c>
      <c r="L86" s="15" cm="1">
        <f t="array" aca="1" ref="L86" ca="1">IF(I86,fileModifiedDate(O86, NOW()),0)</f>
        <v>44898.733229166668</v>
      </c>
      <c r="M86" s="15"/>
      <c r="N86" s="16" t="str">
        <f t="shared" si="45"/>
        <v>D:\OneDrive-Sync\Christian Dior Couture\APAC Management - Reports - Reports\iCristal\Images\grid_MTD_WSLG.png</v>
      </c>
      <c r="O86" s="16" t="str">
        <f t="shared" si="46"/>
        <v>D:\OneDrive-Sync\Christian Dior Couture\APAC Management - Reports - Reports\iCristal\Images\VM24\grid_MTD_WSLG.png</v>
      </c>
      <c r="P86" s="16"/>
      <c r="Q86" t="b">
        <f t="shared" si="37"/>
        <v>0</v>
      </c>
      <c r="R86" t="b">
        <f t="shared" ca="1" si="38"/>
        <v>1</v>
      </c>
      <c r="S86" t="b">
        <v>0</v>
      </c>
      <c r="T86" t="b">
        <f t="shared" ca="1" si="47"/>
        <v>1</v>
      </c>
      <c r="U86" t="b">
        <f t="shared" ca="1" si="48"/>
        <v>1</v>
      </c>
      <c r="V86" t="b">
        <f t="shared" ca="1" si="49"/>
        <v>1</v>
      </c>
      <c r="W86">
        <f t="shared" ca="1" si="40"/>
        <v>1</v>
      </c>
      <c r="X86" s="15">
        <f t="shared" ca="1" si="41"/>
        <v>44899.125</v>
      </c>
      <c r="Y86" s="15">
        <f t="shared" ca="1" si="42"/>
        <v>44899.125</v>
      </c>
      <c r="Z86" s="15">
        <f t="shared" ca="1" si="42"/>
        <v>44899.125</v>
      </c>
      <c r="AA86">
        <f t="shared" ca="1" si="50"/>
        <v>2</v>
      </c>
      <c r="AB86" s="16" t="str">
        <f t="shared" ca="1" si="51"/>
        <v/>
      </c>
    </row>
    <row r="87" spans="1:28" x14ac:dyDescent="0.25">
      <c r="A87" t="s">
        <v>857</v>
      </c>
      <c r="B87" t="s">
        <v>217</v>
      </c>
      <c r="H87" t="b" cm="1">
        <f t="array" aca="1" ref="H87" ca="1">FileExists(N87,NOW())</f>
        <v>1</v>
      </c>
      <c r="I87" t="b" cm="1">
        <f t="array" aca="1" ref="I87" ca="1">FileExists(O87,NOW())</f>
        <v>1</v>
      </c>
      <c r="K87" s="15" cm="1">
        <f t="array" aca="1" ref="K87" ca="1">IF(H87,fileModifiedDate(N87, NOW()),0)</f>
        <v>44858.225613425922</v>
      </c>
      <c r="L87" s="15" cm="1">
        <f t="array" aca="1" ref="L87" ca="1">IF(I87,fileModifiedDate(O87, NOW()),0)</f>
        <v>44898.733368055553</v>
      </c>
      <c r="M87" s="15"/>
      <c r="N87" s="16" t="str">
        <f t="shared" si="45"/>
        <v>D:\OneDrive-Sync\Christian Dior Couture\APAC Management - Reports - Reports\iCristal\Images\grid_YTD_WSLG.png</v>
      </c>
      <c r="O87" s="16" t="str">
        <f t="shared" si="46"/>
        <v>D:\OneDrive-Sync\Christian Dior Couture\APAC Management - Reports - Reports\iCristal\Images\VM24\grid_YTD_WSLG.png</v>
      </c>
      <c r="P87" s="16"/>
      <c r="Q87" t="b">
        <f t="shared" si="37"/>
        <v>0</v>
      </c>
      <c r="R87" t="b">
        <f t="shared" ca="1" si="38"/>
        <v>1</v>
      </c>
      <c r="S87" t="b">
        <v>0</v>
      </c>
      <c r="T87" t="b">
        <f t="shared" ca="1" si="47"/>
        <v>1</v>
      </c>
      <c r="U87" t="b">
        <f t="shared" ca="1" si="48"/>
        <v>1</v>
      </c>
      <c r="V87" t="b">
        <f t="shared" ca="1" si="49"/>
        <v>1</v>
      </c>
      <c r="W87">
        <f t="shared" ca="1" si="40"/>
        <v>1</v>
      </c>
      <c r="X87" s="15">
        <f t="shared" ca="1" si="41"/>
        <v>44899.125</v>
      </c>
      <c r="Y87" s="15">
        <f t="shared" ca="1" si="42"/>
        <v>44899.125</v>
      </c>
      <c r="Z87" s="15">
        <f t="shared" ca="1" si="42"/>
        <v>44899.125</v>
      </c>
      <c r="AA87">
        <f t="shared" ca="1" si="50"/>
        <v>2</v>
      </c>
      <c r="AB87" s="16" t="str">
        <f t="shared" ca="1" si="51"/>
        <v/>
      </c>
    </row>
    <row r="88" spans="1:28" x14ac:dyDescent="0.25">
      <c r="A88" t="s">
        <v>857</v>
      </c>
      <c r="B88" t="s">
        <v>218</v>
      </c>
      <c r="H88" t="b" cm="1">
        <f t="array" aca="1" ref="H88" ca="1">FileExists(N88,NOW())</f>
        <v>1</v>
      </c>
      <c r="I88" t="b" cm="1">
        <f t="array" aca="1" ref="I88" ca="1">FileExists(O88,NOW())</f>
        <v>1</v>
      </c>
      <c r="K88" s="15" cm="1">
        <f t="array" aca="1" ref="K88" ca="1">IF(H88,fileModifiedDate(N88, NOW()),0)</f>
        <v>44858.225972222222</v>
      </c>
      <c r="L88" s="15" cm="1">
        <f t="array" aca="1" ref="L88" ca="1">IF(I88,fileModifiedDate(O88, NOW()),0)</f>
        <v>44898.733784722222</v>
      </c>
      <c r="M88" s="15"/>
      <c r="N88" s="16" t="str">
        <f t="shared" si="45"/>
        <v>D:\OneDrive-Sync\Christian Dior Couture\APAC Management - Reports - Reports\iCristal\Images\grid_Day_WRTW.png</v>
      </c>
      <c r="O88" s="16" t="str">
        <f t="shared" si="46"/>
        <v>D:\OneDrive-Sync\Christian Dior Couture\APAC Management - Reports - Reports\iCristal\Images\VM24\grid_Day_WRTW.png</v>
      </c>
      <c r="P88" s="16"/>
      <c r="Q88" t="b">
        <f t="shared" si="37"/>
        <v>0</v>
      </c>
      <c r="R88" t="b">
        <f t="shared" ca="1" si="38"/>
        <v>1</v>
      </c>
      <c r="S88" t="b">
        <v>0</v>
      </c>
      <c r="T88" t="b">
        <f t="shared" ca="1" si="47"/>
        <v>1</v>
      </c>
      <c r="U88" t="b">
        <f t="shared" ca="1" si="48"/>
        <v>1</v>
      </c>
      <c r="V88" t="b">
        <f t="shared" ca="1" si="49"/>
        <v>1</v>
      </c>
      <c r="W88">
        <f t="shared" ca="1" si="40"/>
        <v>1</v>
      </c>
      <c r="X88" s="15">
        <f t="shared" ca="1" si="41"/>
        <v>44899.125</v>
      </c>
      <c r="Y88" s="15">
        <f t="shared" ca="1" si="42"/>
        <v>44899.125</v>
      </c>
      <c r="Z88" s="15">
        <f t="shared" ca="1" si="42"/>
        <v>44899.125</v>
      </c>
      <c r="AA88">
        <f t="shared" ca="1" si="50"/>
        <v>2</v>
      </c>
      <c r="AB88" s="16" t="str">
        <f t="shared" ca="1" si="51"/>
        <v/>
      </c>
    </row>
    <row r="89" spans="1:28" x14ac:dyDescent="0.25">
      <c r="A89" t="s">
        <v>857</v>
      </c>
      <c r="B89" t="s">
        <v>219</v>
      </c>
      <c r="H89" t="b" cm="1">
        <f t="array" aca="1" ref="H89" ca="1">FileExists(N89,NOW())</f>
        <v>1</v>
      </c>
      <c r="I89" t="b" cm="1">
        <f t="array" aca="1" ref="I89" ca="1">FileExists(O89,NOW())</f>
        <v>1</v>
      </c>
      <c r="K89" s="15" cm="1">
        <f t="array" aca="1" ref="K89" ca="1">IF(H89,fileModifiedDate(N89, NOW()),0)</f>
        <v>44858.226099537038</v>
      </c>
      <c r="L89" s="15" cm="1">
        <f t="array" aca="1" ref="L89" ca="1">IF(I89,fileModifiedDate(O89, NOW()),0)</f>
        <v>44898.733923611115</v>
      </c>
      <c r="M89" s="15"/>
      <c r="N89" s="16" t="str">
        <f t="shared" si="45"/>
        <v>D:\OneDrive-Sync\Christian Dior Couture\APAC Management - Reports - Reports\iCristal\Images\grid_WTD_WRTW.png</v>
      </c>
      <c r="O89" s="16" t="str">
        <f t="shared" si="46"/>
        <v>D:\OneDrive-Sync\Christian Dior Couture\APAC Management - Reports - Reports\iCristal\Images\VM24\grid_WTD_WRTW.png</v>
      </c>
      <c r="P89" s="16"/>
      <c r="Q89" t="b">
        <f t="shared" si="37"/>
        <v>0</v>
      </c>
      <c r="R89" t="b">
        <f t="shared" ca="1" si="38"/>
        <v>1</v>
      </c>
      <c r="S89" t="b">
        <v>0</v>
      </c>
      <c r="T89" t="b">
        <f t="shared" ca="1" si="47"/>
        <v>1</v>
      </c>
      <c r="U89" t="b">
        <f t="shared" ca="1" si="48"/>
        <v>1</v>
      </c>
      <c r="V89" t="b">
        <f t="shared" ca="1" si="49"/>
        <v>1</v>
      </c>
      <c r="W89">
        <f t="shared" ca="1" si="40"/>
        <v>1</v>
      </c>
      <c r="X89" s="15">
        <f t="shared" ca="1" si="41"/>
        <v>44899.125</v>
      </c>
      <c r="Y89" s="15">
        <f t="shared" ca="1" si="42"/>
        <v>44899.125</v>
      </c>
      <c r="Z89" s="15">
        <f t="shared" ca="1" si="42"/>
        <v>44899.125</v>
      </c>
      <c r="AA89">
        <f t="shared" ca="1" si="50"/>
        <v>2</v>
      </c>
      <c r="AB89" s="16" t="str">
        <f t="shared" ca="1" si="51"/>
        <v/>
      </c>
    </row>
    <row r="90" spans="1:28" x14ac:dyDescent="0.25">
      <c r="A90" t="s">
        <v>857</v>
      </c>
      <c r="B90" t="s">
        <v>220</v>
      </c>
      <c r="H90" t="b" cm="1">
        <f t="array" aca="1" ref="H90" ca="1">FileExists(N90,NOW())</f>
        <v>1</v>
      </c>
      <c r="I90" t="b" cm="1">
        <f t="array" aca="1" ref="I90" ca="1">FileExists(O90,NOW())</f>
        <v>1</v>
      </c>
      <c r="K90" s="15" cm="1">
        <f t="array" aca="1" ref="K90" ca="1">IF(H90,fileModifiedDate(N90, NOW()),0)</f>
        <v>44858.226215277777</v>
      </c>
      <c r="L90" s="15" cm="1">
        <f t="array" aca="1" ref="L90" ca="1">IF(I90,fileModifiedDate(O90, NOW()),0)</f>
        <v>44898.734074074076</v>
      </c>
      <c r="M90" s="15"/>
      <c r="N90" s="16" t="str">
        <f t="shared" si="45"/>
        <v>D:\OneDrive-Sync\Christian Dior Couture\APAC Management - Reports - Reports\iCristal\Images\grid_MTD_WRTW.png</v>
      </c>
      <c r="O90" s="16" t="str">
        <f t="shared" si="46"/>
        <v>D:\OneDrive-Sync\Christian Dior Couture\APAC Management - Reports - Reports\iCristal\Images\VM24\grid_MTD_WRTW.png</v>
      </c>
      <c r="P90" s="16"/>
      <c r="Q90" t="b">
        <f t="shared" si="37"/>
        <v>0</v>
      </c>
      <c r="R90" t="b">
        <f t="shared" ca="1" si="38"/>
        <v>1</v>
      </c>
      <c r="S90" t="b">
        <v>0</v>
      </c>
      <c r="T90" t="b">
        <f t="shared" ca="1" si="47"/>
        <v>1</v>
      </c>
      <c r="U90" t="b">
        <f t="shared" ca="1" si="48"/>
        <v>1</v>
      </c>
      <c r="V90" t="b">
        <f t="shared" ca="1" si="49"/>
        <v>1</v>
      </c>
      <c r="W90">
        <f t="shared" ca="1" si="40"/>
        <v>1</v>
      </c>
      <c r="X90" s="15">
        <f t="shared" ca="1" si="41"/>
        <v>44899.125</v>
      </c>
      <c r="Y90" s="15">
        <f t="shared" ca="1" si="42"/>
        <v>44899.125</v>
      </c>
      <c r="Z90" s="15">
        <f t="shared" ca="1" si="42"/>
        <v>44899.125</v>
      </c>
      <c r="AA90">
        <f t="shared" ca="1" si="50"/>
        <v>2</v>
      </c>
      <c r="AB90" s="16" t="str">
        <f t="shared" ca="1" si="51"/>
        <v/>
      </c>
    </row>
    <row r="91" spans="1:28" x14ac:dyDescent="0.25">
      <c r="A91" t="s">
        <v>857</v>
      </c>
      <c r="B91" t="s">
        <v>221</v>
      </c>
      <c r="H91" t="b" cm="1">
        <f t="array" aca="1" ref="H91" ca="1">FileExists(N91,NOW())</f>
        <v>1</v>
      </c>
      <c r="I91" t="b" cm="1">
        <f t="array" aca="1" ref="I91" ca="1">FileExists(O91,NOW())</f>
        <v>1</v>
      </c>
      <c r="K91" s="15" cm="1">
        <f t="array" aca="1" ref="K91" ca="1">IF(H91,fileModifiedDate(N91, NOW()),0)</f>
        <v>44858.226331018515</v>
      </c>
      <c r="L91" s="15" cm="1">
        <f t="array" aca="1" ref="L91" ca="1">IF(I91,fileModifiedDate(O91, NOW()),0)</f>
        <v>44898.734212962961</v>
      </c>
      <c r="M91" s="15"/>
      <c r="N91" s="16" t="str">
        <f t="shared" si="45"/>
        <v>D:\OneDrive-Sync\Christian Dior Couture\APAC Management - Reports - Reports\iCristal\Images\grid_YTD_WRTW.png</v>
      </c>
      <c r="O91" s="16" t="str">
        <f t="shared" si="46"/>
        <v>D:\OneDrive-Sync\Christian Dior Couture\APAC Management - Reports - Reports\iCristal\Images\VM24\grid_YTD_WRTW.png</v>
      </c>
      <c r="P91" s="16"/>
      <c r="Q91" t="b">
        <f t="shared" si="37"/>
        <v>0</v>
      </c>
      <c r="R91" t="b">
        <f t="shared" ca="1" si="38"/>
        <v>1</v>
      </c>
      <c r="S91" t="b">
        <v>0</v>
      </c>
      <c r="T91" t="b">
        <f t="shared" ca="1" si="47"/>
        <v>1</v>
      </c>
      <c r="U91" t="b">
        <f t="shared" ca="1" si="48"/>
        <v>1</v>
      </c>
      <c r="V91" t="b">
        <f t="shared" ca="1" si="49"/>
        <v>1</v>
      </c>
      <c r="W91">
        <f t="shared" ca="1" si="40"/>
        <v>1</v>
      </c>
      <c r="X91" s="15">
        <f t="shared" ca="1" si="41"/>
        <v>44899.125</v>
      </c>
      <c r="Y91" s="15">
        <f t="shared" ca="1" si="42"/>
        <v>44899.125</v>
      </c>
      <c r="Z91" s="15">
        <f t="shared" ca="1" si="42"/>
        <v>44899.125</v>
      </c>
      <c r="AA91">
        <f t="shared" ca="1" si="50"/>
        <v>2</v>
      </c>
      <c r="AB91" s="16" t="str">
        <f t="shared" ca="1" si="51"/>
        <v/>
      </c>
    </row>
    <row r="92" spans="1:28" x14ac:dyDescent="0.25">
      <c r="A92" t="s">
        <v>857</v>
      </c>
      <c r="B92" t="s">
        <v>222</v>
      </c>
      <c r="H92" t="b" cm="1">
        <f t="array" aca="1" ref="H92" ca="1">FileExists(N92,NOW())</f>
        <v>1</v>
      </c>
      <c r="I92" t="b" cm="1">
        <f t="array" aca="1" ref="I92" ca="1">FileExists(O92,NOW())</f>
        <v>1</v>
      </c>
      <c r="K92" s="15" cm="1">
        <f t="array" aca="1" ref="K92" ca="1">IF(H92,fileModifiedDate(N92, NOW()),0)</f>
        <v>44858.226678240739</v>
      </c>
      <c r="L92" s="15" cm="1">
        <f t="array" aca="1" ref="L92" ca="1">IF(I92,fileModifiedDate(O92, NOW()),0)</f>
        <v>44898.734629629631</v>
      </c>
      <c r="M92" s="15"/>
      <c r="N92" s="16" t="str">
        <f t="shared" si="45"/>
        <v>D:\OneDrive-Sync\Christian Dior Couture\APAC Management - Reports - Reports\iCristal\Images\grid_Day_WSHOES.png</v>
      </c>
      <c r="O92" s="16" t="str">
        <f t="shared" si="46"/>
        <v>D:\OneDrive-Sync\Christian Dior Couture\APAC Management - Reports - Reports\iCristal\Images\VM24\grid_Day_WSHOES.png</v>
      </c>
      <c r="P92" s="16"/>
      <c r="Q92" t="b">
        <f t="shared" si="37"/>
        <v>0</v>
      </c>
      <c r="R92" t="b">
        <f t="shared" ca="1" si="38"/>
        <v>1</v>
      </c>
      <c r="S92" t="b">
        <v>0</v>
      </c>
      <c r="T92" t="b">
        <f t="shared" ca="1" si="47"/>
        <v>1</v>
      </c>
      <c r="U92" t="b">
        <f t="shared" ca="1" si="48"/>
        <v>1</v>
      </c>
      <c r="V92" t="b">
        <f t="shared" ca="1" si="49"/>
        <v>1</v>
      </c>
      <c r="W92">
        <f t="shared" ca="1" si="40"/>
        <v>1</v>
      </c>
      <c r="X92" s="15">
        <f t="shared" ca="1" si="41"/>
        <v>44899.125</v>
      </c>
      <c r="Y92" s="15">
        <f t="shared" ca="1" si="42"/>
        <v>44899.125</v>
      </c>
      <c r="Z92" s="15">
        <f t="shared" ca="1" si="42"/>
        <v>44899.125</v>
      </c>
      <c r="AA92">
        <f t="shared" ca="1" si="50"/>
        <v>2</v>
      </c>
      <c r="AB92" s="16" t="str">
        <f t="shared" ca="1" si="51"/>
        <v/>
      </c>
    </row>
    <row r="93" spans="1:28" x14ac:dyDescent="0.25">
      <c r="A93" t="s">
        <v>857</v>
      </c>
      <c r="B93" t="s">
        <v>223</v>
      </c>
      <c r="H93" t="b" cm="1">
        <f t="array" aca="1" ref="H93" ca="1">FileExists(N93,NOW())</f>
        <v>1</v>
      </c>
      <c r="I93" t="b" cm="1">
        <f t="array" aca="1" ref="I93" ca="1">FileExists(O93,NOW())</f>
        <v>1</v>
      </c>
      <c r="K93" s="15" cm="1">
        <f t="array" aca="1" ref="K93" ca="1">IF(H93,fileModifiedDate(N93, NOW()),0)</f>
        <v>44858.226805555554</v>
      </c>
      <c r="L93" s="15" cm="1">
        <f t="array" aca="1" ref="L93" ca="1">IF(I93,fileModifiedDate(O93, NOW()),0)</f>
        <v>44898.734780092593</v>
      </c>
      <c r="M93" s="15"/>
      <c r="N93" s="16" t="str">
        <f t="shared" si="45"/>
        <v>D:\OneDrive-Sync\Christian Dior Couture\APAC Management - Reports - Reports\iCristal\Images\grid_WTD_WSHOES.png</v>
      </c>
      <c r="O93" s="16" t="str">
        <f t="shared" si="46"/>
        <v>D:\OneDrive-Sync\Christian Dior Couture\APAC Management - Reports - Reports\iCristal\Images\VM24\grid_WTD_WSHOES.png</v>
      </c>
      <c r="P93" s="16"/>
      <c r="Q93" t="b">
        <f t="shared" si="37"/>
        <v>0</v>
      </c>
      <c r="R93" t="b">
        <f t="shared" ca="1" si="38"/>
        <v>1</v>
      </c>
      <c r="S93" t="b">
        <v>0</v>
      </c>
      <c r="T93" t="b">
        <f t="shared" ca="1" si="47"/>
        <v>1</v>
      </c>
      <c r="U93" t="b">
        <f t="shared" ca="1" si="48"/>
        <v>1</v>
      </c>
      <c r="V93" t="b">
        <f t="shared" ca="1" si="49"/>
        <v>1</v>
      </c>
      <c r="W93">
        <f t="shared" ca="1" si="40"/>
        <v>1</v>
      </c>
      <c r="X93" s="15">
        <f t="shared" ca="1" si="41"/>
        <v>44899.125</v>
      </c>
      <c r="Y93" s="15">
        <f t="shared" ca="1" si="42"/>
        <v>44899.125</v>
      </c>
      <c r="Z93" s="15">
        <f t="shared" ca="1" si="42"/>
        <v>44899.125</v>
      </c>
      <c r="AA93">
        <f t="shared" ca="1" si="50"/>
        <v>2</v>
      </c>
      <c r="AB93" s="16" t="str">
        <f t="shared" ca="1" si="51"/>
        <v/>
      </c>
    </row>
    <row r="94" spans="1:28" x14ac:dyDescent="0.25">
      <c r="A94" t="s">
        <v>857</v>
      </c>
      <c r="B94" t="s">
        <v>224</v>
      </c>
      <c r="H94" t="b" cm="1">
        <f t="array" aca="1" ref="H94" ca="1">FileExists(N94,NOW())</f>
        <v>1</v>
      </c>
      <c r="I94" t="b" cm="1">
        <f t="array" aca="1" ref="I94" ca="1">FileExists(O94,NOW())</f>
        <v>1</v>
      </c>
      <c r="K94" s="15" cm="1">
        <f t="array" aca="1" ref="K94" ca="1">IF(H94,fileModifiedDate(N94, NOW()),0)</f>
        <v>44858.226921296293</v>
      </c>
      <c r="L94" s="15" cm="1">
        <f t="array" aca="1" ref="L94" ca="1">IF(I94,fileModifiedDate(O94, NOW()),0)</f>
        <v>44898.734930555554</v>
      </c>
      <c r="M94" s="15"/>
      <c r="N94" s="16" t="str">
        <f t="shared" si="45"/>
        <v>D:\OneDrive-Sync\Christian Dior Couture\APAC Management - Reports - Reports\iCristal\Images\grid_MTD_WSHOES.png</v>
      </c>
      <c r="O94" s="16" t="str">
        <f t="shared" si="46"/>
        <v>D:\OneDrive-Sync\Christian Dior Couture\APAC Management - Reports - Reports\iCristal\Images\VM24\grid_MTD_WSHOES.png</v>
      </c>
      <c r="P94" s="16"/>
      <c r="Q94" t="b">
        <f t="shared" si="37"/>
        <v>0</v>
      </c>
      <c r="R94" t="b">
        <f t="shared" ca="1" si="38"/>
        <v>1</v>
      </c>
      <c r="S94" t="b">
        <v>0</v>
      </c>
      <c r="T94" t="b">
        <f t="shared" ca="1" si="47"/>
        <v>1</v>
      </c>
      <c r="U94" t="b">
        <f t="shared" ca="1" si="48"/>
        <v>1</v>
      </c>
      <c r="V94" t="b">
        <f t="shared" ca="1" si="49"/>
        <v>1</v>
      </c>
      <c r="W94">
        <f t="shared" ca="1" si="40"/>
        <v>1</v>
      </c>
      <c r="X94" s="15">
        <f t="shared" ca="1" si="41"/>
        <v>44899.125</v>
      </c>
      <c r="Y94" s="15">
        <f t="shared" ca="1" si="42"/>
        <v>44899.125</v>
      </c>
      <c r="Z94" s="15">
        <f t="shared" ca="1" si="42"/>
        <v>44899.125</v>
      </c>
      <c r="AA94">
        <f t="shared" ca="1" si="50"/>
        <v>2</v>
      </c>
      <c r="AB94" s="16" t="str">
        <f t="shared" ca="1" si="51"/>
        <v/>
      </c>
    </row>
    <row r="95" spans="1:28" x14ac:dyDescent="0.25">
      <c r="A95" t="s">
        <v>857</v>
      </c>
      <c r="B95" t="s">
        <v>225</v>
      </c>
      <c r="H95" t="b" cm="1">
        <f t="array" aca="1" ref="H95" ca="1">FileExists(N95,NOW())</f>
        <v>1</v>
      </c>
      <c r="I95" t="b" cm="1">
        <f t="array" aca="1" ref="I95" ca="1">FileExists(O95,NOW())</f>
        <v>1</v>
      </c>
      <c r="K95" s="15" cm="1">
        <f t="array" aca="1" ref="K95" ca="1">IF(H95,fileModifiedDate(N95, NOW()),0)</f>
        <v>44858.227037037039</v>
      </c>
      <c r="L95" s="15" cm="1">
        <f t="array" aca="1" ref="L95" ca="1">IF(I95,fileModifiedDate(O95, NOW()),0)</f>
        <v>44898.73505787037</v>
      </c>
      <c r="M95" s="15"/>
      <c r="N95" s="16" t="str">
        <f t="shared" si="45"/>
        <v>D:\OneDrive-Sync\Christian Dior Couture\APAC Management - Reports - Reports\iCristal\Images\grid_YTD_WSHOES.png</v>
      </c>
      <c r="O95" s="16" t="str">
        <f t="shared" si="46"/>
        <v>D:\OneDrive-Sync\Christian Dior Couture\APAC Management - Reports - Reports\iCristal\Images\VM24\grid_YTD_WSHOES.png</v>
      </c>
      <c r="P95" s="16"/>
      <c r="Q95" t="b">
        <f t="shared" si="37"/>
        <v>0</v>
      </c>
      <c r="R95" t="b">
        <f t="shared" ca="1" si="38"/>
        <v>1</v>
      </c>
      <c r="S95" t="b">
        <v>0</v>
      </c>
      <c r="T95" t="b">
        <f t="shared" ca="1" si="47"/>
        <v>1</v>
      </c>
      <c r="U95" t="b">
        <f t="shared" ca="1" si="48"/>
        <v>1</v>
      </c>
      <c r="V95" t="b">
        <f t="shared" ca="1" si="49"/>
        <v>1</v>
      </c>
      <c r="W95">
        <f t="shared" ca="1" si="40"/>
        <v>1</v>
      </c>
      <c r="X95" s="15">
        <f t="shared" ca="1" si="41"/>
        <v>44899.125</v>
      </c>
      <c r="Y95" s="15">
        <f t="shared" ca="1" si="42"/>
        <v>44899.125</v>
      </c>
      <c r="Z95" s="15">
        <f t="shared" ca="1" si="42"/>
        <v>44899.125</v>
      </c>
      <c r="AA95">
        <f t="shared" ca="1" si="50"/>
        <v>2</v>
      </c>
      <c r="AB95" s="16" t="str">
        <f t="shared" ca="1" si="51"/>
        <v/>
      </c>
    </row>
    <row r="96" spans="1:28" x14ac:dyDescent="0.25">
      <c r="A96" t="s">
        <v>857</v>
      </c>
      <c r="B96" t="s">
        <v>226</v>
      </c>
      <c r="H96" t="b" cm="1">
        <f t="array" aca="1" ref="H96" ca="1">FileExists(N96,NOW())</f>
        <v>1</v>
      </c>
      <c r="I96" t="b" cm="1">
        <f t="array" aca="1" ref="I96" ca="1">FileExists(O96,NOW())</f>
        <v>1</v>
      </c>
      <c r="K96" s="15" cm="1">
        <f t="array" aca="1" ref="K96" ca="1">IF(H96,fileModifiedDate(N96, NOW()),0)</f>
        <v>44858.227395833332</v>
      </c>
      <c r="L96" s="15" cm="1">
        <f t="array" aca="1" ref="L96" ca="1">IF(I96,fileModifiedDate(O96, NOW()),0)</f>
        <v>44898.735474537039</v>
      </c>
      <c r="M96" s="15"/>
      <c r="N96" s="16" t="str">
        <f t="shared" si="45"/>
        <v>D:\OneDrive-Sync\Christian Dior Couture\APAC Management - Reports - Reports\iCristal\Images\grid_Day_WACC.png</v>
      </c>
      <c r="O96" s="16" t="str">
        <f t="shared" si="46"/>
        <v>D:\OneDrive-Sync\Christian Dior Couture\APAC Management - Reports - Reports\iCristal\Images\VM24\grid_Day_WACC.png</v>
      </c>
      <c r="P96" s="16"/>
      <c r="Q96" t="b">
        <f t="shared" si="37"/>
        <v>0</v>
      </c>
      <c r="R96" t="b">
        <f t="shared" ca="1" si="38"/>
        <v>1</v>
      </c>
      <c r="S96" t="b">
        <v>0</v>
      </c>
      <c r="T96" t="b">
        <f t="shared" ca="1" si="47"/>
        <v>1</v>
      </c>
      <c r="U96" t="b">
        <f t="shared" ca="1" si="48"/>
        <v>1</v>
      </c>
      <c r="V96" t="b">
        <f t="shared" ca="1" si="49"/>
        <v>1</v>
      </c>
      <c r="W96">
        <f t="shared" ca="1" si="40"/>
        <v>1</v>
      </c>
      <c r="X96" s="15">
        <f t="shared" ca="1" si="41"/>
        <v>44899.125</v>
      </c>
      <c r="Y96" s="15">
        <f t="shared" ca="1" si="42"/>
        <v>44899.125</v>
      </c>
      <c r="Z96" s="15">
        <f t="shared" ca="1" si="42"/>
        <v>44899.125</v>
      </c>
      <c r="AA96">
        <f t="shared" ca="1" si="50"/>
        <v>2</v>
      </c>
      <c r="AB96" s="16" t="str">
        <f t="shared" ca="1" si="51"/>
        <v/>
      </c>
    </row>
    <row r="97" spans="1:28" x14ac:dyDescent="0.25">
      <c r="A97" t="s">
        <v>857</v>
      </c>
      <c r="B97" t="s">
        <v>227</v>
      </c>
      <c r="H97" t="b" cm="1">
        <f t="array" aca="1" ref="H97" ca="1">FileExists(N97,NOW())</f>
        <v>1</v>
      </c>
      <c r="I97" t="b" cm="1">
        <f t="array" aca="1" ref="I97" ca="1">FileExists(O97,NOW())</f>
        <v>1</v>
      </c>
      <c r="K97" s="15" cm="1">
        <f t="array" aca="1" ref="K97" ca="1">IF(H97,fileModifiedDate(N97, NOW()),0)</f>
        <v>44858.227511574078</v>
      </c>
      <c r="L97" s="15" cm="1">
        <f t="array" aca="1" ref="L97" ca="1">IF(I97,fileModifiedDate(O97, NOW()),0)</f>
        <v>44898.735613425924</v>
      </c>
      <c r="M97" s="15"/>
      <c r="N97" s="16" t="str">
        <f t="shared" si="45"/>
        <v>D:\OneDrive-Sync\Christian Dior Couture\APAC Management - Reports - Reports\iCristal\Images\grid_WTD_WACC.png</v>
      </c>
      <c r="O97" s="16" t="str">
        <f t="shared" si="46"/>
        <v>D:\OneDrive-Sync\Christian Dior Couture\APAC Management - Reports - Reports\iCristal\Images\VM24\grid_WTD_WACC.png</v>
      </c>
      <c r="P97" s="16"/>
      <c r="Q97" t="b">
        <f t="shared" si="37"/>
        <v>0</v>
      </c>
      <c r="R97" t="b">
        <f t="shared" ca="1" si="38"/>
        <v>1</v>
      </c>
      <c r="S97" t="b">
        <v>0</v>
      </c>
      <c r="T97" t="b">
        <f t="shared" ca="1" si="47"/>
        <v>1</v>
      </c>
      <c r="U97" t="b">
        <f t="shared" ca="1" si="48"/>
        <v>1</v>
      </c>
      <c r="V97" t="b">
        <f t="shared" ca="1" si="49"/>
        <v>1</v>
      </c>
      <c r="W97">
        <f t="shared" ca="1" si="40"/>
        <v>1</v>
      </c>
      <c r="X97" s="15">
        <f t="shared" ca="1" si="41"/>
        <v>44899.125</v>
      </c>
      <c r="Y97" s="15">
        <f t="shared" ca="1" si="42"/>
        <v>44899.125</v>
      </c>
      <c r="Z97" s="15">
        <f t="shared" ca="1" si="42"/>
        <v>44899.125</v>
      </c>
      <c r="AA97">
        <f t="shared" ca="1" si="50"/>
        <v>2</v>
      </c>
      <c r="AB97" s="16" t="str">
        <f t="shared" ca="1" si="51"/>
        <v/>
      </c>
    </row>
    <row r="98" spans="1:28" x14ac:dyDescent="0.25">
      <c r="A98" t="s">
        <v>857</v>
      </c>
      <c r="B98" t="s">
        <v>228</v>
      </c>
      <c r="H98" t="b" cm="1">
        <f t="array" aca="1" ref="H98" ca="1">FileExists(N98,NOW())</f>
        <v>1</v>
      </c>
      <c r="I98" t="b" cm="1">
        <f t="array" aca="1" ref="I98" ca="1">FileExists(O98,NOW())</f>
        <v>1</v>
      </c>
      <c r="K98" s="15" cm="1">
        <f t="array" aca="1" ref="K98" ca="1">IF(H98,fileModifiedDate(N98, NOW()),0)</f>
        <v>44858.227627314816</v>
      </c>
      <c r="L98" s="15" cm="1">
        <f t="array" aca="1" ref="L98" ca="1">IF(I98,fileModifiedDate(O98, NOW()),0)</f>
        <v>44898.735752314817</v>
      </c>
      <c r="M98" s="15"/>
      <c r="N98" s="16" t="str">
        <f t="shared" si="45"/>
        <v>D:\OneDrive-Sync\Christian Dior Couture\APAC Management - Reports - Reports\iCristal\Images\grid_MTD_WACC.png</v>
      </c>
      <c r="O98" s="16" t="str">
        <f t="shared" si="46"/>
        <v>D:\OneDrive-Sync\Christian Dior Couture\APAC Management - Reports - Reports\iCristal\Images\VM24\grid_MTD_WACC.png</v>
      </c>
      <c r="P98" s="16"/>
      <c r="Q98" t="b">
        <f t="shared" si="37"/>
        <v>0</v>
      </c>
      <c r="R98" t="b">
        <f t="shared" ca="1" si="38"/>
        <v>1</v>
      </c>
      <c r="S98" t="b">
        <v>0</v>
      </c>
      <c r="T98" t="b">
        <f t="shared" ca="1" si="47"/>
        <v>1</v>
      </c>
      <c r="U98" t="b">
        <f t="shared" ca="1" si="48"/>
        <v>1</v>
      </c>
      <c r="V98" t="b">
        <f t="shared" ca="1" si="49"/>
        <v>1</v>
      </c>
      <c r="W98">
        <f t="shared" ca="1" si="40"/>
        <v>1</v>
      </c>
      <c r="X98" s="15">
        <f t="shared" ca="1" si="41"/>
        <v>44899.125</v>
      </c>
      <c r="Y98" s="15">
        <f t="shared" ca="1" si="42"/>
        <v>44899.125</v>
      </c>
      <c r="Z98" s="15">
        <f t="shared" ca="1" si="42"/>
        <v>44899.125</v>
      </c>
      <c r="AA98">
        <f t="shared" ca="1" si="50"/>
        <v>2</v>
      </c>
      <c r="AB98" s="16" t="str">
        <f t="shared" ca="1" si="51"/>
        <v/>
      </c>
    </row>
    <row r="99" spans="1:28" x14ac:dyDescent="0.25">
      <c r="A99" t="s">
        <v>857</v>
      </c>
      <c r="B99" t="s">
        <v>229</v>
      </c>
      <c r="H99" t="b" cm="1">
        <f t="array" aca="1" ref="H99" ca="1">FileExists(N99,NOW())</f>
        <v>1</v>
      </c>
      <c r="I99" t="b" cm="1">
        <f t="array" aca="1" ref="I99" ca="1">FileExists(O99,NOW())</f>
        <v>1</v>
      </c>
      <c r="K99" s="15" cm="1">
        <f t="array" aca="1" ref="K99" ca="1">IF(H99,fileModifiedDate(N99, NOW()),0)</f>
        <v>44858.227743055555</v>
      </c>
      <c r="L99" s="15" cm="1">
        <f t="array" aca="1" ref="L99" ca="1">IF(I99,fileModifiedDate(O99, NOW()),0)</f>
        <v>44898.735902777778</v>
      </c>
      <c r="M99" s="15"/>
      <c r="N99" s="16" t="str">
        <f t="shared" si="45"/>
        <v>D:\OneDrive-Sync\Christian Dior Couture\APAC Management - Reports - Reports\iCristal\Images\grid_YTD_WACC.png</v>
      </c>
      <c r="O99" s="16" t="str">
        <f t="shared" si="46"/>
        <v>D:\OneDrive-Sync\Christian Dior Couture\APAC Management - Reports - Reports\iCristal\Images\VM24\grid_YTD_WACC.png</v>
      </c>
      <c r="P99" s="16"/>
      <c r="Q99" t="b">
        <f t="shared" si="37"/>
        <v>0</v>
      </c>
      <c r="R99" t="b">
        <f t="shared" ca="1" si="38"/>
        <v>1</v>
      </c>
      <c r="S99" t="b">
        <v>0</v>
      </c>
      <c r="T99" t="b">
        <f t="shared" ca="1" si="47"/>
        <v>1</v>
      </c>
      <c r="U99" t="b">
        <f t="shared" ca="1" si="48"/>
        <v>1</v>
      </c>
      <c r="V99" t="b">
        <f t="shared" ca="1" si="49"/>
        <v>1</v>
      </c>
      <c r="W99">
        <f t="shared" ca="1" si="40"/>
        <v>1</v>
      </c>
      <c r="X99" s="15">
        <f t="shared" ca="1" si="41"/>
        <v>44899.125</v>
      </c>
      <c r="Y99" s="15">
        <f t="shared" ca="1" si="42"/>
        <v>44899.125</v>
      </c>
      <c r="Z99" s="15">
        <f t="shared" ca="1" si="42"/>
        <v>44899.125</v>
      </c>
      <c r="AA99">
        <f t="shared" ca="1" si="50"/>
        <v>2</v>
      </c>
      <c r="AB99" s="16" t="str">
        <f t="shared" ca="1" si="51"/>
        <v/>
      </c>
    </row>
    <row r="100" spans="1:28" x14ac:dyDescent="0.25">
      <c r="A100" t="s">
        <v>857</v>
      </c>
      <c r="B100" t="s">
        <v>580</v>
      </c>
      <c r="H100" t="b" cm="1">
        <f t="array" aca="1" ref="H100" ca="1">FileExists(N100,NOW())</f>
        <v>1</v>
      </c>
      <c r="I100" t="b" cm="1">
        <f t="array" aca="1" ref="I100" ca="1">FileExists(O100,NOW())</f>
        <v>1</v>
      </c>
      <c r="K100" s="15" cm="1">
        <f t="array" aca="1" ref="K100" ca="1">IF(H100,fileModifiedDate(N100, NOW()),0)</f>
        <v>44858.228148148148</v>
      </c>
      <c r="L100" s="15" cm="1">
        <f t="array" aca="1" ref="L100" ca="1">IF(I100,fileModifiedDate(O100, NOW()),0)</f>
        <v>44898.736388888887</v>
      </c>
      <c r="M100" s="15"/>
      <c r="N100" s="16" t="str">
        <f t="shared" si="45"/>
        <v>D:\OneDrive-Sync\Christian Dior Couture\APAC Management - Reports - Reports\iCristal\Images\grid_Day_WnJ.png</v>
      </c>
      <c r="O100" s="16" t="str">
        <f t="shared" si="46"/>
        <v>D:\OneDrive-Sync\Christian Dior Couture\APAC Management - Reports - Reports\iCristal\Images\VM24\grid_Day_WnJ.png</v>
      </c>
      <c r="P100" s="16"/>
      <c r="Q100" t="b">
        <f t="shared" si="37"/>
        <v>0</v>
      </c>
      <c r="R100" t="b">
        <f t="shared" ca="1" si="38"/>
        <v>1</v>
      </c>
      <c r="S100" t="b">
        <v>0</v>
      </c>
      <c r="T100" t="b">
        <f t="shared" ca="1" si="47"/>
        <v>1</v>
      </c>
      <c r="U100" t="b">
        <f t="shared" ca="1" si="48"/>
        <v>1</v>
      </c>
      <c r="V100" t="b">
        <f t="shared" ca="1" si="49"/>
        <v>1</v>
      </c>
      <c r="W100">
        <f t="shared" ca="1" si="40"/>
        <v>1</v>
      </c>
      <c r="X100" s="15">
        <f t="shared" ca="1" si="41"/>
        <v>44899.125</v>
      </c>
      <c r="Y100" s="15">
        <f t="shared" ca="1" si="42"/>
        <v>44899.125</v>
      </c>
      <c r="Z100" s="15">
        <f t="shared" ca="1" si="42"/>
        <v>44899.125</v>
      </c>
      <c r="AA100">
        <f t="shared" ca="1" si="50"/>
        <v>2</v>
      </c>
      <c r="AB100" s="16" t="str">
        <f t="shared" ca="1" si="51"/>
        <v/>
      </c>
    </row>
    <row r="101" spans="1:28" x14ac:dyDescent="0.25">
      <c r="A101" t="s">
        <v>857</v>
      </c>
      <c r="B101" t="s">
        <v>581</v>
      </c>
      <c r="H101" t="b" cm="1">
        <f t="array" aca="1" ref="H101" ca="1">FileExists(N101,NOW())</f>
        <v>1</v>
      </c>
      <c r="I101" t="b" cm="1">
        <f t="array" aca="1" ref="I101" ca="1">FileExists(O101,NOW())</f>
        <v>1</v>
      </c>
      <c r="K101" s="15" cm="1">
        <f t="array" aca="1" ref="K101" ca="1">IF(H101,fileModifiedDate(N101, NOW()),0)</f>
        <v>44858.228263888886</v>
      </c>
      <c r="L101" s="15" cm="1">
        <f t="array" aca="1" ref="L101" ca="1">IF(I101,fileModifiedDate(O101, NOW()),0)</f>
        <v>44898.736539351848</v>
      </c>
      <c r="M101" s="15"/>
      <c r="N101" s="16" t="str">
        <f t="shared" si="45"/>
        <v>D:\OneDrive-Sync\Christian Dior Couture\APAC Management - Reports - Reports\iCristal\Images\grid_WTD_WnJ.png</v>
      </c>
      <c r="O101" s="16" t="str">
        <f t="shared" si="46"/>
        <v>D:\OneDrive-Sync\Christian Dior Couture\APAC Management - Reports - Reports\iCristal\Images\VM24\grid_WTD_WnJ.png</v>
      </c>
      <c r="P101" s="16"/>
      <c r="Q101" t="b">
        <f t="shared" si="37"/>
        <v>0</v>
      </c>
      <c r="R101" t="b">
        <f t="shared" ca="1" si="38"/>
        <v>1</v>
      </c>
      <c r="S101" t="b">
        <v>0</v>
      </c>
      <c r="T101" t="b">
        <f t="shared" ca="1" si="47"/>
        <v>1</v>
      </c>
      <c r="U101" t="b">
        <f t="shared" ca="1" si="48"/>
        <v>1</v>
      </c>
      <c r="V101" t="b">
        <f t="shared" ca="1" si="49"/>
        <v>1</v>
      </c>
      <c r="W101">
        <f t="shared" ca="1" si="40"/>
        <v>1</v>
      </c>
      <c r="X101" s="15">
        <f t="shared" ca="1" si="41"/>
        <v>44899.125</v>
      </c>
      <c r="Y101" s="15">
        <f t="shared" ca="1" si="42"/>
        <v>44899.125</v>
      </c>
      <c r="Z101" s="15">
        <f t="shared" ca="1" si="42"/>
        <v>44899.125</v>
      </c>
      <c r="AA101">
        <f t="shared" ca="1" si="50"/>
        <v>2</v>
      </c>
      <c r="AB101" s="16" t="str">
        <f t="shared" ca="1" si="51"/>
        <v/>
      </c>
    </row>
    <row r="102" spans="1:28" x14ac:dyDescent="0.25">
      <c r="A102" t="s">
        <v>857</v>
      </c>
      <c r="B102" t="s">
        <v>582</v>
      </c>
      <c r="H102" t="b" cm="1">
        <f t="array" aca="1" ref="H102" ca="1">FileExists(N102,NOW())</f>
        <v>1</v>
      </c>
      <c r="I102" t="b" cm="1">
        <f t="array" aca="1" ref="I102" ca="1">FileExists(O102,NOW())</f>
        <v>1</v>
      </c>
      <c r="K102" s="15" cm="1">
        <f t="array" aca="1" ref="K102" ca="1">IF(H102,fileModifiedDate(N102, NOW()),0)</f>
        <v>44858.228391203702</v>
      </c>
      <c r="L102" s="15" cm="1">
        <f t="array" aca="1" ref="L102" ca="1">IF(I102,fileModifiedDate(O102, NOW()),0)</f>
        <v>44898.736666666664</v>
      </c>
      <c r="M102" s="15"/>
      <c r="N102" s="16" t="str">
        <f t="shared" si="45"/>
        <v>D:\OneDrive-Sync\Christian Dior Couture\APAC Management - Reports - Reports\iCristal\Images\grid_MTD_WnJ.png</v>
      </c>
      <c r="O102" s="16" t="str">
        <f t="shared" si="46"/>
        <v>D:\OneDrive-Sync\Christian Dior Couture\APAC Management - Reports - Reports\iCristal\Images\VM24\grid_MTD_WnJ.png</v>
      </c>
      <c r="P102" s="16"/>
      <c r="Q102" t="b">
        <f t="shared" si="37"/>
        <v>0</v>
      </c>
      <c r="R102" t="b">
        <f t="shared" ca="1" si="38"/>
        <v>1</v>
      </c>
      <c r="S102" t="b">
        <v>0</v>
      </c>
      <c r="T102" t="b">
        <f t="shared" ca="1" si="47"/>
        <v>1</v>
      </c>
      <c r="U102" t="b">
        <f t="shared" ca="1" si="48"/>
        <v>1</v>
      </c>
      <c r="V102" t="b">
        <f t="shared" ca="1" si="49"/>
        <v>1</v>
      </c>
      <c r="W102">
        <f t="shared" ca="1" si="40"/>
        <v>1</v>
      </c>
      <c r="X102" s="15">
        <f t="shared" ca="1" si="41"/>
        <v>44899.125</v>
      </c>
      <c r="Y102" s="15">
        <f t="shared" ca="1" si="42"/>
        <v>44899.125</v>
      </c>
      <c r="Z102" s="15">
        <f t="shared" ca="1" si="42"/>
        <v>44899.125</v>
      </c>
      <c r="AA102">
        <f t="shared" ca="1" si="50"/>
        <v>2</v>
      </c>
      <c r="AB102" s="16" t="str">
        <f t="shared" ca="1" si="51"/>
        <v/>
      </c>
    </row>
    <row r="103" spans="1:28" x14ac:dyDescent="0.25">
      <c r="A103" t="s">
        <v>857</v>
      </c>
      <c r="B103" t="s">
        <v>583</v>
      </c>
      <c r="H103" t="b" cm="1">
        <f t="array" aca="1" ref="H103" ca="1">FileExists(N103,NOW())</f>
        <v>1</v>
      </c>
      <c r="I103" t="b" cm="1">
        <f t="array" aca="1" ref="I103" ca="1">FileExists(O103,NOW())</f>
        <v>1</v>
      </c>
      <c r="K103" s="15" cm="1">
        <f t="array" aca="1" ref="K103" ca="1">IF(H103,fileModifiedDate(N103, NOW()),0)</f>
        <v>44858.228495370371</v>
      </c>
      <c r="L103" s="15" cm="1">
        <f t="array" aca="1" ref="L103" ca="1">IF(I103,fileModifiedDate(O103, NOW()),0)</f>
        <v>44898.736817129633</v>
      </c>
      <c r="M103" s="15"/>
      <c r="N103" s="16" t="str">
        <f t="shared" si="45"/>
        <v>D:\OneDrive-Sync\Christian Dior Couture\APAC Management - Reports - Reports\iCristal\Images\grid_YTD_WnJ.png</v>
      </c>
      <c r="O103" s="16" t="str">
        <f t="shared" si="46"/>
        <v>D:\OneDrive-Sync\Christian Dior Couture\APAC Management - Reports - Reports\iCristal\Images\VM24\grid_YTD_WnJ.png</v>
      </c>
      <c r="P103" s="16"/>
      <c r="Q103" t="b">
        <f t="shared" si="37"/>
        <v>0</v>
      </c>
      <c r="R103" t="b">
        <f t="shared" ca="1" si="38"/>
        <v>1</v>
      </c>
      <c r="S103" t="b">
        <v>0</v>
      </c>
      <c r="T103" t="b">
        <f t="shared" ca="1" si="47"/>
        <v>1</v>
      </c>
      <c r="U103" t="b">
        <f t="shared" ca="1" si="48"/>
        <v>1</v>
      </c>
      <c r="V103" t="b">
        <f t="shared" ca="1" si="49"/>
        <v>1</v>
      </c>
      <c r="W103">
        <f t="shared" ca="1" si="40"/>
        <v>1</v>
      </c>
      <c r="X103" s="15">
        <f t="shared" ca="1" si="41"/>
        <v>44899.125</v>
      </c>
      <c r="Y103" s="15">
        <f t="shared" ca="1" si="42"/>
        <v>44899.125</v>
      </c>
      <c r="Z103" s="15">
        <f t="shared" ca="1" si="42"/>
        <v>44899.125</v>
      </c>
      <c r="AA103">
        <f t="shared" ca="1" si="50"/>
        <v>2</v>
      </c>
      <c r="AB103" s="16" t="str">
        <f t="shared" ca="1" si="51"/>
        <v/>
      </c>
    </row>
    <row r="104" spans="1:28" x14ac:dyDescent="0.25">
      <c r="A104" t="s">
        <v>857</v>
      </c>
      <c r="B104" t="s">
        <v>230</v>
      </c>
      <c r="H104" t="b" cm="1">
        <f t="array" aca="1" ref="H104" ca="1">FileExists(N104,NOW())</f>
        <v>1</v>
      </c>
      <c r="I104" t="b" cm="1">
        <f t="array" aca="1" ref="I104" ca="1">FileExists(O104,NOW())</f>
        <v>1</v>
      </c>
      <c r="K104" s="15" cm="1">
        <f t="array" aca="1" ref="K104" ca="1">IF(H104,fileModifiedDate(N104, NOW()),0)</f>
        <v>44858.228784722225</v>
      </c>
      <c r="L104" s="15" cm="1">
        <f t="array" aca="1" ref="L104" ca="1">IF(I104,fileModifiedDate(O104, NOW()),0)</f>
        <v>44898.737141203703</v>
      </c>
      <c r="M104" s="15"/>
      <c r="N104" s="16" t="str">
        <f t="shared" si="45"/>
        <v>D:\OneDrive-Sync\Christian Dior Couture\APAC Management - Reports - Reports\iCristal\Images\grid_Day_MENS.png</v>
      </c>
      <c r="O104" s="16" t="str">
        <f t="shared" si="46"/>
        <v>D:\OneDrive-Sync\Christian Dior Couture\APAC Management - Reports - Reports\iCristal\Images\VM24\grid_Day_MENS.png</v>
      </c>
      <c r="P104" s="16"/>
      <c r="Q104" t="b">
        <f t="shared" si="37"/>
        <v>0</v>
      </c>
      <c r="R104" t="b">
        <f t="shared" ca="1" si="38"/>
        <v>1</v>
      </c>
      <c r="S104" t="b">
        <v>0</v>
      </c>
      <c r="T104" t="b">
        <f t="shared" ca="1" si="47"/>
        <v>1</v>
      </c>
      <c r="U104" t="b">
        <f t="shared" ca="1" si="48"/>
        <v>1</v>
      </c>
      <c r="V104" t="b">
        <f t="shared" ca="1" si="49"/>
        <v>1</v>
      </c>
      <c r="W104">
        <f t="shared" ca="1" si="40"/>
        <v>1</v>
      </c>
      <c r="X104" s="15">
        <f t="shared" ca="1" si="41"/>
        <v>44899.125</v>
      </c>
      <c r="Y104" s="15">
        <f t="shared" ca="1" si="42"/>
        <v>44899.125</v>
      </c>
      <c r="Z104" s="15">
        <f t="shared" ca="1" si="42"/>
        <v>44899.125</v>
      </c>
      <c r="AA104">
        <f t="shared" ca="1" si="50"/>
        <v>2</v>
      </c>
      <c r="AB104" s="16" t="str">
        <f t="shared" ca="1" si="51"/>
        <v/>
      </c>
    </row>
    <row r="105" spans="1:28" x14ac:dyDescent="0.25">
      <c r="A105" t="s">
        <v>857</v>
      </c>
      <c r="B105" t="s">
        <v>231</v>
      </c>
      <c r="H105" t="b" cm="1">
        <f t="array" aca="1" ref="H105" ca="1">FileExists(N105,NOW())</f>
        <v>1</v>
      </c>
      <c r="I105" t="b" cm="1">
        <f t="array" aca="1" ref="I105" ca="1">FileExists(O105,NOW())</f>
        <v>1</v>
      </c>
      <c r="K105" s="15" cm="1">
        <f t="array" aca="1" ref="K105" ca="1">IF(H105,fileModifiedDate(N105, NOW()),0)</f>
        <v>44858.228900462964</v>
      </c>
      <c r="L105" s="15" cm="1">
        <f t="array" aca="1" ref="L105" ca="1">IF(I105,fileModifiedDate(O105, NOW()),0)</f>
        <v>44898.737280092595</v>
      </c>
      <c r="M105" s="15"/>
      <c r="N105" s="16" t="str">
        <f t="shared" si="45"/>
        <v>D:\OneDrive-Sync\Christian Dior Couture\APAC Management - Reports - Reports\iCristal\Images\grid_WTD_MENS.png</v>
      </c>
      <c r="O105" s="16" t="str">
        <f t="shared" si="46"/>
        <v>D:\OneDrive-Sync\Christian Dior Couture\APAC Management - Reports - Reports\iCristal\Images\VM24\grid_WTD_MENS.png</v>
      </c>
      <c r="P105" s="16"/>
      <c r="Q105" t="b">
        <f t="shared" si="37"/>
        <v>0</v>
      </c>
      <c r="R105" t="b">
        <f t="shared" ca="1" si="38"/>
        <v>1</v>
      </c>
      <c r="S105" t="b">
        <v>0</v>
      </c>
      <c r="T105" t="b">
        <f t="shared" ca="1" si="47"/>
        <v>1</v>
      </c>
      <c r="U105" t="b">
        <f t="shared" ca="1" si="48"/>
        <v>1</v>
      </c>
      <c r="V105" t="b">
        <f t="shared" ca="1" si="49"/>
        <v>1</v>
      </c>
      <c r="W105">
        <f t="shared" ca="1" si="40"/>
        <v>1</v>
      </c>
      <c r="X105" s="15">
        <f t="shared" ca="1" si="41"/>
        <v>44899.125</v>
      </c>
      <c r="Y105" s="15">
        <f t="shared" ca="1" si="42"/>
        <v>44899.125</v>
      </c>
      <c r="Z105" s="15">
        <f t="shared" ca="1" si="42"/>
        <v>44899.125</v>
      </c>
      <c r="AA105">
        <f t="shared" ca="1" si="50"/>
        <v>2</v>
      </c>
      <c r="AB105" s="16" t="str">
        <f t="shared" ca="1" si="51"/>
        <v/>
      </c>
    </row>
    <row r="106" spans="1:28" x14ac:dyDescent="0.25">
      <c r="A106" t="s">
        <v>857</v>
      </c>
      <c r="B106" t="s">
        <v>232</v>
      </c>
      <c r="H106" t="b" cm="1">
        <f t="array" aca="1" ref="H106" ca="1">FileExists(N106,NOW())</f>
        <v>1</v>
      </c>
      <c r="I106" t="b" cm="1">
        <f t="array" aca="1" ref="I106" ca="1">FileExists(O106,NOW())</f>
        <v>1</v>
      </c>
      <c r="K106" s="15" cm="1">
        <f t="array" aca="1" ref="K106" ca="1">IF(H106,fileModifiedDate(N106, NOW()),0)</f>
        <v>44858.229016203702</v>
      </c>
      <c r="L106" s="15" cm="1">
        <f t="array" aca="1" ref="L106" ca="1">IF(I106,fileModifiedDate(O106, NOW()),0)</f>
        <v>44898.73741898148</v>
      </c>
      <c r="M106" s="15"/>
      <c r="N106" s="16" t="str">
        <f t="shared" si="45"/>
        <v>D:\OneDrive-Sync\Christian Dior Couture\APAC Management - Reports - Reports\iCristal\Images\grid_MTD_MENS.png</v>
      </c>
      <c r="O106" s="16" t="str">
        <f t="shared" si="46"/>
        <v>D:\OneDrive-Sync\Christian Dior Couture\APAC Management - Reports - Reports\iCristal\Images\VM24\grid_MTD_MENS.png</v>
      </c>
      <c r="P106" s="16"/>
      <c r="Q106" t="b">
        <f t="shared" si="37"/>
        <v>0</v>
      </c>
      <c r="R106" t="b">
        <f t="shared" ca="1" si="38"/>
        <v>1</v>
      </c>
      <c r="S106" t="b">
        <v>0</v>
      </c>
      <c r="T106" t="b">
        <f t="shared" ca="1" si="47"/>
        <v>1</v>
      </c>
      <c r="U106" t="b">
        <f t="shared" ca="1" si="48"/>
        <v>1</v>
      </c>
      <c r="V106" t="b">
        <f t="shared" ca="1" si="49"/>
        <v>1</v>
      </c>
      <c r="W106">
        <f t="shared" ca="1" si="40"/>
        <v>1</v>
      </c>
      <c r="X106" s="15">
        <f t="shared" ca="1" si="41"/>
        <v>44899.125</v>
      </c>
      <c r="Y106" s="15">
        <f t="shared" ca="1" si="42"/>
        <v>44899.125</v>
      </c>
      <c r="Z106" s="15">
        <f t="shared" ca="1" si="42"/>
        <v>44899.125</v>
      </c>
      <c r="AA106">
        <f t="shared" ca="1" si="50"/>
        <v>2</v>
      </c>
      <c r="AB106" s="16" t="str">
        <f t="shared" ca="1" si="51"/>
        <v/>
      </c>
    </row>
    <row r="107" spans="1:28" x14ac:dyDescent="0.25">
      <c r="A107" t="s">
        <v>857</v>
      </c>
      <c r="B107" t="s">
        <v>233</v>
      </c>
      <c r="H107" t="b" cm="1">
        <f t="array" aca="1" ref="H107" ca="1">FileExists(N107,NOW())</f>
        <v>1</v>
      </c>
      <c r="I107" t="b" cm="1">
        <f t="array" aca="1" ref="I107" ca="1">FileExists(O107,NOW())</f>
        <v>1</v>
      </c>
      <c r="K107" s="15" cm="1">
        <f t="array" aca="1" ref="K107" ca="1">IF(H107,fileModifiedDate(N107, NOW()),0)</f>
        <v>44858.229131944441</v>
      </c>
      <c r="L107" s="15" cm="1">
        <f t="array" aca="1" ref="L107" ca="1">IF(I107,fileModifiedDate(O107, NOW()),0)</f>
        <v>44898.737546296295</v>
      </c>
      <c r="M107" s="15"/>
      <c r="N107" s="16" t="str">
        <f t="shared" si="45"/>
        <v>D:\OneDrive-Sync\Christian Dior Couture\APAC Management - Reports - Reports\iCristal\Images\grid_YTD_MENS.png</v>
      </c>
      <c r="O107" s="16" t="str">
        <f t="shared" si="46"/>
        <v>D:\OneDrive-Sync\Christian Dior Couture\APAC Management - Reports - Reports\iCristal\Images\VM24\grid_YTD_MENS.png</v>
      </c>
      <c r="P107" s="16"/>
      <c r="Q107" t="b">
        <f t="shared" si="37"/>
        <v>0</v>
      </c>
      <c r="R107" t="b">
        <f t="shared" ca="1" si="38"/>
        <v>1</v>
      </c>
      <c r="S107" t="b">
        <v>0</v>
      </c>
      <c r="T107" t="b">
        <f t="shared" ca="1" si="47"/>
        <v>1</v>
      </c>
      <c r="U107" t="b">
        <f t="shared" ca="1" si="48"/>
        <v>1</v>
      </c>
      <c r="V107" t="b">
        <f t="shared" ca="1" si="49"/>
        <v>1</v>
      </c>
      <c r="W107">
        <f t="shared" ca="1" si="40"/>
        <v>1</v>
      </c>
      <c r="X107" s="15">
        <f t="shared" ca="1" si="41"/>
        <v>44899.125</v>
      </c>
      <c r="Y107" s="15">
        <f t="shared" ca="1" si="42"/>
        <v>44899.125</v>
      </c>
      <c r="Z107" s="15">
        <f t="shared" ca="1" si="42"/>
        <v>44899.125</v>
      </c>
      <c r="AA107">
        <f t="shared" ca="1" si="50"/>
        <v>2</v>
      </c>
      <c r="AB107" s="16" t="str">
        <f t="shared" ca="1" si="51"/>
        <v/>
      </c>
    </row>
    <row r="108" spans="1:28" x14ac:dyDescent="0.25">
      <c r="A108" t="s">
        <v>857</v>
      </c>
      <c r="B108" t="s">
        <v>593</v>
      </c>
      <c r="H108" t="b" cm="1">
        <f t="array" aca="1" ref="H108" ca="1">FileExists(N108,NOW())</f>
        <v>1</v>
      </c>
      <c r="I108" t="b" cm="1">
        <f t="array" aca="1" ref="I108" ca="1">FileExists(O108,NOW())</f>
        <v>1</v>
      </c>
      <c r="K108" s="15" cm="1">
        <f t="array" aca="1" ref="K108" ca="1">IF(H108,fileModifiedDate(N108, NOW()),0)</f>
        <v>44858.229317129626</v>
      </c>
      <c r="L108" s="15" cm="1">
        <f t="array" aca="1" ref="L108" ca="1">IF(I108,fileModifiedDate(O108, NOW()),0)</f>
        <v>44898.737754629627</v>
      </c>
      <c r="M108" s="15"/>
      <c r="N108" s="16" t="str">
        <f t="shared" si="45"/>
        <v>D:\OneDrive-Sync\Christian Dior Couture\APAC Management - Reports - Reports\iCristal\Images\grid_Day_MBAGS.png</v>
      </c>
      <c r="O108" s="16" t="str">
        <f t="shared" ref="O108:O139" si="52">O$74&amp;"\"&amp;$B108</f>
        <v>D:\OneDrive-Sync\Christian Dior Couture\APAC Management - Reports - Reports\iCristal\Images\VM24\grid_Day_MBAGS.png</v>
      </c>
      <c r="P108" s="16"/>
      <c r="Q108" t="b">
        <f t="shared" si="37"/>
        <v>0</v>
      </c>
      <c r="R108" t="b">
        <f t="shared" ca="1" si="38"/>
        <v>1</v>
      </c>
      <c r="S108" t="b">
        <v>0</v>
      </c>
      <c r="T108" t="b">
        <f t="shared" ca="1" si="47"/>
        <v>1</v>
      </c>
      <c r="U108" t="b">
        <f t="shared" ca="1" si="48"/>
        <v>1</v>
      </c>
      <c r="V108" t="b">
        <f t="shared" ca="1" si="49"/>
        <v>1</v>
      </c>
      <c r="W108">
        <f t="shared" ca="1" si="40"/>
        <v>1</v>
      </c>
      <c r="X108" s="15">
        <f t="shared" ca="1" si="41"/>
        <v>44899.125</v>
      </c>
      <c r="Y108" s="15">
        <f t="shared" ca="1" si="42"/>
        <v>44899.125</v>
      </c>
      <c r="Z108" s="15">
        <f t="shared" ca="1" si="42"/>
        <v>44899.125</v>
      </c>
      <c r="AA108">
        <f t="shared" ca="1" si="50"/>
        <v>2</v>
      </c>
      <c r="AB108" s="16" t="str">
        <f t="shared" ca="1" si="51"/>
        <v/>
      </c>
    </row>
    <row r="109" spans="1:28" x14ac:dyDescent="0.25">
      <c r="A109" t="s">
        <v>857</v>
      </c>
      <c r="B109" t="s">
        <v>594</v>
      </c>
      <c r="H109" t="b" cm="1">
        <f t="array" aca="1" ref="H109" ca="1">FileExists(N109,NOW())</f>
        <v>1</v>
      </c>
      <c r="I109" t="b" cm="1">
        <f t="array" aca="1" ref="I109" ca="1">FileExists(O109,NOW())</f>
        <v>1</v>
      </c>
      <c r="K109" s="15" cm="1">
        <f t="array" aca="1" ref="K109" ca="1">IF(H109,fileModifiedDate(N109, NOW()),0)</f>
        <v>44858.229444444441</v>
      </c>
      <c r="L109" s="15" cm="1">
        <f t="array" aca="1" ref="L109" ca="1">IF(I109,fileModifiedDate(O109, NOW()),0)</f>
        <v>44898.737893518519</v>
      </c>
      <c r="M109" s="15"/>
      <c r="N109" s="16" t="str">
        <f t="shared" si="45"/>
        <v>D:\OneDrive-Sync\Christian Dior Couture\APAC Management - Reports - Reports\iCristal\Images\grid_WTD_MBAGS.png</v>
      </c>
      <c r="O109" s="16" t="str">
        <f t="shared" si="52"/>
        <v>D:\OneDrive-Sync\Christian Dior Couture\APAC Management - Reports - Reports\iCristal\Images\VM24\grid_WTD_MBAGS.png</v>
      </c>
      <c r="P109" s="16"/>
      <c r="Q109" t="b">
        <f t="shared" si="37"/>
        <v>0</v>
      </c>
      <c r="R109" t="b">
        <f t="shared" ca="1" si="38"/>
        <v>1</v>
      </c>
      <c r="S109" t="b">
        <v>0</v>
      </c>
      <c r="T109" t="b">
        <f t="shared" ca="1" si="47"/>
        <v>1</v>
      </c>
      <c r="U109" t="b">
        <f t="shared" ca="1" si="48"/>
        <v>1</v>
      </c>
      <c r="V109" t="b">
        <f t="shared" ca="1" si="49"/>
        <v>1</v>
      </c>
      <c r="W109">
        <f t="shared" ca="1" si="40"/>
        <v>1</v>
      </c>
      <c r="X109" s="15">
        <f t="shared" ca="1" si="41"/>
        <v>44899.125</v>
      </c>
      <c r="Y109" s="15">
        <f t="shared" ca="1" si="42"/>
        <v>44899.125</v>
      </c>
      <c r="Z109" s="15">
        <f t="shared" ca="1" si="42"/>
        <v>44899.125</v>
      </c>
      <c r="AA109">
        <f t="shared" ca="1" si="50"/>
        <v>2</v>
      </c>
      <c r="AB109" s="16" t="str">
        <f t="shared" ca="1" si="51"/>
        <v/>
      </c>
    </row>
    <row r="110" spans="1:28" x14ac:dyDescent="0.25">
      <c r="A110" t="s">
        <v>857</v>
      </c>
      <c r="B110" t="s">
        <v>595</v>
      </c>
      <c r="H110" t="b" cm="1">
        <f t="array" aca="1" ref="H110" ca="1">FileExists(N110,NOW())</f>
        <v>1</v>
      </c>
      <c r="I110" t="b" cm="1">
        <f t="array" aca="1" ref="I110" ca="1">FileExists(O110,NOW())</f>
        <v>1</v>
      </c>
      <c r="K110" s="15" cm="1">
        <f t="array" aca="1" ref="K110" ca="1">IF(H110,fileModifiedDate(N110, NOW()),0)</f>
        <v>44858.229560185187</v>
      </c>
      <c r="L110" s="15" cm="1">
        <f t="array" aca="1" ref="L110" ca="1">IF(I110,fileModifiedDate(O110, NOW()),0)</f>
        <v>44898.738032407404</v>
      </c>
      <c r="M110" s="15"/>
      <c r="N110" s="16" t="str">
        <f t="shared" si="45"/>
        <v>D:\OneDrive-Sync\Christian Dior Couture\APAC Management - Reports - Reports\iCristal\Images\grid_MTD_MBAGS.png</v>
      </c>
      <c r="O110" s="16" t="str">
        <f t="shared" si="52"/>
        <v>D:\OneDrive-Sync\Christian Dior Couture\APAC Management - Reports - Reports\iCristal\Images\VM24\grid_MTD_MBAGS.png</v>
      </c>
      <c r="P110" s="16"/>
      <c r="Q110" t="b">
        <f t="shared" si="37"/>
        <v>0</v>
      </c>
      <c r="R110" t="b">
        <f t="shared" ca="1" si="38"/>
        <v>1</v>
      </c>
      <c r="S110" t="b">
        <v>0</v>
      </c>
      <c r="T110" t="b">
        <f t="shared" ca="1" si="47"/>
        <v>1</v>
      </c>
      <c r="U110" t="b">
        <f t="shared" ca="1" si="48"/>
        <v>1</v>
      </c>
      <c r="V110" t="b">
        <f t="shared" ca="1" si="49"/>
        <v>1</v>
      </c>
      <c r="W110">
        <f t="shared" ca="1" si="40"/>
        <v>1</v>
      </c>
      <c r="X110" s="15">
        <f t="shared" ca="1" si="41"/>
        <v>44899.125</v>
      </c>
      <c r="Y110" s="15">
        <f t="shared" ca="1" si="42"/>
        <v>44899.125</v>
      </c>
      <c r="Z110" s="15">
        <f t="shared" ca="1" si="42"/>
        <v>44899.125</v>
      </c>
      <c r="AA110">
        <f t="shared" ca="1" si="50"/>
        <v>2</v>
      </c>
      <c r="AB110" s="16" t="str">
        <f t="shared" ca="1" si="51"/>
        <v/>
      </c>
    </row>
    <row r="111" spans="1:28" x14ac:dyDescent="0.25">
      <c r="A111" t="s">
        <v>857</v>
      </c>
      <c r="B111" t="s">
        <v>596</v>
      </c>
      <c r="H111" t="b" cm="1">
        <f t="array" aca="1" ref="H111" ca="1">FileExists(N111,NOW())</f>
        <v>1</v>
      </c>
      <c r="I111" t="b" cm="1">
        <f t="array" aca="1" ref="I111" ca="1">FileExists(O111,NOW())</f>
        <v>1</v>
      </c>
      <c r="K111" s="15" cm="1">
        <f t="array" aca="1" ref="K111" ca="1">IF(H111,fileModifiedDate(N111, NOW()),0)</f>
        <v>44858.229675925926</v>
      </c>
      <c r="L111" s="15" cm="1">
        <f t="array" aca="1" ref="L111" ca="1">IF(I111,fileModifiedDate(O111, NOW()),0)</f>
        <v>44898.738171296296</v>
      </c>
      <c r="M111" s="15"/>
      <c r="N111" s="16" t="str">
        <f t="shared" si="45"/>
        <v>D:\OneDrive-Sync\Christian Dior Couture\APAC Management - Reports - Reports\iCristal\Images\grid_YTD_MBAGS.png</v>
      </c>
      <c r="O111" s="16" t="str">
        <f t="shared" si="52"/>
        <v>D:\OneDrive-Sync\Christian Dior Couture\APAC Management - Reports - Reports\iCristal\Images\VM24\grid_YTD_MBAGS.png</v>
      </c>
      <c r="P111" s="16"/>
      <c r="Q111" t="b">
        <f t="shared" si="37"/>
        <v>0</v>
      </c>
      <c r="R111" t="b">
        <f t="shared" ca="1" si="38"/>
        <v>1</v>
      </c>
      <c r="S111" t="b">
        <v>0</v>
      </c>
      <c r="T111" t="b">
        <f t="shared" ca="1" si="47"/>
        <v>1</v>
      </c>
      <c r="U111" t="b">
        <f t="shared" ca="1" si="48"/>
        <v>1</v>
      </c>
      <c r="V111" t="b">
        <f t="shared" ca="1" si="49"/>
        <v>1</v>
      </c>
      <c r="W111">
        <f t="shared" ca="1" si="40"/>
        <v>1</v>
      </c>
      <c r="X111" s="15">
        <f t="shared" ca="1" si="41"/>
        <v>44899.125</v>
      </c>
      <c r="Y111" s="15">
        <f t="shared" ca="1" si="42"/>
        <v>44899.125</v>
      </c>
      <c r="Z111" s="15">
        <f t="shared" ca="1" si="42"/>
        <v>44899.125</v>
      </c>
      <c r="AA111">
        <f t="shared" ca="1" si="50"/>
        <v>2</v>
      </c>
      <c r="AB111" s="16" t="str">
        <f t="shared" ca="1" si="51"/>
        <v/>
      </c>
    </row>
    <row r="112" spans="1:28" x14ac:dyDescent="0.25">
      <c r="A112" t="s">
        <v>857</v>
      </c>
      <c r="B112" t="s">
        <v>597</v>
      </c>
      <c r="H112" t="b" cm="1">
        <f t="array" aca="1" ref="H112" ca="1">FileExists(N112,NOW())</f>
        <v>1</v>
      </c>
      <c r="I112" t="b" cm="1">
        <f t="array" aca="1" ref="I112" ca="1">FileExists(O112,NOW())</f>
        <v>1</v>
      </c>
      <c r="K112" s="15" cm="1">
        <f t="array" aca="1" ref="K112" ca="1">IF(H112,fileModifiedDate(N112, NOW()),0)</f>
        <v>44858.229895833334</v>
      </c>
      <c r="L112" s="15" cm="1">
        <f t="array" aca="1" ref="L112" ca="1">IF(I112,fileModifiedDate(O112, NOW()),0)</f>
        <v>44898.73841435185</v>
      </c>
      <c r="M112" s="15"/>
      <c r="N112" s="16" t="str">
        <f t="shared" si="45"/>
        <v>D:\OneDrive-Sync\Christian Dior Couture\APAC Management - Reports - Reports\iCristal\Images\grid_Day_MSLG.png</v>
      </c>
      <c r="O112" s="16" t="str">
        <f t="shared" si="52"/>
        <v>D:\OneDrive-Sync\Christian Dior Couture\APAC Management - Reports - Reports\iCristal\Images\VM24\grid_Day_MSLG.png</v>
      </c>
      <c r="P112" s="16"/>
      <c r="Q112" t="b">
        <f t="shared" si="37"/>
        <v>0</v>
      </c>
      <c r="R112" t="b">
        <f t="shared" ca="1" si="38"/>
        <v>1</v>
      </c>
      <c r="S112" t="b">
        <v>0</v>
      </c>
      <c r="T112" t="b">
        <f t="shared" ca="1" si="47"/>
        <v>1</v>
      </c>
      <c r="U112" t="b">
        <f t="shared" ca="1" si="48"/>
        <v>1</v>
      </c>
      <c r="V112" t="b">
        <f t="shared" ca="1" si="49"/>
        <v>1</v>
      </c>
      <c r="W112">
        <f t="shared" ca="1" si="40"/>
        <v>1</v>
      </c>
      <c r="X112" s="15">
        <f t="shared" ca="1" si="41"/>
        <v>44899.125</v>
      </c>
      <c r="Y112" s="15">
        <f t="shared" ca="1" si="42"/>
        <v>44899.125</v>
      </c>
      <c r="Z112" s="15">
        <f t="shared" ca="1" si="42"/>
        <v>44899.125</v>
      </c>
      <c r="AA112">
        <f t="shared" ca="1" si="50"/>
        <v>2</v>
      </c>
      <c r="AB112" s="16" t="str">
        <f t="shared" ca="1" si="51"/>
        <v/>
      </c>
    </row>
    <row r="113" spans="1:28" x14ac:dyDescent="0.25">
      <c r="A113" t="s">
        <v>857</v>
      </c>
      <c r="B113" t="s">
        <v>598</v>
      </c>
      <c r="H113" t="b" cm="1">
        <f t="array" aca="1" ref="H113" ca="1">FileExists(N113,NOW())</f>
        <v>1</v>
      </c>
      <c r="I113" t="b" cm="1">
        <f t="array" aca="1" ref="I113" ca="1">FileExists(O113,NOW())</f>
        <v>1</v>
      </c>
      <c r="K113" s="15" cm="1">
        <f t="array" aca="1" ref="K113" ca="1">IF(H113,fileModifiedDate(N113, NOW()),0)</f>
        <v>44858.230023148149</v>
      </c>
      <c r="L113" s="15" cm="1">
        <f t="array" aca="1" ref="L113" ca="1">IF(I113,fileModifiedDate(O113, NOW()),0)</f>
        <v>44898.738553240742</v>
      </c>
      <c r="M113" s="15"/>
      <c r="N113" s="16" t="str">
        <f t="shared" si="45"/>
        <v>D:\OneDrive-Sync\Christian Dior Couture\APAC Management - Reports - Reports\iCristal\Images\grid_WTD_MSLG.png</v>
      </c>
      <c r="O113" s="16" t="str">
        <f t="shared" si="52"/>
        <v>D:\OneDrive-Sync\Christian Dior Couture\APAC Management - Reports - Reports\iCristal\Images\VM24\grid_WTD_MSLG.png</v>
      </c>
      <c r="P113" s="16"/>
      <c r="Q113" t="b">
        <f t="shared" si="37"/>
        <v>0</v>
      </c>
      <c r="R113" t="b">
        <f t="shared" ca="1" si="38"/>
        <v>1</v>
      </c>
      <c r="S113" t="b">
        <v>0</v>
      </c>
      <c r="T113" t="b">
        <f t="shared" ca="1" si="47"/>
        <v>1</v>
      </c>
      <c r="U113" t="b">
        <f t="shared" ca="1" si="48"/>
        <v>1</v>
      </c>
      <c r="V113" t="b">
        <f t="shared" ca="1" si="49"/>
        <v>1</v>
      </c>
      <c r="W113">
        <f t="shared" ca="1" si="40"/>
        <v>1</v>
      </c>
      <c r="X113" s="15">
        <f t="shared" ca="1" si="41"/>
        <v>44899.125</v>
      </c>
      <c r="Y113" s="15">
        <f t="shared" ca="1" si="42"/>
        <v>44899.125</v>
      </c>
      <c r="Z113" s="15">
        <f t="shared" ca="1" si="42"/>
        <v>44899.125</v>
      </c>
      <c r="AA113">
        <f t="shared" ca="1" si="50"/>
        <v>2</v>
      </c>
      <c r="AB113" s="16" t="str">
        <f t="shared" ca="1" si="51"/>
        <v/>
      </c>
    </row>
    <row r="114" spans="1:28" x14ac:dyDescent="0.25">
      <c r="A114" t="s">
        <v>857</v>
      </c>
      <c r="B114" t="s">
        <v>599</v>
      </c>
      <c r="H114" t="b" cm="1">
        <f t="array" aca="1" ref="H114" ca="1">FileExists(N114,NOW())</f>
        <v>1</v>
      </c>
      <c r="I114" t="b" cm="1">
        <f t="array" aca="1" ref="I114" ca="1">FileExists(O114,NOW())</f>
        <v>1</v>
      </c>
      <c r="K114" s="15" cm="1">
        <f t="array" aca="1" ref="K114" ca="1">IF(H114,fileModifiedDate(N114, NOW()),0)</f>
        <v>44858.230138888888</v>
      </c>
      <c r="L114" s="15" cm="1">
        <f t="array" aca="1" ref="L114" ca="1">IF(I114,fileModifiedDate(O114, NOW()),0)</f>
        <v>44898.738692129627</v>
      </c>
      <c r="M114" s="15"/>
      <c r="N114" s="16" t="str">
        <f t="shared" si="45"/>
        <v>D:\OneDrive-Sync\Christian Dior Couture\APAC Management - Reports - Reports\iCristal\Images\grid_MTD_MSLG.png</v>
      </c>
      <c r="O114" s="16" t="str">
        <f t="shared" si="52"/>
        <v>D:\OneDrive-Sync\Christian Dior Couture\APAC Management - Reports - Reports\iCristal\Images\VM24\grid_MTD_MSLG.png</v>
      </c>
      <c r="P114" s="16"/>
      <c r="Q114" t="b">
        <f t="shared" si="37"/>
        <v>0</v>
      </c>
      <c r="R114" t="b">
        <f t="shared" ca="1" si="38"/>
        <v>1</v>
      </c>
      <c r="S114" t="b">
        <v>0</v>
      </c>
      <c r="T114" t="b">
        <f t="shared" ca="1" si="47"/>
        <v>1</v>
      </c>
      <c r="U114" t="b">
        <f t="shared" ca="1" si="48"/>
        <v>1</v>
      </c>
      <c r="V114" t="b">
        <f t="shared" ca="1" si="49"/>
        <v>1</v>
      </c>
      <c r="W114">
        <f t="shared" ca="1" si="40"/>
        <v>1</v>
      </c>
      <c r="X114" s="15">
        <f t="shared" ca="1" si="41"/>
        <v>44899.125</v>
      </c>
      <c r="Y114" s="15">
        <f t="shared" ca="1" si="42"/>
        <v>44899.125</v>
      </c>
      <c r="Z114" s="15">
        <f t="shared" ca="1" si="42"/>
        <v>44899.125</v>
      </c>
      <c r="AA114">
        <f t="shared" ca="1" si="50"/>
        <v>2</v>
      </c>
      <c r="AB114" s="16" t="str">
        <f t="shared" ca="1" si="51"/>
        <v/>
      </c>
    </row>
    <row r="115" spans="1:28" x14ac:dyDescent="0.25">
      <c r="A115" t="s">
        <v>857</v>
      </c>
      <c r="B115" t="s">
        <v>600</v>
      </c>
      <c r="H115" t="b" cm="1">
        <f t="array" aca="1" ref="H115" ca="1">FileExists(N115,NOW())</f>
        <v>1</v>
      </c>
      <c r="I115" t="b" cm="1">
        <f t="array" aca="1" ref="I115" ca="1">FileExists(O115,NOW())</f>
        <v>1</v>
      </c>
      <c r="K115" s="15" cm="1">
        <f t="array" aca="1" ref="K115" ca="1">IF(H115,fileModifiedDate(N115, NOW()),0)</f>
        <v>44858.230254629627</v>
      </c>
      <c r="L115" s="15" cm="1">
        <f t="array" aca="1" ref="L115" ca="1">IF(I115,fileModifiedDate(O115, NOW()),0)</f>
        <v>44898.73883101852</v>
      </c>
      <c r="M115" s="15"/>
      <c r="N115" s="16" t="str">
        <f t="shared" si="45"/>
        <v>D:\OneDrive-Sync\Christian Dior Couture\APAC Management - Reports - Reports\iCristal\Images\grid_YTD_MSLG.png</v>
      </c>
      <c r="O115" s="16" t="str">
        <f t="shared" si="52"/>
        <v>D:\OneDrive-Sync\Christian Dior Couture\APAC Management - Reports - Reports\iCristal\Images\VM24\grid_YTD_MSLG.png</v>
      </c>
      <c r="P115" s="16"/>
      <c r="Q115" t="b">
        <f t="shared" si="37"/>
        <v>0</v>
      </c>
      <c r="R115" t="b">
        <f t="shared" ca="1" si="38"/>
        <v>1</v>
      </c>
      <c r="S115" t="b">
        <v>0</v>
      </c>
      <c r="T115" t="b">
        <f t="shared" ca="1" si="47"/>
        <v>1</v>
      </c>
      <c r="U115" t="b">
        <f t="shared" ca="1" si="48"/>
        <v>1</v>
      </c>
      <c r="V115" t="b">
        <f t="shared" ca="1" si="49"/>
        <v>1</v>
      </c>
      <c r="W115">
        <f t="shared" ca="1" si="40"/>
        <v>1</v>
      </c>
      <c r="X115" s="15">
        <f t="shared" ca="1" si="41"/>
        <v>44899.125</v>
      </c>
      <c r="Y115" s="15">
        <f t="shared" ca="1" si="42"/>
        <v>44899.125</v>
      </c>
      <c r="Z115" s="15">
        <f t="shared" ca="1" si="42"/>
        <v>44899.125</v>
      </c>
      <c r="AA115">
        <f t="shared" ca="1" si="50"/>
        <v>2</v>
      </c>
      <c r="AB115" s="16" t="str">
        <f t="shared" ca="1" si="51"/>
        <v/>
      </c>
    </row>
    <row r="116" spans="1:28" x14ac:dyDescent="0.25">
      <c r="A116" t="s">
        <v>857</v>
      </c>
      <c r="B116" t="s">
        <v>601</v>
      </c>
      <c r="H116" t="b" cm="1">
        <f t="array" aca="1" ref="H116" ca="1">FileExists(N116,NOW())</f>
        <v>1</v>
      </c>
      <c r="I116" t="b" cm="1">
        <f t="array" aca="1" ref="I116" ca="1">FileExists(O116,NOW())</f>
        <v>1</v>
      </c>
      <c r="K116" s="15" cm="1">
        <f t="array" aca="1" ref="K116" ca="1">IF(H116,fileModifiedDate(N116, NOW()),0)</f>
        <v>44858.230474537035</v>
      </c>
      <c r="L116" s="15" cm="1">
        <f t="array" aca="1" ref="L116" ca="1">IF(I116,fileModifiedDate(O116, NOW()),0)</f>
        <v>44898.739085648151</v>
      </c>
      <c r="M116" s="15"/>
      <c r="N116" s="16" t="str">
        <f t="shared" si="45"/>
        <v>D:\OneDrive-Sync\Christian Dior Couture\APAC Management - Reports - Reports\iCristal\Images\grid_Day_MRTW.png</v>
      </c>
      <c r="O116" s="16" t="str">
        <f t="shared" si="52"/>
        <v>D:\OneDrive-Sync\Christian Dior Couture\APAC Management - Reports - Reports\iCristal\Images\VM24\grid_Day_MRTW.png</v>
      </c>
      <c r="P116" s="16"/>
      <c r="Q116" t="b">
        <f t="shared" si="37"/>
        <v>0</v>
      </c>
      <c r="R116" t="b">
        <f t="shared" ca="1" si="38"/>
        <v>1</v>
      </c>
      <c r="S116" t="b">
        <v>0</v>
      </c>
      <c r="T116" t="b">
        <f t="shared" ca="1" si="47"/>
        <v>1</v>
      </c>
      <c r="U116" t="b">
        <f t="shared" ca="1" si="48"/>
        <v>1</v>
      </c>
      <c r="V116" t="b">
        <f t="shared" ca="1" si="49"/>
        <v>1</v>
      </c>
      <c r="W116">
        <f t="shared" ca="1" si="40"/>
        <v>1</v>
      </c>
      <c r="X116" s="15">
        <f t="shared" ca="1" si="41"/>
        <v>44899.125</v>
      </c>
      <c r="Y116" s="15">
        <f t="shared" ca="1" si="42"/>
        <v>44899.125</v>
      </c>
      <c r="Z116" s="15">
        <f t="shared" ca="1" si="42"/>
        <v>44899.125</v>
      </c>
      <c r="AA116">
        <f t="shared" ca="1" si="50"/>
        <v>2</v>
      </c>
      <c r="AB116" s="16" t="str">
        <f t="shared" ca="1" si="51"/>
        <v/>
      </c>
    </row>
    <row r="117" spans="1:28" x14ac:dyDescent="0.25">
      <c r="A117" t="s">
        <v>857</v>
      </c>
      <c r="B117" t="s">
        <v>602</v>
      </c>
      <c r="H117" t="b" cm="1">
        <f t="array" aca="1" ref="H117" ca="1">FileExists(N117,NOW())</f>
        <v>1</v>
      </c>
      <c r="I117" t="b" cm="1">
        <f t="array" aca="1" ref="I117" ca="1">FileExists(O117,NOW())</f>
        <v>1</v>
      </c>
      <c r="K117" s="15" cm="1">
        <f t="array" aca="1" ref="K117" ca="1">IF(H117,fileModifiedDate(N117, NOW()),0)</f>
        <v>44858.230590277781</v>
      </c>
      <c r="L117" s="15" cm="1">
        <f t="array" aca="1" ref="L117" ca="1">IF(I117,fileModifiedDate(O117, NOW()),0)</f>
        <v>44898.739224537036</v>
      </c>
      <c r="M117" s="15"/>
      <c r="N117" s="16" t="str">
        <f t="shared" si="45"/>
        <v>D:\OneDrive-Sync\Christian Dior Couture\APAC Management - Reports - Reports\iCristal\Images\grid_WTD_MRTW.png</v>
      </c>
      <c r="O117" s="16" t="str">
        <f t="shared" si="52"/>
        <v>D:\OneDrive-Sync\Christian Dior Couture\APAC Management - Reports - Reports\iCristal\Images\VM24\grid_WTD_MRTW.png</v>
      </c>
      <c r="P117" s="16"/>
      <c r="Q117" t="b">
        <f t="shared" si="37"/>
        <v>0</v>
      </c>
      <c r="R117" t="b">
        <f t="shared" ca="1" si="38"/>
        <v>1</v>
      </c>
      <c r="S117" t="b">
        <v>0</v>
      </c>
      <c r="T117" t="b">
        <f t="shared" ca="1" si="47"/>
        <v>1</v>
      </c>
      <c r="U117" t="b">
        <f t="shared" ca="1" si="48"/>
        <v>1</v>
      </c>
      <c r="V117" t="b">
        <f t="shared" ca="1" si="49"/>
        <v>1</v>
      </c>
      <c r="W117">
        <f t="shared" ca="1" si="40"/>
        <v>1</v>
      </c>
      <c r="X117" s="15">
        <f t="shared" ca="1" si="41"/>
        <v>44899.125</v>
      </c>
      <c r="Y117" s="15">
        <f t="shared" ca="1" si="42"/>
        <v>44899.125</v>
      </c>
      <c r="Z117" s="15">
        <f t="shared" ca="1" si="42"/>
        <v>44899.125</v>
      </c>
      <c r="AA117">
        <f t="shared" ca="1" si="50"/>
        <v>2</v>
      </c>
      <c r="AB117" s="16" t="str">
        <f t="shared" ca="1" si="51"/>
        <v/>
      </c>
    </row>
    <row r="118" spans="1:28" x14ac:dyDescent="0.25">
      <c r="A118" t="s">
        <v>857</v>
      </c>
      <c r="B118" t="s">
        <v>603</v>
      </c>
      <c r="H118" t="b" cm="1">
        <f t="array" aca="1" ref="H118" ca="1">FileExists(N118,NOW())</f>
        <v>1</v>
      </c>
      <c r="I118" t="b" cm="1">
        <f t="array" aca="1" ref="I118" ca="1">FileExists(O118,NOW())</f>
        <v>1</v>
      </c>
      <c r="K118" s="15" cm="1">
        <f t="array" aca="1" ref="K118" ca="1">IF(H118,fileModifiedDate(N118, NOW()),0)</f>
        <v>44858.230706018519</v>
      </c>
      <c r="L118" s="15" cm="1">
        <f t="array" aca="1" ref="L118" ca="1">IF(I118,fileModifiedDate(O118, NOW()),0)</f>
        <v>44898.739363425928</v>
      </c>
      <c r="M118" s="15"/>
      <c r="N118" s="16" t="str">
        <f t="shared" si="45"/>
        <v>D:\OneDrive-Sync\Christian Dior Couture\APAC Management - Reports - Reports\iCristal\Images\grid_MTD_MRTW.png</v>
      </c>
      <c r="O118" s="16" t="str">
        <f t="shared" si="52"/>
        <v>D:\OneDrive-Sync\Christian Dior Couture\APAC Management - Reports - Reports\iCristal\Images\VM24\grid_MTD_MRTW.png</v>
      </c>
      <c r="P118" s="16"/>
      <c r="Q118" t="b">
        <f t="shared" si="37"/>
        <v>0</v>
      </c>
      <c r="R118" t="b">
        <f t="shared" ca="1" si="38"/>
        <v>1</v>
      </c>
      <c r="S118" t="b">
        <v>0</v>
      </c>
      <c r="T118" t="b">
        <f t="shared" ca="1" si="47"/>
        <v>1</v>
      </c>
      <c r="U118" t="b">
        <f t="shared" ca="1" si="48"/>
        <v>1</v>
      </c>
      <c r="V118" t="b">
        <f t="shared" ca="1" si="49"/>
        <v>1</v>
      </c>
      <c r="W118">
        <f t="shared" ca="1" si="40"/>
        <v>1</v>
      </c>
      <c r="X118" s="15">
        <f t="shared" ca="1" si="41"/>
        <v>44899.125</v>
      </c>
      <c r="Y118" s="15">
        <f t="shared" ca="1" si="42"/>
        <v>44899.125</v>
      </c>
      <c r="Z118" s="15">
        <f t="shared" ca="1" si="42"/>
        <v>44899.125</v>
      </c>
      <c r="AA118">
        <f t="shared" ca="1" si="50"/>
        <v>2</v>
      </c>
      <c r="AB118" s="16" t="str">
        <f t="shared" ca="1" si="51"/>
        <v/>
      </c>
    </row>
    <row r="119" spans="1:28" x14ac:dyDescent="0.25">
      <c r="A119" t="s">
        <v>857</v>
      </c>
      <c r="B119" t="s">
        <v>604</v>
      </c>
      <c r="H119" t="b" cm="1">
        <f t="array" aca="1" ref="H119" ca="1">FileExists(N119,NOW())</f>
        <v>1</v>
      </c>
      <c r="I119" t="b" cm="1">
        <f t="array" aca="1" ref="I119" ca="1">FileExists(O119,NOW())</f>
        <v>1</v>
      </c>
      <c r="K119" s="15" cm="1">
        <f t="array" aca="1" ref="K119" ca="1">IF(H119,fileModifiedDate(N119, NOW()),0)</f>
        <v>44858.230821759258</v>
      </c>
      <c r="L119" s="15" cm="1">
        <f t="array" aca="1" ref="L119" ca="1">IF(I119,fileModifiedDate(O119, NOW()),0)</f>
        <v>44898.73951388889</v>
      </c>
      <c r="M119" s="15"/>
      <c r="N119" s="16" t="str">
        <f t="shared" si="45"/>
        <v>D:\OneDrive-Sync\Christian Dior Couture\APAC Management - Reports - Reports\iCristal\Images\grid_YTD_MRTW.png</v>
      </c>
      <c r="O119" s="16" t="str">
        <f t="shared" si="52"/>
        <v>D:\OneDrive-Sync\Christian Dior Couture\APAC Management - Reports - Reports\iCristal\Images\VM24\grid_YTD_MRTW.png</v>
      </c>
      <c r="P119" s="16"/>
      <c r="Q119" t="b">
        <f t="shared" si="37"/>
        <v>0</v>
      </c>
      <c r="R119" t="b">
        <f t="shared" ca="1" si="38"/>
        <v>1</v>
      </c>
      <c r="S119" t="b">
        <v>0</v>
      </c>
      <c r="T119" t="b">
        <f t="shared" ca="1" si="47"/>
        <v>1</v>
      </c>
      <c r="U119" t="b">
        <f t="shared" ca="1" si="48"/>
        <v>1</v>
      </c>
      <c r="V119" t="b">
        <f t="shared" ca="1" si="49"/>
        <v>1</v>
      </c>
      <c r="W119">
        <f t="shared" ca="1" si="40"/>
        <v>1</v>
      </c>
      <c r="X119" s="15">
        <f t="shared" ca="1" si="41"/>
        <v>44899.125</v>
      </c>
      <c r="Y119" s="15">
        <f t="shared" ca="1" si="42"/>
        <v>44899.125</v>
      </c>
      <c r="Z119" s="15">
        <f t="shared" ca="1" si="42"/>
        <v>44899.125</v>
      </c>
      <c r="AA119">
        <f t="shared" ca="1" si="50"/>
        <v>2</v>
      </c>
      <c r="AB119" s="16" t="str">
        <f t="shared" ca="1" si="51"/>
        <v/>
      </c>
    </row>
    <row r="120" spans="1:28" x14ac:dyDescent="0.25">
      <c r="A120" t="s">
        <v>857</v>
      </c>
      <c r="B120" t="s">
        <v>605</v>
      </c>
      <c r="H120" t="b" cm="1">
        <f t="array" aca="1" ref="H120" ca="1">FileExists(N120,NOW())</f>
        <v>1</v>
      </c>
      <c r="I120" t="b" cm="1">
        <f t="array" aca="1" ref="I120" ca="1">FileExists(O120,NOW())</f>
        <v>1</v>
      </c>
      <c r="K120" s="15" cm="1">
        <f t="array" aca="1" ref="K120" ca="1">IF(H120,fileModifiedDate(N120, NOW()),0)</f>
        <v>44858.231041666666</v>
      </c>
      <c r="L120" s="15" cm="1">
        <f t="array" aca="1" ref="L120" ca="1">IF(I120,fileModifiedDate(O120, NOW()),0)</f>
        <v>44898.739745370367</v>
      </c>
      <c r="M120" s="15"/>
      <c r="N120" s="16" t="str">
        <f t="shared" si="45"/>
        <v>D:\OneDrive-Sync\Christian Dior Couture\APAC Management - Reports - Reports\iCristal\Images\grid_Day_MSHOES.png</v>
      </c>
      <c r="O120" s="16" t="str">
        <f t="shared" si="52"/>
        <v>D:\OneDrive-Sync\Christian Dior Couture\APAC Management - Reports - Reports\iCristal\Images\VM24\grid_Day_MSHOES.png</v>
      </c>
      <c r="P120" s="16"/>
      <c r="Q120" t="b">
        <f t="shared" si="37"/>
        <v>0</v>
      </c>
      <c r="R120" t="b">
        <f t="shared" ca="1" si="38"/>
        <v>1</v>
      </c>
      <c r="S120" t="b">
        <v>0</v>
      </c>
      <c r="T120" t="b">
        <f t="shared" ca="1" si="47"/>
        <v>1</v>
      </c>
      <c r="U120" t="b">
        <f t="shared" ca="1" si="48"/>
        <v>1</v>
      </c>
      <c r="V120" t="b">
        <f t="shared" ca="1" si="49"/>
        <v>1</v>
      </c>
      <c r="W120">
        <f t="shared" ca="1" si="40"/>
        <v>1</v>
      </c>
      <c r="X120" s="15">
        <f t="shared" ca="1" si="41"/>
        <v>44899.125</v>
      </c>
      <c r="Y120" s="15">
        <f t="shared" ca="1" si="42"/>
        <v>44899.125</v>
      </c>
      <c r="Z120" s="15">
        <f t="shared" ca="1" si="42"/>
        <v>44899.125</v>
      </c>
      <c r="AA120">
        <f t="shared" ca="1" si="50"/>
        <v>2</v>
      </c>
      <c r="AB120" s="16" t="str">
        <f t="shared" ca="1" si="51"/>
        <v/>
      </c>
    </row>
    <row r="121" spans="1:28" x14ac:dyDescent="0.25">
      <c r="A121" t="s">
        <v>857</v>
      </c>
      <c r="B121" t="s">
        <v>606</v>
      </c>
      <c r="H121" t="b" cm="1">
        <f t="array" aca="1" ref="H121" ca="1">FileExists(N121,NOW())</f>
        <v>1</v>
      </c>
      <c r="I121" t="b" cm="1">
        <f t="array" aca="1" ref="I121" ca="1">FileExists(O121,NOW())</f>
        <v>1</v>
      </c>
      <c r="K121" s="15" cm="1">
        <f t="array" aca="1" ref="K121" ca="1">IF(H121,fileModifiedDate(N121, NOW()),0)</f>
        <v>44858.231145833335</v>
      </c>
      <c r="L121" s="15" cm="1">
        <f t="array" aca="1" ref="L121" ca="1">IF(I121,fileModifiedDate(O121, NOW()),0)</f>
        <v>44898.739895833336</v>
      </c>
      <c r="M121" s="15"/>
      <c r="N121" s="16" t="str">
        <f t="shared" si="45"/>
        <v>D:\OneDrive-Sync\Christian Dior Couture\APAC Management - Reports - Reports\iCristal\Images\grid_WTD_MSHOES.png</v>
      </c>
      <c r="O121" s="16" t="str">
        <f t="shared" si="52"/>
        <v>D:\OneDrive-Sync\Christian Dior Couture\APAC Management - Reports - Reports\iCristal\Images\VM24\grid_WTD_MSHOES.png</v>
      </c>
      <c r="P121" s="16"/>
      <c r="Q121" t="b">
        <f t="shared" si="37"/>
        <v>0</v>
      </c>
      <c r="R121" t="b">
        <f t="shared" ca="1" si="38"/>
        <v>1</v>
      </c>
      <c r="S121" t="b">
        <v>0</v>
      </c>
      <c r="T121" t="b">
        <f t="shared" ca="1" si="47"/>
        <v>1</v>
      </c>
      <c r="U121" t="b">
        <f t="shared" ca="1" si="48"/>
        <v>1</v>
      </c>
      <c r="V121" t="b">
        <f t="shared" ca="1" si="49"/>
        <v>1</v>
      </c>
      <c r="W121">
        <f t="shared" ca="1" si="40"/>
        <v>1</v>
      </c>
      <c r="X121" s="15">
        <f t="shared" ca="1" si="41"/>
        <v>44899.125</v>
      </c>
      <c r="Y121" s="15">
        <f t="shared" ca="1" si="42"/>
        <v>44899.125</v>
      </c>
      <c r="Z121" s="15">
        <f t="shared" ca="1" si="42"/>
        <v>44899.125</v>
      </c>
      <c r="AA121">
        <f t="shared" ca="1" si="50"/>
        <v>2</v>
      </c>
      <c r="AB121" s="16" t="str">
        <f t="shared" ca="1" si="51"/>
        <v/>
      </c>
    </row>
    <row r="122" spans="1:28" x14ac:dyDescent="0.25">
      <c r="A122" t="s">
        <v>857</v>
      </c>
      <c r="B122" t="s">
        <v>607</v>
      </c>
      <c r="H122" t="b" cm="1">
        <f t="array" aca="1" ref="H122" ca="1">FileExists(N122,NOW())</f>
        <v>1</v>
      </c>
      <c r="I122" t="b" cm="1">
        <f t="array" aca="1" ref="I122" ca="1">FileExists(O122,NOW())</f>
        <v>1</v>
      </c>
      <c r="K122" s="15" cm="1">
        <f t="array" aca="1" ref="K122" ca="1">IF(H122,fileModifiedDate(N122, NOW()),0)</f>
        <v>44858.231261574074</v>
      </c>
      <c r="L122" s="15" cm="1">
        <f t="array" aca="1" ref="L122" ca="1">IF(I122,fileModifiedDate(O122, NOW()),0)</f>
        <v>44898.740034722221</v>
      </c>
      <c r="M122" s="15"/>
      <c r="N122" s="16" t="str">
        <f t="shared" si="45"/>
        <v>D:\OneDrive-Sync\Christian Dior Couture\APAC Management - Reports - Reports\iCristal\Images\grid_MTD_MSHOES.png</v>
      </c>
      <c r="O122" s="16" t="str">
        <f t="shared" si="52"/>
        <v>D:\OneDrive-Sync\Christian Dior Couture\APAC Management - Reports - Reports\iCristal\Images\VM24\grid_MTD_MSHOES.png</v>
      </c>
      <c r="P122" s="16"/>
      <c r="Q122" t="b">
        <f t="shared" si="37"/>
        <v>0</v>
      </c>
      <c r="R122" t="b">
        <f t="shared" ca="1" si="38"/>
        <v>1</v>
      </c>
      <c r="S122" t="b">
        <v>0</v>
      </c>
      <c r="T122" t="b">
        <f t="shared" ca="1" si="47"/>
        <v>1</v>
      </c>
      <c r="U122" t="b">
        <f t="shared" ca="1" si="48"/>
        <v>1</v>
      </c>
      <c r="V122" t="b">
        <f t="shared" ca="1" si="49"/>
        <v>1</v>
      </c>
      <c r="W122">
        <f t="shared" ca="1" si="40"/>
        <v>1</v>
      </c>
      <c r="X122" s="15">
        <f t="shared" ca="1" si="41"/>
        <v>44899.125</v>
      </c>
      <c r="Y122" s="15">
        <f t="shared" ca="1" si="42"/>
        <v>44899.125</v>
      </c>
      <c r="Z122" s="15">
        <f t="shared" ca="1" si="42"/>
        <v>44899.125</v>
      </c>
      <c r="AA122">
        <f t="shared" ca="1" si="50"/>
        <v>2</v>
      </c>
      <c r="AB122" s="16" t="str">
        <f t="shared" ca="1" si="51"/>
        <v/>
      </c>
    </row>
    <row r="123" spans="1:28" x14ac:dyDescent="0.25">
      <c r="A123" t="s">
        <v>857</v>
      </c>
      <c r="B123" t="s">
        <v>608</v>
      </c>
      <c r="H123" t="b" cm="1">
        <f t="array" aca="1" ref="H123" ca="1">FileExists(N123,NOW())</f>
        <v>1</v>
      </c>
      <c r="I123" t="b" cm="1">
        <f t="array" aca="1" ref="I123" ca="1">FileExists(O123,NOW())</f>
        <v>1</v>
      </c>
      <c r="K123" s="15" cm="1">
        <f t="array" aca="1" ref="K123" ca="1">IF(H123,fileModifiedDate(N123, NOW()),0)</f>
        <v>44858.231377314813</v>
      </c>
      <c r="L123" s="15" cm="1">
        <f t="array" aca="1" ref="L123" ca="1">IF(I123,fileModifiedDate(O123, NOW()),0)</f>
        <v>44898.740173611113</v>
      </c>
      <c r="M123" s="15"/>
      <c r="N123" s="16" t="str">
        <f t="shared" si="45"/>
        <v>D:\OneDrive-Sync\Christian Dior Couture\APAC Management - Reports - Reports\iCristal\Images\grid_YTD_MSHOES.png</v>
      </c>
      <c r="O123" s="16" t="str">
        <f t="shared" si="52"/>
        <v>D:\OneDrive-Sync\Christian Dior Couture\APAC Management - Reports - Reports\iCristal\Images\VM24\grid_YTD_MSHOES.png</v>
      </c>
      <c r="P123" s="16"/>
      <c r="Q123" t="b">
        <f t="shared" si="37"/>
        <v>0</v>
      </c>
      <c r="R123" t="b">
        <f t="shared" ca="1" si="38"/>
        <v>1</v>
      </c>
      <c r="S123" t="b">
        <v>0</v>
      </c>
      <c r="T123" t="b">
        <f t="shared" ca="1" si="47"/>
        <v>1</v>
      </c>
      <c r="U123" t="b">
        <f t="shared" ca="1" si="48"/>
        <v>1</v>
      </c>
      <c r="V123" t="b">
        <f t="shared" ca="1" si="49"/>
        <v>1</v>
      </c>
      <c r="W123">
        <f t="shared" ca="1" si="40"/>
        <v>1</v>
      </c>
      <c r="X123" s="15">
        <f t="shared" ca="1" si="41"/>
        <v>44899.125</v>
      </c>
      <c r="Y123" s="15">
        <f t="shared" ca="1" si="42"/>
        <v>44899.125</v>
      </c>
      <c r="Z123" s="15">
        <f t="shared" ca="1" si="42"/>
        <v>44899.125</v>
      </c>
      <c r="AA123">
        <f t="shared" ca="1" si="50"/>
        <v>2</v>
      </c>
      <c r="AB123" s="16" t="str">
        <f t="shared" ca="1" si="51"/>
        <v/>
      </c>
    </row>
    <row r="124" spans="1:28" x14ac:dyDescent="0.25">
      <c r="A124" t="s">
        <v>857</v>
      </c>
      <c r="B124" t="s">
        <v>609</v>
      </c>
      <c r="H124" t="b" cm="1">
        <f t="array" aca="1" ref="H124" ca="1">FileExists(N124,NOW())</f>
        <v>1</v>
      </c>
      <c r="I124" t="b" cm="1">
        <f t="array" aca="1" ref="I124" ca="1">FileExists(O124,NOW())</f>
        <v>1</v>
      </c>
      <c r="K124" s="15" cm="1">
        <f t="array" aca="1" ref="K124" ca="1">IF(H124,fileModifiedDate(N124, NOW()),0)</f>
        <v>44858.23159722222</v>
      </c>
      <c r="L124" s="15" cm="1">
        <f t="array" aca="1" ref="L124" ca="1">IF(I124,fileModifiedDate(O124, NOW()),0)</f>
        <v>44898.740416666667</v>
      </c>
      <c r="M124" s="15"/>
      <c r="N124" s="16" t="str">
        <f t="shared" si="45"/>
        <v>D:\OneDrive-Sync\Christian Dior Couture\APAC Management - Reports - Reports\iCristal\Images\grid_Day_MACC.png</v>
      </c>
      <c r="O124" s="16" t="str">
        <f t="shared" si="52"/>
        <v>D:\OneDrive-Sync\Christian Dior Couture\APAC Management - Reports - Reports\iCristal\Images\VM24\grid_Day_MACC.png</v>
      </c>
      <c r="P124" s="16"/>
      <c r="Q124" t="b">
        <f t="shared" si="37"/>
        <v>0</v>
      </c>
      <c r="R124" t="b">
        <f t="shared" ca="1" si="38"/>
        <v>1</v>
      </c>
      <c r="S124" t="b">
        <v>0</v>
      </c>
      <c r="T124" t="b">
        <f t="shared" ca="1" si="47"/>
        <v>1</v>
      </c>
      <c r="U124" t="b">
        <f t="shared" ca="1" si="48"/>
        <v>1</v>
      </c>
      <c r="V124" t="b">
        <f t="shared" ca="1" si="49"/>
        <v>1</v>
      </c>
      <c r="W124">
        <f t="shared" ca="1" si="40"/>
        <v>1</v>
      </c>
      <c r="X124" s="15">
        <f t="shared" ca="1" si="41"/>
        <v>44899.125</v>
      </c>
      <c r="Y124" s="15">
        <f t="shared" ca="1" si="42"/>
        <v>44899.125</v>
      </c>
      <c r="Z124" s="15">
        <f t="shared" ca="1" si="42"/>
        <v>44899.125</v>
      </c>
      <c r="AA124">
        <f t="shared" ca="1" si="50"/>
        <v>2</v>
      </c>
      <c r="AB124" s="16" t="str">
        <f t="shared" ca="1" si="51"/>
        <v/>
      </c>
    </row>
    <row r="125" spans="1:28" x14ac:dyDescent="0.25">
      <c r="A125" t="s">
        <v>857</v>
      </c>
      <c r="B125" t="s">
        <v>610</v>
      </c>
      <c r="H125" t="b" cm="1">
        <f t="array" aca="1" ref="H125" ca="1">FileExists(N125,NOW())</f>
        <v>1</v>
      </c>
      <c r="I125" t="b" cm="1">
        <f t="array" aca="1" ref="I125" ca="1">FileExists(O125,NOW())</f>
        <v>1</v>
      </c>
      <c r="K125" s="15" cm="1">
        <f t="array" aca="1" ref="K125" ca="1">IF(H125,fileModifiedDate(N125, NOW()),0)</f>
        <v>44858.231712962966</v>
      </c>
      <c r="L125" s="15" cm="1">
        <f t="array" aca="1" ref="L125" ca="1">IF(I125,fileModifiedDate(O125, NOW()),0)</f>
        <v>44898.740555555552</v>
      </c>
      <c r="M125" s="15"/>
      <c r="N125" s="16" t="str">
        <f t="shared" si="45"/>
        <v>D:\OneDrive-Sync\Christian Dior Couture\APAC Management - Reports - Reports\iCristal\Images\grid_WTD_MACC.png</v>
      </c>
      <c r="O125" s="16" t="str">
        <f t="shared" si="52"/>
        <v>D:\OneDrive-Sync\Christian Dior Couture\APAC Management - Reports - Reports\iCristal\Images\VM24\grid_WTD_MACC.png</v>
      </c>
      <c r="P125" s="16"/>
      <c r="Q125" t="b">
        <f t="shared" si="37"/>
        <v>0</v>
      </c>
      <c r="R125" t="b">
        <f t="shared" ca="1" si="38"/>
        <v>1</v>
      </c>
      <c r="S125" t="b">
        <v>0</v>
      </c>
      <c r="T125" t="b">
        <f t="shared" ca="1" si="47"/>
        <v>1</v>
      </c>
      <c r="U125" t="b">
        <f t="shared" ca="1" si="48"/>
        <v>1</v>
      </c>
      <c r="V125" t="b">
        <f t="shared" ca="1" si="49"/>
        <v>1</v>
      </c>
      <c r="W125">
        <f t="shared" ca="1" si="40"/>
        <v>1</v>
      </c>
      <c r="X125" s="15">
        <f t="shared" ca="1" si="41"/>
        <v>44899.125</v>
      </c>
      <c r="Y125" s="15">
        <f t="shared" ca="1" si="42"/>
        <v>44899.125</v>
      </c>
      <c r="Z125" s="15">
        <f t="shared" ca="1" si="42"/>
        <v>44899.125</v>
      </c>
      <c r="AA125">
        <f t="shared" ca="1" si="50"/>
        <v>2</v>
      </c>
      <c r="AB125" s="16" t="str">
        <f t="shared" ca="1" si="51"/>
        <v/>
      </c>
    </row>
    <row r="126" spans="1:28" x14ac:dyDescent="0.25">
      <c r="A126" t="s">
        <v>857</v>
      </c>
      <c r="B126" t="s">
        <v>611</v>
      </c>
      <c r="H126" t="b" cm="1">
        <f t="array" aca="1" ref="H126" ca="1">FileExists(N126,NOW())</f>
        <v>1</v>
      </c>
      <c r="I126" t="b" cm="1">
        <f t="array" aca="1" ref="I126" ca="1">FileExists(O126,NOW())</f>
        <v>1</v>
      </c>
      <c r="K126" s="15" cm="1">
        <f t="array" aca="1" ref="K126" ca="1">IF(H126,fileModifiedDate(N126, NOW()),0)</f>
        <v>44858.231828703705</v>
      </c>
      <c r="L126" s="15" cm="1">
        <f t="array" aca="1" ref="L126" ca="1">IF(I126,fileModifiedDate(O126, NOW()),0)</f>
        <v>44898.740694444445</v>
      </c>
      <c r="M126" s="15"/>
      <c r="N126" s="16" t="str">
        <f t="shared" si="45"/>
        <v>D:\OneDrive-Sync\Christian Dior Couture\APAC Management - Reports - Reports\iCristal\Images\grid_MTD_MACC.png</v>
      </c>
      <c r="O126" s="16" t="str">
        <f t="shared" si="52"/>
        <v>D:\OneDrive-Sync\Christian Dior Couture\APAC Management - Reports - Reports\iCristal\Images\VM24\grid_MTD_MACC.png</v>
      </c>
      <c r="P126" s="16"/>
      <c r="Q126" t="b">
        <f t="shared" si="37"/>
        <v>0</v>
      </c>
      <c r="R126" t="b">
        <f t="shared" ca="1" si="38"/>
        <v>1</v>
      </c>
      <c r="S126" t="b">
        <v>0</v>
      </c>
      <c r="T126" t="b">
        <f t="shared" ca="1" si="47"/>
        <v>1</v>
      </c>
      <c r="U126" t="b">
        <f t="shared" ca="1" si="48"/>
        <v>1</v>
      </c>
      <c r="V126" t="b">
        <f t="shared" ca="1" si="49"/>
        <v>1</v>
      </c>
      <c r="W126">
        <f t="shared" ca="1" si="40"/>
        <v>1</v>
      </c>
      <c r="X126" s="15">
        <f t="shared" ca="1" si="41"/>
        <v>44899.125</v>
      </c>
      <c r="Y126" s="15">
        <f t="shared" ca="1" si="42"/>
        <v>44899.125</v>
      </c>
      <c r="Z126" s="15">
        <f t="shared" ca="1" si="42"/>
        <v>44899.125</v>
      </c>
      <c r="AA126">
        <f t="shared" ca="1" si="50"/>
        <v>2</v>
      </c>
      <c r="AB126" s="16" t="str">
        <f t="shared" ca="1" si="51"/>
        <v/>
      </c>
    </row>
    <row r="127" spans="1:28" x14ac:dyDescent="0.25">
      <c r="A127" t="s">
        <v>857</v>
      </c>
      <c r="B127" t="s">
        <v>612</v>
      </c>
      <c r="H127" t="b" cm="1">
        <f t="array" aca="1" ref="H127" ca="1">FileExists(N127,NOW())</f>
        <v>1</v>
      </c>
      <c r="I127" t="b" cm="1">
        <f t="array" aca="1" ref="I127" ca="1">FileExists(O127,NOW())</f>
        <v>1</v>
      </c>
      <c r="K127" s="15" cm="1">
        <f t="array" aca="1" ref="K127" ca="1">IF(H127,fileModifiedDate(N127, NOW()),0)</f>
        <v>44858.231944444444</v>
      </c>
      <c r="L127" s="15" cm="1">
        <f t="array" aca="1" ref="L127" ca="1">IF(I127,fileModifiedDate(O127, NOW()),0)</f>
        <v>44898.740833333337</v>
      </c>
      <c r="M127" s="15"/>
      <c r="N127" s="16" t="str">
        <f t="shared" si="45"/>
        <v>D:\OneDrive-Sync\Christian Dior Couture\APAC Management - Reports - Reports\iCristal\Images\grid_YTD_MACC.png</v>
      </c>
      <c r="O127" s="16" t="str">
        <f t="shared" si="52"/>
        <v>D:\OneDrive-Sync\Christian Dior Couture\APAC Management - Reports - Reports\iCristal\Images\VM24\grid_YTD_MACC.png</v>
      </c>
      <c r="P127" s="16"/>
      <c r="Q127" t="b">
        <f t="shared" si="37"/>
        <v>0</v>
      </c>
      <c r="R127" t="b">
        <f t="shared" ca="1" si="38"/>
        <v>1</v>
      </c>
      <c r="S127" t="b">
        <v>0</v>
      </c>
      <c r="T127" t="b">
        <f t="shared" ca="1" si="47"/>
        <v>1</v>
      </c>
      <c r="U127" t="b">
        <f t="shared" ca="1" si="48"/>
        <v>1</v>
      </c>
      <c r="V127" t="b">
        <f t="shared" ca="1" si="49"/>
        <v>1</v>
      </c>
      <c r="W127">
        <f t="shared" ca="1" si="40"/>
        <v>1</v>
      </c>
      <c r="X127" s="15">
        <f t="shared" ca="1" si="41"/>
        <v>44899.125</v>
      </c>
      <c r="Y127" s="15">
        <f t="shared" ca="1" si="42"/>
        <v>44899.125</v>
      </c>
      <c r="Z127" s="15">
        <f t="shared" ca="1" si="42"/>
        <v>44899.125</v>
      </c>
      <c r="AA127">
        <f t="shared" ca="1" si="50"/>
        <v>2</v>
      </c>
      <c r="AB127" s="16" t="str">
        <f t="shared" ca="1" si="51"/>
        <v/>
      </c>
    </row>
    <row r="128" spans="1:28" x14ac:dyDescent="0.25">
      <c r="A128" t="s">
        <v>857</v>
      </c>
      <c r="B128" t="s">
        <v>613</v>
      </c>
      <c r="H128" t="b" cm="1">
        <f t="array" aca="1" ref="H128" ca="1">FileExists(N128,NOW())</f>
        <v>1</v>
      </c>
      <c r="I128" t="b" cm="1">
        <f t="array" aca="1" ref="I128" ca="1">FileExists(O128,NOW())</f>
        <v>1</v>
      </c>
      <c r="K128" s="15" cm="1">
        <f t="array" aca="1" ref="K128" ca="1">IF(H128,fileModifiedDate(N128, NOW()),0)</f>
        <v>44858.232164351852</v>
      </c>
      <c r="L128" s="15" cm="1">
        <f t="array" aca="1" ref="L128" ca="1">IF(I128,fileModifiedDate(O128, NOW()),0)</f>
        <v>44898.741064814814</v>
      </c>
      <c r="M128" s="15"/>
      <c r="N128" s="16" t="str">
        <f t="shared" si="45"/>
        <v>D:\OneDrive-Sync\Christian Dior Couture\APAC Management - Reports - Reports\iCristal\Images\grid_Day_MSPECIAL.png</v>
      </c>
      <c r="O128" s="16" t="str">
        <f t="shared" si="52"/>
        <v>D:\OneDrive-Sync\Christian Dior Couture\APAC Management - Reports - Reports\iCristal\Images\VM24\grid_Day_MSPECIAL.png</v>
      </c>
      <c r="P128" s="16"/>
      <c r="Q128" t="b">
        <f t="shared" si="37"/>
        <v>0</v>
      </c>
      <c r="R128" t="b">
        <f t="shared" ca="1" si="38"/>
        <v>1</v>
      </c>
      <c r="S128" t="b">
        <v>0</v>
      </c>
      <c r="T128" t="b">
        <f t="shared" ca="1" si="47"/>
        <v>1</v>
      </c>
      <c r="U128" t="b">
        <f t="shared" ca="1" si="48"/>
        <v>1</v>
      </c>
      <c r="V128" t="b">
        <f t="shared" ca="1" si="49"/>
        <v>1</v>
      </c>
      <c r="W128">
        <f t="shared" ca="1" si="40"/>
        <v>1</v>
      </c>
      <c r="X128" s="15">
        <f t="shared" ca="1" si="41"/>
        <v>44899.125</v>
      </c>
      <c r="Y128" s="15">
        <f t="shared" ca="1" si="42"/>
        <v>44899.125</v>
      </c>
      <c r="Z128" s="15">
        <f t="shared" ca="1" si="42"/>
        <v>44899.125</v>
      </c>
      <c r="AA128">
        <f t="shared" ca="1" si="50"/>
        <v>2</v>
      </c>
      <c r="AB128" s="16" t="str">
        <f t="shared" ca="1" si="51"/>
        <v/>
      </c>
    </row>
    <row r="129" spans="1:28" x14ac:dyDescent="0.25">
      <c r="A129" t="s">
        <v>857</v>
      </c>
      <c r="B129" t="s">
        <v>614</v>
      </c>
      <c r="H129" t="b" cm="1">
        <f t="array" aca="1" ref="H129" ca="1">FileExists(N129,NOW())</f>
        <v>1</v>
      </c>
      <c r="I129" t="b" cm="1">
        <f t="array" aca="1" ref="I129" ca="1">FileExists(O129,NOW())</f>
        <v>1</v>
      </c>
      <c r="K129" s="15" cm="1">
        <f t="array" aca="1" ref="K129" ca="1">IF(H129,fileModifiedDate(N129, NOW()),0)</f>
        <v>44858.23228009259</v>
      </c>
      <c r="L129" s="15" cm="1">
        <f t="array" aca="1" ref="L129" ca="1">IF(I129,fileModifiedDate(O129, NOW()),0)</f>
        <v>44898.741203703707</v>
      </c>
      <c r="M129" s="15"/>
      <c r="N129" s="16" t="str">
        <f t="shared" si="45"/>
        <v>D:\OneDrive-Sync\Christian Dior Couture\APAC Management - Reports - Reports\iCristal\Images\grid_WTD_MSPECIAL.png</v>
      </c>
      <c r="O129" s="16" t="str">
        <f t="shared" si="52"/>
        <v>D:\OneDrive-Sync\Christian Dior Couture\APAC Management - Reports - Reports\iCristal\Images\VM24\grid_WTD_MSPECIAL.png</v>
      </c>
      <c r="P129" s="16"/>
      <c r="Q129" t="b">
        <f t="shared" si="37"/>
        <v>0</v>
      </c>
      <c r="R129" t="b">
        <f t="shared" ca="1" si="38"/>
        <v>1</v>
      </c>
      <c r="S129" t="b">
        <v>0</v>
      </c>
      <c r="T129" t="b">
        <f t="shared" ca="1" si="47"/>
        <v>1</v>
      </c>
      <c r="U129" t="b">
        <f t="shared" ca="1" si="48"/>
        <v>1</v>
      </c>
      <c r="V129" t="b">
        <f t="shared" ca="1" si="49"/>
        <v>1</v>
      </c>
      <c r="W129">
        <f t="shared" ca="1" si="40"/>
        <v>1</v>
      </c>
      <c r="X129" s="15">
        <f t="shared" ca="1" si="41"/>
        <v>44899.125</v>
      </c>
      <c r="Y129" s="15">
        <f t="shared" ca="1" si="42"/>
        <v>44899.125</v>
      </c>
      <c r="Z129" s="15">
        <f t="shared" ca="1" si="42"/>
        <v>44899.125</v>
      </c>
      <c r="AA129">
        <f t="shared" ca="1" si="50"/>
        <v>2</v>
      </c>
      <c r="AB129" s="16" t="str">
        <f t="shared" ca="1" si="51"/>
        <v/>
      </c>
    </row>
    <row r="130" spans="1:28" x14ac:dyDescent="0.25">
      <c r="A130" t="s">
        <v>857</v>
      </c>
      <c r="B130" t="s">
        <v>615</v>
      </c>
      <c r="H130" t="b" cm="1">
        <f t="array" aca="1" ref="H130" ca="1">FileExists(N130,NOW())</f>
        <v>1</v>
      </c>
      <c r="I130" t="b" cm="1">
        <f t="array" aca="1" ref="I130" ca="1">FileExists(O130,NOW())</f>
        <v>1</v>
      </c>
      <c r="K130" s="15" cm="1">
        <f t="array" aca="1" ref="K130" ca="1">IF(H130,fileModifiedDate(N130, NOW()),0)</f>
        <v>44858.232395833336</v>
      </c>
      <c r="L130" s="15" cm="1">
        <f t="array" aca="1" ref="L130" ca="1">IF(I130,fileModifiedDate(O130, NOW()),0)</f>
        <v>44898.741342592592</v>
      </c>
      <c r="M130" s="15"/>
      <c r="N130" s="16" t="str">
        <f t="shared" si="45"/>
        <v>D:\OneDrive-Sync\Christian Dior Couture\APAC Management - Reports - Reports\iCristal\Images\grid_MTD_MSPECIAL.png</v>
      </c>
      <c r="O130" s="16" t="str">
        <f t="shared" si="52"/>
        <v>D:\OneDrive-Sync\Christian Dior Couture\APAC Management - Reports - Reports\iCristal\Images\VM24\grid_MTD_MSPECIAL.png</v>
      </c>
      <c r="P130" s="16"/>
      <c r="Q130" t="b">
        <f t="shared" si="37"/>
        <v>0</v>
      </c>
      <c r="R130" t="b">
        <f t="shared" ca="1" si="38"/>
        <v>1</v>
      </c>
      <c r="S130" t="b">
        <v>0</v>
      </c>
      <c r="T130" t="b">
        <f t="shared" ca="1" si="47"/>
        <v>1</v>
      </c>
      <c r="U130" t="b">
        <f t="shared" ca="1" si="48"/>
        <v>1</v>
      </c>
      <c r="V130" t="b">
        <f t="shared" ca="1" si="49"/>
        <v>1</v>
      </c>
      <c r="W130">
        <f t="shared" ca="1" si="40"/>
        <v>1</v>
      </c>
      <c r="X130" s="15">
        <f t="shared" ca="1" si="41"/>
        <v>44899.125</v>
      </c>
      <c r="Y130" s="15">
        <f t="shared" ca="1" si="42"/>
        <v>44899.125</v>
      </c>
      <c r="Z130" s="15">
        <f t="shared" ca="1" si="42"/>
        <v>44899.125</v>
      </c>
      <c r="AA130">
        <f t="shared" ca="1" si="50"/>
        <v>2</v>
      </c>
      <c r="AB130" s="16" t="str">
        <f t="shared" ca="1" si="51"/>
        <v/>
      </c>
    </row>
    <row r="131" spans="1:28" x14ac:dyDescent="0.25">
      <c r="A131" t="s">
        <v>857</v>
      </c>
      <c r="B131" t="s">
        <v>616</v>
      </c>
      <c r="H131" t="b" cm="1">
        <f t="array" aca="1" ref="H131" ca="1">FileExists(N131,NOW())</f>
        <v>1</v>
      </c>
      <c r="I131" t="b" cm="1">
        <f t="array" aca="1" ref="I131" ca="1">FileExists(O131,NOW())</f>
        <v>1</v>
      </c>
      <c r="K131" s="15" cm="1">
        <f t="array" aca="1" ref="K131" ca="1">IF(H131,fileModifiedDate(N131, NOW()),0)</f>
        <v>44858.232523148145</v>
      </c>
      <c r="L131" s="15" cm="1">
        <f t="array" aca="1" ref="L131" ca="1">IF(I131,fileModifiedDate(O131, NOW()),0)</f>
        <v>44898.741469907407</v>
      </c>
      <c r="M131" s="15"/>
      <c r="N131" s="16" t="str">
        <f t="shared" si="45"/>
        <v>D:\OneDrive-Sync\Christian Dior Couture\APAC Management - Reports - Reports\iCristal\Images\grid_YTD_MSPECIAL.png</v>
      </c>
      <c r="O131" s="16" t="str">
        <f t="shared" si="52"/>
        <v>D:\OneDrive-Sync\Christian Dior Couture\APAC Management - Reports - Reports\iCristal\Images\VM24\grid_YTD_MSPECIAL.png</v>
      </c>
      <c r="P131" s="16"/>
      <c r="Q131" t="b">
        <f t="shared" si="37"/>
        <v>0</v>
      </c>
      <c r="R131" t="b">
        <f t="shared" ca="1" si="38"/>
        <v>1</v>
      </c>
      <c r="S131" t="b">
        <v>0</v>
      </c>
      <c r="T131" t="b">
        <f t="shared" ca="1" si="47"/>
        <v>1</v>
      </c>
      <c r="U131" t="b">
        <f t="shared" ca="1" si="48"/>
        <v>1</v>
      </c>
      <c r="V131" t="b">
        <f t="shared" ca="1" si="49"/>
        <v>1</v>
      </c>
      <c r="W131">
        <f t="shared" ca="1" si="40"/>
        <v>1</v>
      </c>
      <c r="X131" s="15">
        <f t="shared" ca="1" si="41"/>
        <v>44899.125</v>
      </c>
      <c r="Y131" s="15">
        <f t="shared" ca="1" si="42"/>
        <v>44899.125</v>
      </c>
      <c r="Z131" s="15">
        <f t="shared" ca="1" si="42"/>
        <v>44899.125</v>
      </c>
      <c r="AA131">
        <f t="shared" ca="1" si="50"/>
        <v>2</v>
      </c>
      <c r="AB131" s="16" t="str">
        <f t="shared" ca="1" si="51"/>
        <v/>
      </c>
    </row>
    <row r="132" spans="1:28" x14ac:dyDescent="0.25">
      <c r="A132" t="s">
        <v>857</v>
      </c>
      <c r="B132" t="s">
        <v>234</v>
      </c>
      <c r="H132" t="b" cm="1">
        <f t="array" aca="1" ref="H132" ca="1">FileExists(N132,NOW())</f>
        <v>1</v>
      </c>
      <c r="I132" t="b" cm="1">
        <f t="array" aca="1" ref="I132" ca="1">FileExists(O132,NOW())</f>
        <v>1</v>
      </c>
      <c r="K132" s="15" cm="1">
        <f t="array" aca="1" ref="K132" ca="1">IF(H132,fileModifiedDate(N132, NOW()),0)</f>
        <v>44858.232835648145</v>
      </c>
      <c r="L132" s="15" cm="1">
        <f t="array" aca="1" ref="L132" ca="1">IF(I132,fileModifiedDate(O132, NOW()),0)</f>
        <v>44898.741828703707</v>
      </c>
      <c r="M132" s="15"/>
      <c r="N132" s="16" t="str">
        <f t="shared" si="45"/>
        <v>D:\OneDrive-Sync\Christian Dior Couture\APAC Management - Reports - Reports\iCristal\Images\grid_Day_BABY.png</v>
      </c>
      <c r="O132" s="16" t="str">
        <f t="shared" si="52"/>
        <v>D:\OneDrive-Sync\Christian Dior Couture\APAC Management - Reports - Reports\iCristal\Images\VM24\grid_Day_BABY.png</v>
      </c>
      <c r="P132" s="16"/>
      <c r="Q132" t="b">
        <f t="shared" si="37"/>
        <v>0</v>
      </c>
      <c r="R132" t="b">
        <f t="shared" ca="1" si="38"/>
        <v>1</v>
      </c>
      <c r="S132" t="b">
        <v>0</v>
      </c>
      <c r="T132" t="b">
        <f t="shared" ca="1" si="47"/>
        <v>1</v>
      </c>
      <c r="U132" t="b">
        <f t="shared" ca="1" si="48"/>
        <v>1</v>
      </c>
      <c r="V132" t="b">
        <f t="shared" ca="1" si="49"/>
        <v>1</v>
      </c>
      <c r="W132">
        <f t="shared" ca="1" si="40"/>
        <v>1</v>
      </c>
      <c r="X132" s="15">
        <f t="shared" ca="1" si="41"/>
        <v>44899.125</v>
      </c>
      <c r="Y132" s="15">
        <f t="shared" ca="1" si="42"/>
        <v>44899.125</v>
      </c>
      <c r="Z132" s="15">
        <f t="shared" ca="1" si="42"/>
        <v>44899.125</v>
      </c>
      <c r="AA132">
        <f t="shared" ca="1" si="50"/>
        <v>2</v>
      </c>
      <c r="AB132" s="16" t="str">
        <f t="shared" ca="1" si="51"/>
        <v/>
      </c>
    </row>
    <row r="133" spans="1:28" x14ac:dyDescent="0.25">
      <c r="A133" t="s">
        <v>857</v>
      </c>
      <c r="B133" t="s">
        <v>235</v>
      </c>
      <c r="H133" t="b" cm="1">
        <f t="array" aca="1" ref="H133" ca="1">FileExists(N133,NOW())</f>
        <v>1</v>
      </c>
      <c r="I133" t="b" cm="1">
        <f t="array" aca="1" ref="I133" ca="1">FileExists(O133,NOW())</f>
        <v>1</v>
      </c>
      <c r="K133" s="15" cm="1">
        <f t="array" aca="1" ref="K133" ca="1">IF(H133,fileModifiedDate(N133, NOW()),0)</f>
        <v>44858.232951388891</v>
      </c>
      <c r="L133" s="15" cm="1">
        <f t="array" aca="1" ref="L133" ca="1">IF(I133,fileModifiedDate(O133, NOW()),0)</f>
        <v>44898.741967592592</v>
      </c>
      <c r="M133" s="15"/>
      <c r="N133" s="16" t="str">
        <f t="shared" si="45"/>
        <v>D:\OneDrive-Sync\Christian Dior Couture\APAC Management - Reports - Reports\iCristal\Images\grid_WTD_BABY.png</v>
      </c>
      <c r="O133" s="16" t="str">
        <f t="shared" si="52"/>
        <v>D:\OneDrive-Sync\Christian Dior Couture\APAC Management - Reports - Reports\iCristal\Images\VM24\grid_WTD_BABY.png</v>
      </c>
      <c r="P133" s="16"/>
      <c r="Q133" t="b">
        <f t="shared" si="37"/>
        <v>0</v>
      </c>
      <c r="R133" t="b">
        <f t="shared" ca="1" si="38"/>
        <v>1</v>
      </c>
      <c r="S133" t="b">
        <v>0</v>
      </c>
      <c r="T133" t="b">
        <f t="shared" ca="1" si="47"/>
        <v>1</v>
      </c>
      <c r="U133" t="b">
        <f t="shared" ca="1" si="48"/>
        <v>1</v>
      </c>
      <c r="V133" t="b">
        <f t="shared" ca="1" si="49"/>
        <v>1</v>
      </c>
      <c r="W133">
        <f t="shared" ca="1" si="40"/>
        <v>1</v>
      </c>
      <c r="X133" s="15">
        <f t="shared" ca="1" si="41"/>
        <v>44899.125</v>
      </c>
      <c r="Y133" s="15">
        <f t="shared" ca="1" si="42"/>
        <v>44899.125</v>
      </c>
      <c r="Z133" s="15">
        <f t="shared" ca="1" si="42"/>
        <v>44899.125</v>
      </c>
      <c r="AA133">
        <f t="shared" ca="1" si="50"/>
        <v>2</v>
      </c>
      <c r="AB133" s="16" t="str">
        <f t="shared" ca="1" si="51"/>
        <v/>
      </c>
    </row>
    <row r="134" spans="1:28" x14ac:dyDescent="0.25">
      <c r="A134" t="s">
        <v>857</v>
      </c>
      <c r="B134" t="s">
        <v>236</v>
      </c>
      <c r="H134" t="b" cm="1">
        <f t="array" aca="1" ref="H134" ca="1">FileExists(N134,NOW())</f>
        <v>1</v>
      </c>
      <c r="I134" t="b" cm="1">
        <f t="array" aca="1" ref="I134" ca="1">FileExists(O134,NOW())</f>
        <v>1</v>
      </c>
      <c r="K134" s="15" cm="1">
        <f t="array" aca="1" ref="K134" ca="1">IF(H134,fileModifiedDate(N134, NOW()),0)</f>
        <v>44858.233067129629</v>
      </c>
      <c r="L134" s="15" cm="1">
        <f t="array" aca="1" ref="L134" ca="1">IF(I134,fileModifiedDate(O134, NOW()),0)</f>
        <v>44898.742083333331</v>
      </c>
      <c r="M134" s="15"/>
      <c r="N134" s="16" t="str">
        <f t="shared" si="45"/>
        <v>D:\OneDrive-Sync\Christian Dior Couture\APAC Management - Reports - Reports\iCristal\Images\grid_MTD_BABY.png</v>
      </c>
      <c r="O134" s="16" t="str">
        <f t="shared" si="52"/>
        <v>D:\OneDrive-Sync\Christian Dior Couture\APAC Management - Reports - Reports\iCristal\Images\VM24\grid_MTD_BABY.png</v>
      </c>
      <c r="P134" s="16"/>
      <c r="Q134" t="b">
        <f t="shared" si="37"/>
        <v>0</v>
      </c>
      <c r="R134" t="b">
        <f t="shared" ca="1" si="38"/>
        <v>1</v>
      </c>
      <c r="S134" t="b">
        <v>0</v>
      </c>
      <c r="T134" t="b">
        <f t="shared" ca="1" si="47"/>
        <v>1</v>
      </c>
      <c r="U134" t="b">
        <f t="shared" ca="1" si="48"/>
        <v>1</v>
      </c>
      <c r="V134" t="b">
        <f t="shared" ca="1" si="49"/>
        <v>1</v>
      </c>
      <c r="W134">
        <f t="shared" ca="1" si="40"/>
        <v>1</v>
      </c>
      <c r="X134" s="15">
        <f t="shared" ca="1" si="41"/>
        <v>44899.125</v>
      </c>
      <c r="Y134" s="15">
        <f t="shared" ca="1" si="42"/>
        <v>44899.125</v>
      </c>
      <c r="Z134" s="15">
        <f t="shared" ca="1" si="42"/>
        <v>44899.125</v>
      </c>
      <c r="AA134">
        <f t="shared" ca="1" si="50"/>
        <v>2</v>
      </c>
      <c r="AB134" s="16" t="str">
        <f t="shared" ca="1" si="51"/>
        <v/>
      </c>
    </row>
    <row r="135" spans="1:28" x14ac:dyDescent="0.25">
      <c r="A135" t="s">
        <v>857</v>
      </c>
      <c r="B135" t="s">
        <v>237</v>
      </c>
      <c r="H135" t="b" cm="1">
        <f t="array" aca="1" ref="H135" ca="1">FileExists(N135,NOW())</f>
        <v>1</v>
      </c>
      <c r="I135" t="b" cm="1">
        <f t="array" aca="1" ref="I135" ca="1">FileExists(O135,NOW())</f>
        <v>1</v>
      </c>
      <c r="K135" s="15" cm="1">
        <f t="array" aca="1" ref="K135" ca="1">IF(H135,fileModifiedDate(N135, NOW()),0)</f>
        <v>44858.233182870368</v>
      </c>
      <c r="L135" s="15" cm="1">
        <f t="array" aca="1" ref="L135" ca="1">IF(I135,fileModifiedDate(O135, NOW()),0)</f>
        <v>44898.742222222223</v>
      </c>
      <c r="M135" s="15"/>
      <c r="N135" s="16" t="str">
        <f t="shared" si="45"/>
        <v>D:\OneDrive-Sync\Christian Dior Couture\APAC Management - Reports - Reports\iCristal\Images\grid_YTD_BABY.png</v>
      </c>
      <c r="O135" s="16" t="str">
        <f t="shared" si="52"/>
        <v>D:\OneDrive-Sync\Christian Dior Couture\APAC Management - Reports - Reports\iCristal\Images\VM24\grid_YTD_BABY.png</v>
      </c>
      <c r="P135" s="16"/>
      <c r="Q135" t="b">
        <f t="shared" si="37"/>
        <v>0</v>
      </c>
      <c r="R135" t="b">
        <f t="shared" ca="1" si="38"/>
        <v>1</v>
      </c>
      <c r="S135" t="b">
        <v>0</v>
      </c>
      <c r="T135" t="b">
        <f t="shared" ca="1" si="47"/>
        <v>1</v>
      </c>
      <c r="U135" t="b">
        <f t="shared" ca="1" si="48"/>
        <v>1</v>
      </c>
      <c r="V135" t="b">
        <f t="shared" ca="1" si="49"/>
        <v>1</v>
      </c>
      <c r="W135">
        <f t="shared" ca="1" si="40"/>
        <v>1</v>
      </c>
      <c r="X135" s="15">
        <f t="shared" ca="1" si="41"/>
        <v>44899.125</v>
      </c>
      <c r="Y135" s="15">
        <f t="shared" ca="1" si="42"/>
        <v>44899.125</v>
      </c>
      <c r="Z135" s="15">
        <f t="shared" ca="1" si="42"/>
        <v>44899.125</v>
      </c>
      <c r="AA135">
        <f t="shared" ca="1" si="50"/>
        <v>2</v>
      </c>
      <c r="AB135" s="16" t="str">
        <f t="shared" ca="1" si="51"/>
        <v/>
      </c>
    </row>
    <row r="136" spans="1:28" x14ac:dyDescent="0.25">
      <c r="A136" t="s">
        <v>857</v>
      </c>
      <c r="B136" t="s">
        <v>238</v>
      </c>
      <c r="H136" t="b" cm="1">
        <f t="array" aca="1" ref="H136" ca="1">FileExists(N136,NOW())</f>
        <v>1</v>
      </c>
      <c r="I136" t="b" cm="1">
        <f t="array" aca="1" ref="I136" ca="1">FileExists(O136,NOW())</f>
        <v>1</v>
      </c>
      <c r="K136" s="15" cm="1">
        <f t="array" aca="1" ref="K136" ca="1">IF(H136,fileModifiedDate(N136, NOW()),0)</f>
        <v>44858.233541666668</v>
      </c>
      <c r="L136" s="15" cm="1">
        <f t="array" aca="1" ref="L136" ca="1">IF(I136,fileModifiedDate(O136, NOW()),0)</f>
        <v>44898.742638888885</v>
      </c>
      <c r="M136" s="15"/>
      <c r="N136" s="16" t="str">
        <f t="shared" si="45"/>
        <v>D:\OneDrive-Sync\Christian Dior Couture\APAC Management - Reports - Reports\iCristal\Images\grid_Day_STORE.png</v>
      </c>
      <c r="O136" s="16" t="str">
        <f t="shared" si="52"/>
        <v>D:\OneDrive-Sync\Christian Dior Couture\APAC Management - Reports - Reports\iCristal\Images\VM24\grid_Day_STORE.png</v>
      </c>
      <c r="P136" s="16"/>
      <c r="Q136" t="b">
        <f t="shared" si="37"/>
        <v>0</v>
      </c>
      <c r="R136" t="b">
        <f t="shared" ca="1" si="38"/>
        <v>1</v>
      </c>
      <c r="S136" t="b">
        <v>0</v>
      </c>
      <c r="T136" t="b">
        <f t="shared" ca="1" si="47"/>
        <v>1</v>
      </c>
      <c r="U136" t="b">
        <f t="shared" ca="1" si="48"/>
        <v>1</v>
      </c>
      <c r="V136" t="b">
        <f t="shared" ca="1" si="49"/>
        <v>1</v>
      </c>
      <c r="W136">
        <f t="shared" ca="1" si="40"/>
        <v>1</v>
      </c>
      <c r="X136" s="15">
        <f t="shared" ca="1" si="41"/>
        <v>44899.125</v>
      </c>
      <c r="Y136" s="15">
        <f t="shared" ca="1" si="42"/>
        <v>44899.125</v>
      </c>
      <c r="Z136" s="15">
        <f t="shared" ca="1" si="42"/>
        <v>44899.125</v>
      </c>
      <c r="AA136">
        <f t="shared" ca="1" si="50"/>
        <v>2</v>
      </c>
      <c r="AB136" s="16" t="str">
        <f t="shared" ca="1" si="51"/>
        <v/>
      </c>
    </row>
    <row r="137" spans="1:28" x14ac:dyDescent="0.25">
      <c r="A137" t="s">
        <v>857</v>
      </c>
      <c r="B137" t="s">
        <v>239</v>
      </c>
      <c r="H137" t="b" cm="1">
        <f t="array" aca="1" ref="H137" ca="1">FileExists(N137,NOW())</f>
        <v>1</v>
      </c>
      <c r="I137" t="b" cm="1">
        <f t="array" aca="1" ref="I137" ca="1">FileExists(O137,NOW())</f>
        <v>1</v>
      </c>
      <c r="K137" s="15" cm="1">
        <f t="array" aca="1" ref="K137" ca="1">IF(H137,fileModifiedDate(N137, NOW()),0)</f>
        <v>44858.233657407407</v>
      </c>
      <c r="L137" s="15" cm="1">
        <f t="array" aca="1" ref="L137" ca="1">IF(I137,fileModifiedDate(O137, NOW()),0)</f>
        <v>44898.742777777778</v>
      </c>
      <c r="M137" s="15"/>
      <c r="N137" s="16" t="str">
        <f t="shared" si="45"/>
        <v>D:\OneDrive-Sync\Christian Dior Couture\APAC Management - Reports - Reports\iCristal\Images\grid_WTD_STORE.png</v>
      </c>
      <c r="O137" s="16" t="str">
        <f t="shared" si="52"/>
        <v>D:\OneDrive-Sync\Christian Dior Couture\APAC Management - Reports - Reports\iCristal\Images\VM24\grid_WTD_STORE.png</v>
      </c>
      <c r="P137" s="16"/>
      <c r="Q137" t="b">
        <f t="shared" si="37"/>
        <v>0</v>
      </c>
      <c r="R137" t="b">
        <f t="shared" ca="1" si="38"/>
        <v>1</v>
      </c>
      <c r="S137" t="b">
        <v>0</v>
      </c>
      <c r="T137" t="b">
        <f t="shared" ca="1" si="47"/>
        <v>1</v>
      </c>
      <c r="U137" t="b">
        <f t="shared" ca="1" si="48"/>
        <v>1</v>
      </c>
      <c r="V137" t="b">
        <f t="shared" ca="1" si="49"/>
        <v>1</v>
      </c>
      <c r="W137">
        <f t="shared" ca="1" si="40"/>
        <v>1</v>
      </c>
      <c r="X137" s="15">
        <f t="shared" ca="1" si="41"/>
        <v>44899.125</v>
      </c>
      <c r="Y137" s="15">
        <f t="shared" ca="1" si="42"/>
        <v>44899.125</v>
      </c>
      <c r="Z137" s="15">
        <f t="shared" ca="1" si="42"/>
        <v>44899.125</v>
      </c>
      <c r="AA137">
        <f t="shared" ca="1" si="50"/>
        <v>2</v>
      </c>
      <c r="AB137" s="16" t="str">
        <f t="shared" ca="1" si="51"/>
        <v/>
      </c>
    </row>
    <row r="138" spans="1:28" x14ac:dyDescent="0.25">
      <c r="A138" t="s">
        <v>857</v>
      </c>
      <c r="B138" t="s">
        <v>240</v>
      </c>
      <c r="H138" t="b" cm="1">
        <f t="array" aca="1" ref="H138" ca="1">FileExists(N138,NOW())</f>
        <v>1</v>
      </c>
      <c r="I138" t="b" cm="1">
        <f t="array" aca="1" ref="I138" ca="1">FileExists(O138,NOW())</f>
        <v>1</v>
      </c>
      <c r="K138" s="15" cm="1">
        <f t="array" aca="1" ref="K138" ca="1">IF(H138,fileModifiedDate(N138, NOW()),0)</f>
        <v>44858.233773148146</v>
      </c>
      <c r="L138" s="15" cm="1">
        <f t="array" aca="1" ref="L138" ca="1">IF(I138,fileModifiedDate(O138, NOW()),0)</f>
        <v>44898.74291666667</v>
      </c>
      <c r="M138" s="15"/>
      <c r="N138" s="16" t="str">
        <f t="shared" si="45"/>
        <v>D:\OneDrive-Sync\Christian Dior Couture\APAC Management - Reports - Reports\iCristal\Images\grid_MTD_STORE.png</v>
      </c>
      <c r="O138" s="16" t="str">
        <f t="shared" si="52"/>
        <v>D:\OneDrive-Sync\Christian Dior Couture\APAC Management - Reports - Reports\iCristal\Images\VM24\grid_MTD_STORE.png</v>
      </c>
      <c r="P138" s="16"/>
      <c r="Q138" t="b">
        <f t="shared" si="37"/>
        <v>0</v>
      </c>
      <c r="R138" t="b">
        <f t="shared" ca="1" si="38"/>
        <v>1</v>
      </c>
      <c r="S138" t="b">
        <v>0</v>
      </c>
      <c r="T138" t="b">
        <f t="shared" ca="1" si="47"/>
        <v>1</v>
      </c>
      <c r="U138" t="b">
        <f t="shared" ca="1" si="48"/>
        <v>1</v>
      </c>
      <c r="V138" t="b">
        <f t="shared" ca="1" si="49"/>
        <v>1</v>
      </c>
      <c r="W138">
        <f t="shared" ca="1" si="40"/>
        <v>1</v>
      </c>
      <c r="X138" s="15">
        <f t="shared" ca="1" si="41"/>
        <v>44899.125</v>
      </c>
      <c r="Y138" s="15">
        <f t="shared" ca="1" si="42"/>
        <v>44899.125</v>
      </c>
      <c r="Z138" s="15">
        <f t="shared" ca="1" si="42"/>
        <v>44899.125</v>
      </c>
      <c r="AA138">
        <f t="shared" ca="1" si="50"/>
        <v>2</v>
      </c>
      <c r="AB138" s="16" t="str">
        <f t="shared" ca="1" si="51"/>
        <v/>
      </c>
    </row>
    <row r="139" spans="1:28" x14ac:dyDescent="0.25">
      <c r="A139" t="s">
        <v>857</v>
      </c>
      <c r="B139" t="s">
        <v>241</v>
      </c>
      <c r="H139" t="b" cm="1">
        <f t="array" aca="1" ref="H139" ca="1">FileExists(N139,NOW())</f>
        <v>1</v>
      </c>
      <c r="I139" t="b" cm="1">
        <f t="array" aca="1" ref="I139" ca="1">FileExists(O139,NOW())</f>
        <v>1</v>
      </c>
      <c r="K139" s="15" cm="1">
        <f t="array" aca="1" ref="K139" ca="1">IF(H139,fileModifiedDate(N139, NOW()),0)</f>
        <v>44858.233900462961</v>
      </c>
      <c r="L139" s="15" cm="1">
        <f t="array" aca="1" ref="L139" ca="1">IF(I139,fileModifiedDate(O139, NOW()),0)</f>
        <v>44898.743055555555</v>
      </c>
      <c r="M139" s="15"/>
      <c r="N139" s="16" t="str">
        <f t="shared" si="45"/>
        <v>D:\OneDrive-Sync\Christian Dior Couture\APAC Management - Reports - Reports\iCristal\Images\grid_YTD_STORE.png</v>
      </c>
      <c r="O139" s="16" t="str">
        <f t="shared" si="52"/>
        <v>D:\OneDrive-Sync\Christian Dior Couture\APAC Management - Reports - Reports\iCristal\Images\VM24\grid_YTD_STORE.png</v>
      </c>
      <c r="P139" s="16"/>
      <c r="Q139" t="b">
        <f t="shared" ref="Q139:Q150" si="53">S139</f>
        <v>0</v>
      </c>
      <c r="R139" t="b">
        <f t="shared" ref="R139:R150" ca="1" si="54">T139</f>
        <v>1</v>
      </c>
      <c r="S139" t="b">
        <v>0</v>
      </c>
      <c r="T139" t="b">
        <f t="shared" ca="1" si="47"/>
        <v>1</v>
      </c>
      <c r="U139" t="b">
        <f t="shared" ca="1" si="48"/>
        <v>1</v>
      </c>
      <c r="V139" t="b">
        <f t="shared" ca="1" si="49"/>
        <v>1</v>
      </c>
      <c r="W139">
        <f t="shared" ref="W139:W150" ca="1" si="55">IF(V139,1,0)</f>
        <v>1</v>
      </c>
      <c r="X139" s="15">
        <f t="shared" ref="X139:X150" ca="1" si="56">IF(NOW()&gt;X$2,X$2,X$2-1)</f>
        <v>44899.125</v>
      </c>
      <c r="Y139" s="15">
        <f t="shared" ref="Y139:Z150" ca="1" si="57">IF(NOW()&gt;$Y$2,$Y$2,$Y$2-1)</f>
        <v>44899.125</v>
      </c>
      <c r="Z139" s="15">
        <f t="shared" ca="1" si="57"/>
        <v>44899.125</v>
      </c>
      <c r="AA139">
        <f t="shared" ca="1" si="50"/>
        <v>2</v>
      </c>
      <c r="AB139" s="16" t="str">
        <f t="shared" ca="1" si="51"/>
        <v/>
      </c>
    </row>
    <row r="140" spans="1:28" x14ac:dyDescent="0.25">
      <c r="A140" t="s">
        <v>857</v>
      </c>
      <c r="B140" t="s">
        <v>242</v>
      </c>
      <c r="H140" t="b" cm="1">
        <f t="array" aca="1" ref="H140" ca="1">FileExists(N140,NOW())</f>
        <v>1</v>
      </c>
      <c r="I140" t="b" cm="1">
        <f t="array" aca="1" ref="I140" ca="1">FileExists(O140,NOW())</f>
        <v>1</v>
      </c>
      <c r="K140" s="15" cm="1">
        <f t="array" aca="1" ref="K140" ca="1">IF(H140,fileModifiedDate(N140, NOW()),0)</f>
        <v>44858.234120370369</v>
      </c>
      <c r="L140" s="15" cm="1">
        <f t="array" aca="1" ref="L140" ca="1">IF(I140,fileModifiedDate(O140, NOW()),0)</f>
        <v>44898.743298611109</v>
      </c>
      <c r="M140" s="15"/>
      <c r="N140" s="16" t="str">
        <f t="shared" si="45"/>
        <v>D:\OneDrive-Sync\Christian Dior Couture\APAC Management - Reports - Reports\iCristal\Images\grid_Day_BusinessUnit.png</v>
      </c>
      <c r="O140" s="16" t="str">
        <f t="shared" ref="O140:O150" si="58">O$74&amp;"\"&amp;$B140</f>
        <v>D:\OneDrive-Sync\Christian Dior Couture\APAC Management - Reports - Reports\iCristal\Images\VM24\grid_Day_BusinessUnit.png</v>
      </c>
      <c r="P140" s="16"/>
      <c r="Q140" t="b">
        <f t="shared" si="53"/>
        <v>0</v>
      </c>
      <c r="R140" t="b">
        <f t="shared" ca="1" si="54"/>
        <v>1</v>
      </c>
      <c r="S140" t="b">
        <v>0</v>
      </c>
      <c r="T140" t="b">
        <f t="shared" ref="T140:T150" ca="1" si="59">NOT(AND(IF(K140,K140&gt;X140,FALSE),NOT(Q140)))</f>
        <v>1</v>
      </c>
      <c r="U140" t="b">
        <f t="shared" ref="U140:U150" ca="1" si="60">NOT(AND(IF(L140,L140&gt;Y140,FALSE),NOT(R140)))</f>
        <v>1</v>
      </c>
      <c r="V140" t="b">
        <f t="shared" ref="V140:V150" ca="1" si="61">AND(T140,U140)</f>
        <v>1</v>
      </c>
      <c r="W140">
        <f t="shared" ca="1" si="55"/>
        <v>1</v>
      </c>
      <c r="X140" s="15">
        <f t="shared" ca="1" si="56"/>
        <v>44899.125</v>
      </c>
      <c r="Y140" s="15">
        <f t="shared" ca="1" si="57"/>
        <v>44899.125</v>
      </c>
      <c r="Z140" s="15">
        <f t="shared" ca="1" si="57"/>
        <v>44899.125</v>
      </c>
      <c r="AA140">
        <f t="shared" ref="AA140:AA150" ca="1" si="62">IF(K140&gt;L140,1,2)</f>
        <v>2</v>
      </c>
      <c r="AB140" s="16" t="str">
        <f t="shared" ref="AB140:AB150" ca="1" si="63">IF(V140,"",IF(AA140=1,N140,O140))</f>
        <v/>
      </c>
    </row>
    <row r="141" spans="1:28" x14ac:dyDescent="0.25">
      <c r="A141" t="s">
        <v>857</v>
      </c>
      <c r="B141" t="s">
        <v>243</v>
      </c>
      <c r="H141" t="b" cm="1">
        <f t="array" aca="1" ref="H141" ca="1">FileExists(N141,NOW())</f>
        <v>1</v>
      </c>
      <c r="I141" t="b" cm="1">
        <f t="array" aca="1" ref="I141" ca="1">FileExists(O141,NOW())</f>
        <v>1</v>
      </c>
      <c r="K141" s="15" cm="1">
        <f t="array" aca="1" ref="K141" ca="1">IF(H141,fileModifiedDate(N141, NOW()),0)</f>
        <v>44858.234236111108</v>
      </c>
      <c r="L141" s="15" cm="1">
        <f t="array" aca="1" ref="L141" ca="1">IF(I141,fileModifiedDate(O141, NOW()),0)</f>
        <v>44898.743437500001</v>
      </c>
      <c r="M141" s="15"/>
      <c r="N141" s="16" t="str">
        <f t="shared" si="45"/>
        <v>D:\OneDrive-Sync\Christian Dior Couture\APAC Management - Reports - Reports\iCristal\Images\grid_WTD_BusinessUnit.png</v>
      </c>
      <c r="O141" s="16" t="str">
        <f t="shared" si="58"/>
        <v>D:\OneDrive-Sync\Christian Dior Couture\APAC Management - Reports - Reports\iCristal\Images\VM24\grid_WTD_BusinessUnit.png</v>
      </c>
      <c r="P141" s="16"/>
      <c r="Q141" t="b">
        <f t="shared" si="53"/>
        <v>0</v>
      </c>
      <c r="R141" t="b">
        <f t="shared" ca="1" si="54"/>
        <v>1</v>
      </c>
      <c r="S141" t="b">
        <v>0</v>
      </c>
      <c r="T141" t="b">
        <f t="shared" ca="1" si="59"/>
        <v>1</v>
      </c>
      <c r="U141" t="b">
        <f t="shared" ca="1" si="60"/>
        <v>1</v>
      </c>
      <c r="V141" t="b">
        <f t="shared" ca="1" si="61"/>
        <v>1</v>
      </c>
      <c r="W141">
        <f t="shared" ca="1" si="55"/>
        <v>1</v>
      </c>
      <c r="X141" s="15">
        <f t="shared" ca="1" si="56"/>
        <v>44899.125</v>
      </c>
      <c r="Y141" s="15">
        <f t="shared" ca="1" si="57"/>
        <v>44899.125</v>
      </c>
      <c r="Z141" s="15">
        <f t="shared" ca="1" si="57"/>
        <v>44899.125</v>
      </c>
      <c r="AA141">
        <f t="shared" ca="1" si="62"/>
        <v>2</v>
      </c>
      <c r="AB141" s="16" t="str">
        <f t="shared" ca="1" si="63"/>
        <v/>
      </c>
    </row>
    <row r="142" spans="1:28" x14ac:dyDescent="0.25">
      <c r="A142" t="s">
        <v>857</v>
      </c>
      <c r="B142" t="s">
        <v>244</v>
      </c>
      <c r="H142" t="b" cm="1">
        <f t="array" aca="1" ref="H142" ca="1">FileExists(N142,NOW())</f>
        <v>1</v>
      </c>
      <c r="I142" t="b" cm="1">
        <f t="array" aca="1" ref="I142" ca="1">FileExists(O142,NOW())</f>
        <v>1</v>
      </c>
      <c r="K142" s="15" cm="1">
        <f t="array" aca="1" ref="K142" ca="1">IF(H142,fileModifiedDate(N142, NOW()),0)</f>
        <v>44858.234351851854</v>
      </c>
      <c r="L142" s="15" cm="1">
        <f t="array" aca="1" ref="L142" ca="1">IF(I142,fileModifiedDate(O142, NOW()),0)</f>
        <v>44898.743576388886</v>
      </c>
      <c r="M142" s="15"/>
      <c r="N142" s="16" t="str">
        <f t="shared" si="45"/>
        <v>D:\OneDrive-Sync\Christian Dior Couture\APAC Management - Reports - Reports\iCristal\Images\grid_MTD_BusinessUnit.png</v>
      </c>
      <c r="O142" s="16" t="str">
        <f t="shared" si="58"/>
        <v>D:\OneDrive-Sync\Christian Dior Couture\APAC Management - Reports - Reports\iCristal\Images\VM24\grid_MTD_BusinessUnit.png</v>
      </c>
      <c r="P142" s="16"/>
      <c r="Q142" t="b">
        <f t="shared" si="53"/>
        <v>0</v>
      </c>
      <c r="R142" t="b">
        <f t="shared" ca="1" si="54"/>
        <v>1</v>
      </c>
      <c r="S142" t="b">
        <v>0</v>
      </c>
      <c r="T142" t="b">
        <f t="shared" ca="1" si="59"/>
        <v>1</v>
      </c>
      <c r="U142" t="b">
        <f t="shared" ca="1" si="60"/>
        <v>1</v>
      </c>
      <c r="V142" t="b">
        <f t="shared" ca="1" si="61"/>
        <v>1</v>
      </c>
      <c r="W142">
        <f t="shared" ca="1" si="55"/>
        <v>1</v>
      </c>
      <c r="X142" s="15">
        <f t="shared" ca="1" si="56"/>
        <v>44899.125</v>
      </c>
      <c r="Y142" s="15">
        <f t="shared" ca="1" si="57"/>
        <v>44899.125</v>
      </c>
      <c r="Z142" s="15">
        <f t="shared" ca="1" si="57"/>
        <v>44899.125</v>
      </c>
      <c r="AA142">
        <f t="shared" ca="1" si="62"/>
        <v>2</v>
      </c>
      <c r="AB142" s="16" t="str">
        <f t="shared" ca="1" si="63"/>
        <v/>
      </c>
    </row>
    <row r="143" spans="1:28" x14ac:dyDescent="0.25">
      <c r="A143" t="s">
        <v>857</v>
      </c>
      <c r="B143" t="s">
        <v>245</v>
      </c>
      <c r="H143" t="b" cm="1">
        <f t="array" aca="1" ref="H143" ca="1">FileExists(N143,NOW())</f>
        <v>1</v>
      </c>
      <c r="I143" t="b" cm="1">
        <f t="array" aca="1" ref="I143" ca="1">FileExists(O143,NOW())</f>
        <v>1</v>
      </c>
      <c r="K143" s="15" cm="1">
        <f t="array" aca="1" ref="K143" ca="1">IF(H143,fileModifiedDate(N143, NOW()),0)</f>
        <v>44858.234467592592</v>
      </c>
      <c r="L143" s="15" cm="1">
        <f t="array" aca="1" ref="L143" ca="1">IF(I143,fileModifiedDate(O143, NOW()),0)</f>
        <v>44898.743715277778</v>
      </c>
      <c r="M143" s="15"/>
      <c r="N143" s="16" t="str">
        <f t="shared" si="45"/>
        <v>D:\OneDrive-Sync\Christian Dior Couture\APAC Management - Reports - Reports\iCristal\Images\grid_YTD_BusinessUnit.png</v>
      </c>
      <c r="O143" s="16" t="str">
        <f t="shared" si="58"/>
        <v>D:\OneDrive-Sync\Christian Dior Couture\APAC Management - Reports - Reports\iCristal\Images\VM24\grid_YTD_BusinessUnit.png</v>
      </c>
      <c r="P143" s="16"/>
      <c r="Q143" t="b">
        <f t="shared" si="53"/>
        <v>0</v>
      </c>
      <c r="R143" t="b">
        <f t="shared" ca="1" si="54"/>
        <v>1</v>
      </c>
      <c r="S143" t="b">
        <v>0</v>
      </c>
      <c r="T143" t="b">
        <f t="shared" ca="1" si="59"/>
        <v>1</v>
      </c>
      <c r="U143" t="b">
        <f t="shared" ca="1" si="60"/>
        <v>1</v>
      </c>
      <c r="V143" t="b">
        <f t="shared" ca="1" si="61"/>
        <v>1</v>
      </c>
      <c r="W143">
        <f t="shared" ca="1" si="55"/>
        <v>1</v>
      </c>
      <c r="X143" s="15">
        <f t="shared" ca="1" si="56"/>
        <v>44899.125</v>
      </c>
      <c r="Y143" s="15">
        <f t="shared" ca="1" si="57"/>
        <v>44899.125</v>
      </c>
      <c r="Z143" s="15">
        <f t="shared" ca="1" si="57"/>
        <v>44899.125</v>
      </c>
      <c r="AA143">
        <f t="shared" ca="1" si="62"/>
        <v>2</v>
      </c>
      <c r="AB143" s="16" t="str">
        <f t="shared" ca="1" si="63"/>
        <v/>
      </c>
    </row>
    <row r="144" spans="1:28" x14ac:dyDescent="0.25">
      <c r="A144" t="s">
        <v>857</v>
      </c>
      <c r="B144" t="s">
        <v>246</v>
      </c>
      <c r="C144" t="s">
        <v>270</v>
      </c>
      <c r="H144" t="b" cm="1">
        <f t="array" aca="1" ref="H144" ca="1">FileExists(N144,NOW())</f>
        <v>1</v>
      </c>
      <c r="I144" t="b" cm="1">
        <f t="array" aca="1" ref="I144" ca="1">FileExists(O144,NOW())</f>
        <v>1</v>
      </c>
      <c r="K144" s="15" cm="1">
        <f t="array" aca="1" ref="K144" ca="1">IF(H144,fileModifiedDate(N144, NOW()),0)</f>
        <v>44858.234583333331</v>
      </c>
      <c r="L144" s="15" cm="1">
        <f t="array" aca="1" ref="L144" ca="1">IF(I144,fileModifiedDate(O144, NOW()),0)</f>
        <v>44898.743854166663</v>
      </c>
      <c r="M144" s="15"/>
      <c r="N144" s="16" t="str">
        <f t="shared" si="45"/>
        <v>D:\OneDrive-Sync\Christian Dior Couture\APAC Management - Reports - Reports\iCristal\Images\grid_Day_TopProducts.png</v>
      </c>
      <c r="O144" s="16" t="str">
        <f t="shared" si="58"/>
        <v>D:\OneDrive-Sync\Christian Dior Couture\APAC Management - Reports - Reports\iCristal\Images\VM24\grid_Day_TopProducts.png</v>
      </c>
      <c r="P144" s="16"/>
      <c r="Q144" t="b">
        <f t="shared" si="53"/>
        <v>0</v>
      </c>
      <c r="R144" t="b">
        <f t="shared" ca="1" si="54"/>
        <v>1</v>
      </c>
      <c r="S144" t="b">
        <v>0</v>
      </c>
      <c r="T144" t="b">
        <f t="shared" ca="1" si="59"/>
        <v>1</v>
      </c>
      <c r="U144" t="b">
        <f t="shared" ca="1" si="60"/>
        <v>1</v>
      </c>
      <c r="V144" t="b">
        <f t="shared" ca="1" si="61"/>
        <v>1</v>
      </c>
      <c r="W144">
        <f t="shared" ca="1" si="55"/>
        <v>1</v>
      </c>
      <c r="X144" s="15">
        <f t="shared" ca="1" si="56"/>
        <v>44899.125</v>
      </c>
      <c r="Y144" s="15">
        <f t="shared" ca="1" si="57"/>
        <v>44899.125</v>
      </c>
      <c r="Z144" s="15">
        <f t="shared" ca="1" si="57"/>
        <v>44899.125</v>
      </c>
      <c r="AA144">
        <f t="shared" ca="1" si="62"/>
        <v>2</v>
      </c>
      <c r="AB144" s="16" t="str">
        <f t="shared" ca="1" si="63"/>
        <v/>
      </c>
    </row>
    <row r="145" spans="1:28" x14ac:dyDescent="0.25">
      <c r="A145" t="s">
        <v>857</v>
      </c>
      <c r="B145" t="s">
        <v>247</v>
      </c>
      <c r="H145" t="b" cm="1">
        <f t="array" aca="1" ref="H145" ca="1">FileExists(N145,NOW())</f>
        <v>1</v>
      </c>
      <c r="I145" t="b" cm="1">
        <f t="array" aca="1" ref="I145" ca="1">FileExists(O145,NOW())</f>
        <v>1</v>
      </c>
      <c r="K145" s="15" cm="1">
        <f t="array" aca="1" ref="K145" ca="1">IF(H145,fileModifiedDate(N145, NOW()),0)</f>
        <v>44858.234699074077</v>
      </c>
      <c r="L145" s="15" cm="1">
        <f t="array" aca="1" ref="L145" ca="1">IF(I145,fileModifiedDate(O145, NOW()),0)</f>
        <v>44898.743993055556</v>
      </c>
      <c r="M145" s="15"/>
      <c r="N145" s="16" t="str">
        <f t="shared" si="45"/>
        <v>D:\OneDrive-Sync\Christian Dior Couture\APAC Management - Reports - Reports\iCristal\Images\grid_WTD_TopProducts.png</v>
      </c>
      <c r="O145" s="16" t="str">
        <f t="shared" si="58"/>
        <v>D:\OneDrive-Sync\Christian Dior Couture\APAC Management - Reports - Reports\iCristal\Images\VM24\grid_WTD_TopProducts.png</v>
      </c>
      <c r="P145" s="16"/>
      <c r="Q145" t="b">
        <f t="shared" si="53"/>
        <v>0</v>
      </c>
      <c r="R145" t="b">
        <f t="shared" ca="1" si="54"/>
        <v>1</v>
      </c>
      <c r="S145" t="b">
        <v>0</v>
      </c>
      <c r="T145" t="b">
        <f t="shared" ca="1" si="59"/>
        <v>1</v>
      </c>
      <c r="U145" t="b">
        <f t="shared" ca="1" si="60"/>
        <v>1</v>
      </c>
      <c r="V145" t="b">
        <f t="shared" ca="1" si="61"/>
        <v>1</v>
      </c>
      <c r="W145">
        <f t="shared" ca="1" si="55"/>
        <v>1</v>
      </c>
      <c r="X145" s="15">
        <f t="shared" ca="1" si="56"/>
        <v>44899.125</v>
      </c>
      <c r="Y145" s="15">
        <f t="shared" ca="1" si="57"/>
        <v>44899.125</v>
      </c>
      <c r="Z145" s="15">
        <f t="shared" ca="1" si="57"/>
        <v>44899.125</v>
      </c>
      <c r="AA145">
        <f t="shared" ca="1" si="62"/>
        <v>2</v>
      </c>
      <c r="AB145" s="16" t="str">
        <f t="shared" ca="1" si="63"/>
        <v/>
      </c>
    </row>
    <row r="146" spans="1:28" x14ac:dyDescent="0.25">
      <c r="A146" t="s">
        <v>857</v>
      </c>
      <c r="B146" t="s">
        <v>248</v>
      </c>
      <c r="H146" t="b" cm="1">
        <f t="array" aca="1" ref="H146" ca="1">FileExists(N146,NOW())</f>
        <v>1</v>
      </c>
      <c r="I146" t="b" cm="1">
        <f t="array" aca="1" ref="I146" ca="1">FileExists(O146,NOW())</f>
        <v>1</v>
      </c>
      <c r="K146" s="15" cm="1">
        <f t="array" aca="1" ref="K146" ca="1">IF(H146,fileModifiedDate(N146, NOW()),0)</f>
        <v>44858.234814814816</v>
      </c>
      <c r="L146" s="15" cm="1">
        <f t="array" aca="1" ref="L146" ca="1">IF(I146,fileModifiedDate(O146, NOW()),0)</f>
        <v>44898.744131944448</v>
      </c>
      <c r="M146" s="15"/>
      <c r="N146" s="16" t="str">
        <f t="shared" si="45"/>
        <v>D:\OneDrive-Sync\Christian Dior Couture\APAC Management - Reports - Reports\iCristal\Images\grid_MTD_TopProducts.png</v>
      </c>
      <c r="O146" s="16" t="str">
        <f t="shared" si="58"/>
        <v>D:\OneDrive-Sync\Christian Dior Couture\APAC Management - Reports - Reports\iCristal\Images\VM24\grid_MTD_TopProducts.png</v>
      </c>
      <c r="P146" s="16"/>
      <c r="Q146" t="b">
        <f t="shared" si="53"/>
        <v>0</v>
      </c>
      <c r="R146" t="b">
        <f t="shared" ca="1" si="54"/>
        <v>1</v>
      </c>
      <c r="S146" t="b">
        <v>0</v>
      </c>
      <c r="T146" t="b">
        <f t="shared" ca="1" si="59"/>
        <v>1</v>
      </c>
      <c r="U146" t="b">
        <f t="shared" ca="1" si="60"/>
        <v>1</v>
      </c>
      <c r="V146" t="b">
        <f t="shared" ca="1" si="61"/>
        <v>1</v>
      </c>
      <c r="W146">
        <f t="shared" ca="1" si="55"/>
        <v>1</v>
      </c>
      <c r="X146" s="15">
        <f t="shared" ca="1" si="56"/>
        <v>44899.125</v>
      </c>
      <c r="Y146" s="15">
        <f t="shared" ca="1" si="57"/>
        <v>44899.125</v>
      </c>
      <c r="Z146" s="15">
        <f t="shared" ca="1" si="57"/>
        <v>44899.125</v>
      </c>
      <c r="AA146">
        <f t="shared" ca="1" si="62"/>
        <v>2</v>
      </c>
      <c r="AB146" s="16" t="str">
        <f t="shared" ca="1" si="63"/>
        <v/>
      </c>
    </row>
    <row r="147" spans="1:28" x14ac:dyDescent="0.25">
      <c r="A147" t="s">
        <v>857</v>
      </c>
      <c r="B147" t="s">
        <v>249</v>
      </c>
      <c r="H147" t="b" cm="1">
        <f t="array" aca="1" ref="H147" ca="1">FileExists(N147,NOW())</f>
        <v>1</v>
      </c>
      <c r="I147" t="b" cm="1">
        <f t="array" aca="1" ref="I147" ca="1">FileExists(O147,NOW())</f>
        <v>1</v>
      </c>
      <c r="K147" s="15" cm="1">
        <f t="array" aca="1" ref="K147" ca="1">IF(H147,fileModifiedDate(N147, NOW()),0)</f>
        <v>44858.234942129631</v>
      </c>
      <c r="L147" s="15" cm="1">
        <f t="array" aca="1" ref="L147" ca="1">IF(I147,fileModifiedDate(O147, NOW()),0)</f>
        <v>44898.744259259256</v>
      </c>
      <c r="M147" s="15"/>
      <c r="N147" s="16" t="str">
        <f t="shared" si="45"/>
        <v>D:\OneDrive-Sync\Christian Dior Couture\APAC Management - Reports - Reports\iCristal\Images\grid_YTD_TopProducts.png</v>
      </c>
      <c r="O147" s="16" t="str">
        <f t="shared" si="58"/>
        <v>D:\OneDrive-Sync\Christian Dior Couture\APAC Management - Reports - Reports\iCristal\Images\VM24\grid_YTD_TopProducts.png</v>
      </c>
      <c r="P147" s="16"/>
      <c r="Q147" t="b">
        <f t="shared" si="53"/>
        <v>0</v>
      </c>
      <c r="R147" t="b">
        <f t="shared" ca="1" si="54"/>
        <v>1</v>
      </c>
      <c r="S147" t="b">
        <v>0</v>
      </c>
      <c r="T147" t="b">
        <f t="shared" ca="1" si="59"/>
        <v>1</v>
      </c>
      <c r="U147" t="b">
        <f t="shared" ca="1" si="60"/>
        <v>1</v>
      </c>
      <c r="V147" t="b">
        <f t="shared" ca="1" si="61"/>
        <v>1</v>
      </c>
      <c r="W147">
        <f t="shared" ca="1" si="55"/>
        <v>1</v>
      </c>
      <c r="X147" s="15">
        <f t="shared" ca="1" si="56"/>
        <v>44899.125</v>
      </c>
      <c r="Y147" s="15">
        <f t="shared" ca="1" si="57"/>
        <v>44899.125</v>
      </c>
      <c r="Z147" s="15">
        <f t="shared" ca="1" si="57"/>
        <v>44899.125</v>
      </c>
      <c r="AA147">
        <f t="shared" ca="1" si="62"/>
        <v>2</v>
      </c>
      <c r="AB147" s="16" t="str">
        <f t="shared" ca="1" si="63"/>
        <v/>
      </c>
    </row>
    <row r="148" spans="1:28" x14ac:dyDescent="0.25">
      <c r="A148" t="s">
        <v>857</v>
      </c>
      <c r="B148" t="s">
        <v>250</v>
      </c>
      <c r="C148" t="s">
        <v>272</v>
      </c>
      <c r="H148" t="b" cm="1">
        <f t="array" aca="1" ref="H148" ca="1">FileExists(N148,NOW())</f>
        <v>1</v>
      </c>
      <c r="I148" t="b" cm="1">
        <f t="array" aca="1" ref="I148" ca="1">FileExists(O148,NOW())</f>
        <v>1</v>
      </c>
      <c r="K148" s="15" cm="1">
        <f t="array" aca="1" ref="K148" ca="1">IF(H148,fileModifiedDate(N148, NOW()),0)</f>
        <v>44858.235150462962</v>
      </c>
      <c r="L148" s="15" cm="1">
        <f t="array" aca="1" ref="L148" ca="1">IF(I148,fileModifiedDate(O148, NOW()),0)</f>
        <v>44898.744502314818</v>
      </c>
      <c r="M148" s="15"/>
      <c r="N148" s="16" t="str">
        <f t="shared" si="45"/>
        <v>D:\OneDrive-Sync\Christian Dior Couture\APAC Management - Reports - Reports\iCristal\Images\histogram_YTD.png</v>
      </c>
      <c r="O148" s="16" t="str">
        <f t="shared" si="58"/>
        <v>D:\OneDrive-Sync\Christian Dior Couture\APAC Management - Reports - Reports\iCristal\Images\VM24\histogram_YTD.png</v>
      </c>
      <c r="P148" s="16"/>
      <c r="Q148" t="b">
        <f t="shared" si="53"/>
        <v>0</v>
      </c>
      <c r="R148" t="b">
        <f t="shared" ca="1" si="54"/>
        <v>1</v>
      </c>
      <c r="S148" t="b">
        <v>0</v>
      </c>
      <c r="T148" t="b">
        <f t="shared" ca="1" si="59"/>
        <v>1</v>
      </c>
      <c r="U148" t="b">
        <f t="shared" ca="1" si="60"/>
        <v>1</v>
      </c>
      <c r="V148" t="b">
        <f t="shared" ca="1" si="61"/>
        <v>1</v>
      </c>
      <c r="W148">
        <f t="shared" ca="1" si="55"/>
        <v>1</v>
      </c>
      <c r="X148" s="15">
        <f t="shared" ca="1" si="56"/>
        <v>44899.125</v>
      </c>
      <c r="Y148" s="15">
        <f t="shared" ca="1" si="57"/>
        <v>44899.125</v>
      </c>
      <c r="Z148" s="15">
        <f t="shared" ca="1" si="57"/>
        <v>44899.125</v>
      </c>
      <c r="AA148">
        <f t="shared" ca="1" si="62"/>
        <v>2</v>
      </c>
      <c r="AB148" s="16" t="str">
        <f t="shared" ca="1" si="63"/>
        <v/>
      </c>
    </row>
    <row r="149" spans="1:28" x14ac:dyDescent="0.25">
      <c r="A149" t="s">
        <v>857</v>
      </c>
      <c r="B149" t="s">
        <v>251</v>
      </c>
      <c r="H149" t="b" cm="1">
        <f t="array" aca="1" ref="H149" ca="1">FileExists(N149,NOW())</f>
        <v>1</v>
      </c>
      <c r="I149" t="b" cm="1">
        <f t="array" aca="1" ref="I149" ca="1">FileExists(O149,NOW())</f>
        <v>1</v>
      </c>
      <c r="K149" s="15" cm="1">
        <f t="array" aca="1" ref="K149" ca="1">IF(H149,fileModifiedDate(N149, NOW()),0)</f>
        <v>44858.235358796293</v>
      </c>
      <c r="L149" s="15" cm="1">
        <f t="array" aca="1" ref="L149" ca="1">IF(I149,fileModifiedDate(O149, NOW()),0)</f>
        <v>44898.744756944441</v>
      </c>
      <c r="M149" s="15"/>
      <c r="N149" s="16" t="str">
        <f t="shared" si="45"/>
        <v>D:\OneDrive-Sync\Christian Dior Couture\APAC Management - Reports - Reports\iCristal\Images\histogram_Nationality_YTD.png</v>
      </c>
      <c r="O149" s="16" t="str">
        <f t="shared" si="58"/>
        <v>D:\OneDrive-Sync\Christian Dior Couture\APAC Management - Reports - Reports\iCristal\Images\VM24\histogram_Nationality_YTD.png</v>
      </c>
      <c r="P149" s="16"/>
      <c r="Q149" t="b">
        <f t="shared" si="53"/>
        <v>0</v>
      </c>
      <c r="R149" t="b">
        <f t="shared" ca="1" si="54"/>
        <v>1</v>
      </c>
      <c r="S149" t="b">
        <v>0</v>
      </c>
      <c r="T149" t="b">
        <f t="shared" ca="1" si="59"/>
        <v>1</v>
      </c>
      <c r="U149" t="b">
        <f t="shared" ca="1" si="60"/>
        <v>1</v>
      </c>
      <c r="V149" t="b">
        <f t="shared" ca="1" si="61"/>
        <v>1</v>
      </c>
      <c r="W149">
        <f t="shared" ca="1" si="55"/>
        <v>1</v>
      </c>
      <c r="X149" s="15">
        <f t="shared" ca="1" si="56"/>
        <v>44899.125</v>
      </c>
      <c r="Y149" s="15">
        <f t="shared" ca="1" si="57"/>
        <v>44899.125</v>
      </c>
      <c r="Z149" s="15">
        <f t="shared" ca="1" si="57"/>
        <v>44899.125</v>
      </c>
      <c r="AA149">
        <f t="shared" ca="1" si="62"/>
        <v>2</v>
      </c>
      <c r="AB149" s="16" t="str">
        <f t="shared" ca="1" si="63"/>
        <v/>
      </c>
    </row>
    <row r="150" spans="1:28" x14ac:dyDescent="0.25">
      <c r="A150" t="s">
        <v>857</v>
      </c>
      <c r="B150" t="s">
        <v>252</v>
      </c>
      <c r="H150" t="b" cm="1">
        <f t="array" aca="1" ref="H150" ca="1">FileExists(N150,NOW())</f>
        <v>1</v>
      </c>
      <c r="I150" t="b" cm="1">
        <f t="array" aca="1" ref="I150" ca="1">FileExists(O150,NOW())</f>
        <v>1</v>
      </c>
      <c r="K150" s="15" cm="1">
        <f t="array" aca="1" ref="K150" ca="1">IF(H150,fileModifiedDate(N150, NOW()),0)</f>
        <v>44858.235590277778</v>
      </c>
      <c r="L150" s="15" cm="1">
        <f t="array" aca="1" ref="L150" ca="1">IF(I150,fileModifiedDate(O150, NOW()),0)</f>
        <v>44898.745000000003</v>
      </c>
      <c r="M150" s="15"/>
      <c r="N150" s="16" t="str">
        <f t="shared" si="45"/>
        <v>D:\OneDrive-Sync\Christian Dior Couture\APAC Management - Reports - Reports\iCristal\Images\histogram_BU_YTD.png</v>
      </c>
      <c r="O150" s="16" t="str">
        <f t="shared" si="58"/>
        <v>D:\OneDrive-Sync\Christian Dior Couture\APAC Management - Reports - Reports\iCristal\Images\VM24\histogram_BU_YTD.png</v>
      </c>
      <c r="P150" s="16"/>
      <c r="Q150" t="b">
        <f t="shared" si="53"/>
        <v>0</v>
      </c>
      <c r="R150" t="b">
        <f t="shared" ca="1" si="54"/>
        <v>1</v>
      </c>
      <c r="S150" t="b">
        <v>0</v>
      </c>
      <c r="T150" t="b">
        <f t="shared" ca="1" si="59"/>
        <v>1</v>
      </c>
      <c r="U150" t="b">
        <f t="shared" ca="1" si="60"/>
        <v>1</v>
      </c>
      <c r="V150" t="b">
        <f t="shared" ca="1" si="61"/>
        <v>1</v>
      </c>
      <c r="W150">
        <f t="shared" ca="1" si="55"/>
        <v>1</v>
      </c>
      <c r="X150" s="15">
        <f t="shared" ca="1" si="56"/>
        <v>44899.125</v>
      </c>
      <c r="Y150" s="15">
        <f t="shared" ca="1" si="57"/>
        <v>44899.125</v>
      </c>
      <c r="Z150" s="15">
        <f t="shared" ca="1" si="57"/>
        <v>44899.125</v>
      </c>
      <c r="AA150">
        <f t="shared" ca="1" si="62"/>
        <v>2</v>
      </c>
      <c r="AB150" s="16" t="str">
        <f t="shared" ca="1" si="63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49"/>
  <sheetViews>
    <sheetView tabSelected="1" topLeftCell="A4" workbookViewId="0">
      <selection activeCell="D7" sqref="D7"/>
    </sheetView>
  </sheetViews>
  <sheetFormatPr defaultRowHeight="15" x14ac:dyDescent="0.2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6" x14ac:dyDescent="0.2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6" x14ac:dyDescent="0.25">
      <c r="A2" t="s">
        <v>16</v>
      </c>
      <c r="B2" t="s">
        <v>667</v>
      </c>
      <c r="C2" t="s">
        <v>755</v>
      </c>
    </row>
    <row r="3" spans="1:6" x14ac:dyDescent="0.25">
      <c r="C3" t="s">
        <v>737</v>
      </c>
      <c r="E3" t="s">
        <v>736</v>
      </c>
    </row>
    <row r="4" spans="1:6" x14ac:dyDescent="0.25">
      <c r="C4" t="s">
        <v>870</v>
      </c>
      <c r="E4" t="s">
        <v>38</v>
      </c>
      <c r="F4" t="s">
        <v>412</v>
      </c>
    </row>
    <row r="5" spans="1:6" x14ac:dyDescent="0.25">
      <c r="C5" t="s">
        <v>869</v>
      </c>
    </row>
    <row r="6" spans="1:6" s="17" customFormat="1" x14ac:dyDescent="0.25">
      <c r="C6" s="17" t="s">
        <v>866</v>
      </c>
    </row>
    <row r="7" spans="1:6" s="17" customFormat="1" x14ac:dyDescent="0.25">
      <c r="C7" s="17" t="s">
        <v>737</v>
      </c>
    </row>
    <row r="8" spans="1:6" x14ac:dyDescent="0.25">
      <c r="C8" t="s">
        <v>561</v>
      </c>
      <c r="E8" t="s">
        <v>529</v>
      </c>
    </row>
    <row r="9" spans="1:6" x14ac:dyDescent="0.25">
      <c r="C9" t="s">
        <v>754</v>
      </c>
    </row>
    <row r="10" spans="1:6" s="23" customFormat="1" x14ac:dyDescent="0.25">
      <c r="C10" s="23" t="s">
        <v>924</v>
      </c>
      <c r="E10" s="23" t="s">
        <v>918</v>
      </c>
    </row>
    <row r="11" spans="1:6" s="23" customFormat="1" x14ac:dyDescent="0.25">
      <c r="A11" s="23" t="s">
        <v>16</v>
      </c>
      <c r="B11" s="23" t="s">
        <v>667</v>
      </c>
      <c r="C11" s="23" t="s">
        <v>922</v>
      </c>
    </row>
    <row r="12" spans="1:6" s="23" customFormat="1" x14ac:dyDescent="0.25">
      <c r="A12" s="23" t="s">
        <v>16</v>
      </c>
      <c r="B12" s="23" t="s">
        <v>667</v>
      </c>
      <c r="C12" s="23" t="s">
        <v>921</v>
      </c>
    </row>
    <row r="13" spans="1:6" s="23" customFormat="1" x14ac:dyDescent="0.25">
      <c r="A13" s="23" t="s">
        <v>16</v>
      </c>
      <c r="B13" s="23" t="s">
        <v>667</v>
      </c>
      <c r="C13" s="23" t="s">
        <v>919</v>
      </c>
    </row>
    <row r="14" spans="1:6" s="23" customFormat="1" x14ac:dyDescent="0.25">
      <c r="A14" s="23" t="s">
        <v>16</v>
      </c>
      <c r="B14" s="23" t="s">
        <v>667</v>
      </c>
      <c r="C14" s="23" t="s">
        <v>920</v>
      </c>
    </row>
    <row r="15" spans="1:6" x14ac:dyDescent="0.25">
      <c r="A15" s="23" t="s">
        <v>16</v>
      </c>
      <c r="B15" s="23" t="s">
        <v>667</v>
      </c>
      <c r="C15" s="23" t="s">
        <v>755</v>
      </c>
    </row>
    <row r="16" spans="1:6" s="23" customFormat="1" x14ac:dyDescent="0.25">
      <c r="C16" s="23" t="s">
        <v>923</v>
      </c>
    </row>
    <row r="17" spans="1:5" s="23" customFormat="1" x14ac:dyDescent="0.25">
      <c r="C17" s="23" t="s">
        <v>843</v>
      </c>
    </row>
    <row r="18" spans="1:5" s="23" customFormat="1" x14ac:dyDescent="0.25">
      <c r="C18" s="23" t="s">
        <v>917</v>
      </c>
    </row>
    <row r="19" spans="1:5" s="23" customFormat="1" x14ac:dyDescent="0.25">
      <c r="C19" s="23" t="s">
        <v>754</v>
      </c>
    </row>
    <row r="20" spans="1:5" s="23" customFormat="1" x14ac:dyDescent="0.25">
      <c r="A20" s="23" t="s">
        <v>16</v>
      </c>
      <c r="B20" s="23" t="s">
        <v>25</v>
      </c>
      <c r="C20" s="23" t="s">
        <v>925</v>
      </c>
    </row>
    <row r="21" spans="1:5" s="23" customFormat="1" x14ac:dyDescent="0.25"/>
    <row r="22" spans="1:5" s="23" customFormat="1" x14ac:dyDescent="0.25"/>
    <row r="23" spans="1:5" x14ac:dyDescent="0.25">
      <c r="A23" t="s">
        <v>15</v>
      </c>
      <c r="B23" t="s">
        <v>405</v>
      </c>
      <c r="C23" t="s">
        <v>743</v>
      </c>
      <c r="E23" s="12" t="s">
        <v>436</v>
      </c>
    </row>
    <row r="24" spans="1:5" x14ac:dyDescent="0.25">
      <c r="C24" t="s">
        <v>747</v>
      </c>
    </row>
    <row r="25" spans="1:5" x14ac:dyDescent="0.25">
      <c r="C25" t="s">
        <v>751</v>
      </c>
    </row>
    <row r="26" spans="1:5" x14ac:dyDescent="0.25">
      <c r="A26" t="s">
        <v>16</v>
      </c>
      <c r="B26" t="s">
        <v>755</v>
      </c>
      <c r="C26" t="s">
        <v>543</v>
      </c>
    </row>
    <row r="27" spans="1:5" x14ac:dyDescent="0.25">
      <c r="C27" t="s">
        <v>744</v>
      </c>
      <c r="E27" t="s">
        <v>745</v>
      </c>
    </row>
    <row r="28" spans="1:5" x14ac:dyDescent="0.25">
      <c r="C28" t="s">
        <v>748</v>
      </c>
    </row>
    <row r="29" spans="1:5" x14ac:dyDescent="0.25">
      <c r="C29" t="s">
        <v>752</v>
      </c>
    </row>
    <row r="30" spans="1:5" x14ac:dyDescent="0.25">
      <c r="A30" t="s">
        <v>16</v>
      </c>
      <c r="B30" t="s">
        <v>754</v>
      </c>
      <c r="C30" t="s">
        <v>742</v>
      </c>
      <c r="E30" t="s">
        <v>541</v>
      </c>
    </row>
    <row r="31" spans="1:5" x14ac:dyDescent="0.25">
      <c r="C31" t="s">
        <v>556</v>
      </c>
    </row>
    <row r="32" spans="1:5" x14ac:dyDescent="0.25">
      <c r="A32" t="s">
        <v>16</v>
      </c>
      <c r="B32" t="s">
        <v>740</v>
      </c>
      <c r="C32" t="s">
        <v>916</v>
      </c>
      <c r="E32" t="s">
        <v>539</v>
      </c>
    </row>
    <row r="33" spans="1:5" x14ac:dyDescent="0.25">
      <c r="C33" t="s">
        <v>549</v>
      </c>
      <c r="E33" t="s">
        <v>540</v>
      </c>
    </row>
    <row r="34" spans="1:5" x14ac:dyDescent="0.25">
      <c r="C34" t="s">
        <v>746</v>
      </c>
    </row>
    <row r="35" spans="1:5" x14ac:dyDescent="0.25">
      <c r="C35" t="s">
        <v>739</v>
      </c>
      <c r="E35" t="s">
        <v>544</v>
      </c>
    </row>
    <row r="36" spans="1:5" x14ac:dyDescent="0.25">
      <c r="C36" t="s">
        <v>785</v>
      </c>
    </row>
    <row r="37" spans="1:5" x14ac:dyDescent="0.25">
      <c r="A37" t="s">
        <v>16</v>
      </c>
      <c r="B37" t="s">
        <v>741</v>
      </c>
      <c r="C37" t="s">
        <v>538</v>
      </c>
      <c r="E37" t="s">
        <v>541</v>
      </c>
    </row>
    <row r="38" spans="1:5" x14ac:dyDescent="0.25">
      <c r="C38" t="s">
        <v>744</v>
      </c>
    </row>
    <row r="39" spans="1:5" x14ac:dyDescent="0.25">
      <c r="A39" t="s">
        <v>16</v>
      </c>
      <c r="B39" t="s">
        <v>429</v>
      </c>
      <c r="C39" t="s">
        <v>425</v>
      </c>
    </row>
    <row r="40" spans="1:5" x14ac:dyDescent="0.25">
      <c r="C40" t="s">
        <v>428</v>
      </c>
    </row>
    <row r="41" spans="1:5" x14ac:dyDescent="0.25">
      <c r="C41" t="s">
        <v>129</v>
      </c>
    </row>
    <row r="42" spans="1:5" x14ac:dyDescent="0.25">
      <c r="C42" t="s">
        <v>427</v>
      </c>
    </row>
    <row r="43" spans="1:5" x14ac:dyDescent="0.25">
      <c r="C43" t="s">
        <v>426</v>
      </c>
    </row>
    <row r="44" spans="1:5" x14ac:dyDescent="0.25">
      <c r="C44" t="s">
        <v>753</v>
      </c>
    </row>
    <row r="49" spans="1:6" x14ac:dyDescent="0.25">
      <c r="A49" t="s">
        <v>16</v>
      </c>
      <c r="B49" t="s">
        <v>730</v>
      </c>
      <c r="C49" t="s">
        <v>731</v>
      </c>
    </row>
    <row r="50" spans="1:6" x14ac:dyDescent="0.25">
      <c r="A50" t="s">
        <v>16</v>
      </c>
      <c r="B50" t="s">
        <v>667</v>
      </c>
      <c r="C50" t="s">
        <v>704</v>
      </c>
    </row>
    <row r="51" spans="1:6" x14ac:dyDescent="0.25">
      <c r="C51" t="s">
        <v>666</v>
      </c>
    </row>
    <row r="52" spans="1:6" x14ac:dyDescent="0.25">
      <c r="C52" t="s">
        <v>549</v>
      </c>
      <c r="E52" t="s">
        <v>913</v>
      </c>
    </row>
    <row r="53" spans="1:6" x14ac:dyDescent="0.25">
      <c r="C53" t="s">
        <v>914</v>
      </c>
      <c r="E53" t="s">
        <v>915</v>
      </c>
    </row>
    <row r="54" spans="1:6" x14ac:dyDescent="0.25">
      <c r="C54" t="s">
        <v>538</v>
      </c>
    </row>
    <row r="56" spans="1:6" s="17" customFormat="1" x14ac:dyDescent="0.25"/>
    <row r="57" spans="1:6" s="17" customFormat="1" x14ac:dyDescent="0.25">
      <c r="F57" s="17" t="b">
        <f>F58=C58</f>
        <v>1</v>
      </c>
    </row>
    <row r="58" spans="1:6" s="17" customFormat="1" x14ac:dyDescent="0.25">
      <c r="A58" s="17" t="s">
        <v>16</v>
      </c>
      <c r="B58" s="17" t="s">
        <v>863</v>
      </c>
      <c r="C58" s="17" t="str">
        <f>F58</f>
        <v>runPowerShellScript:.\AddOn\syncFolders.ps1 -source "&lt;DestImagesDClick&gt;\VM22" -dest "&lt;DestImagesDClick&gt;" -files "*.png"</v>
      </c>
      <c r="E58" s="17" t="s">
        <v>864</v>
      </c>
      <c r="F58" s="17" t="str">
        <f>"runPowerShellScript:.\AddOn\syncFolders.ps1 -source ""&lt;DestImagesDClick&gt;\"&amp;const_VM&amp;""" -dest ""&lt;DestImagesDClick&gt;"" -files ""*.png"""</f>
        <v>runPowerShellScript:.\AddOn\syncFolders.ps1 -source "&lt;DestImagesDClick&gt;\VM22" -dest "&lt;DestImagesDClick&gt;" -files "*.png"</v>
      </c>
    </row>
    <row r="59" spans="1:6" s="17" customFormat="1" x14ac:dyDescent="0.25">
      <c r="C59" s="17" t="s">
        <v>910</v>
      </c>
      <c r="F59" s="17" t="s">
        <v>865</v>
      </c>
    </row>
    <row r="60" spans="1:6" s="17" customFormat="1" x14ac:dyDescent="0.25"/>
    <row r="61" spans="1:6" x14ac:dyDescent="0.25">
      <c r="A61" t="s">
        <v>16</v>
      </c>
      <c r="B61" t="s">
        <v>860</v>
      </c>
      <c r="C61" t="s">
        <v>843</v>
      </c>
    </row>
    <row r="62" spans="1:6" x14ac:dyDescent="0.25">
      <c r="C62" t="s">
        <v>750</v>
      </c>
    </row>
    <row r="63" spans="1:6" x14ac:dyDescent="0.25">
      <c r="C63" t="s">
        <v>912</v>
      </c>
      <c r="E63" t="s">
        <v>153</v>
      </c>
    </row>
    <row r="64" spans="1:6" x14ac:dyDescent="0.25">
      <c r="C64" t="str">
        <f>F58</f>
        <v>runPowerShellScript:.\AddOn\syncFolders.ps1 -source "&lt;DestImagesDClick&gt;\VM22" -dest "&lt;DestImagesDClick&gt;" -files "*.png"</v>
      </c>
    </row>
    <row r="65" spans="1:6" x14ac:dyDescent="0.25">
      <c r="A65" t="s">
        <v>16</v>
      </c>
      <c r="B65" t="s">
        <v>756</v>
      </c>
      <c r="C65" t="s">
        <v>843</v>
      </c>
    </row>
    <row r="66" spans="1:6" x14ac:dyDescent="0.25">
      <c r="C66" t="s">
        <v>750</v>
      </c>
    </row>
    <row r="67" spans="1:6" x14ac:dyDescent="0.25">
      <c r="C67" t="s">
        <v>911</v>
      </c>
      <c r="E67" t="s">
        <v>153</v>
      </c>
    </row>
    <row r="68" spans="1:6" s="17" customFormat="1" x14ac:dyDescent="0.25">
      <c r="C68" s="17" t="str">
        <f>F58</f>
        <v>runPowerShellScript:.\AddOn\syncFolders.ps1 -source "&lt;DestImagesDClick&gt;\VM22" -dest "&lt;DestImagesDClick&gt;" -files "*.png"</v>
      </c>
    </row>
    <row r="69" spans="1:6" x14ac:dyDescent="0.25">
      <c r="A69" t="s">
        <v>16</v>
      </c>
      <c r="B69" t="s">
        <v>817</v>
      </c>
      <c r="C69" t="s">
        <v>725</v>
      </c>
      <c r="E69" t="s">
        <v>545</v>
      </c>
    </row>
    <row r="70" spans="1:6" x14ac:dyDescent="0.25">
      <c r="C70" t="s">
        <v>738</v>
      </c>
      <c r="E70" t="s">
        <v>550</v>
      </c>
    </row>
    <row r="71" spans="1:6" x14ac:dyDescent="0.25">
      <c r="C71" t="s">
        <v>739</v>
      </c>
      <c r="E71" t="s">
        <v>544</v>
      </c>
    </row>
    <row r="73" spans="1:6" x14ac:dyDescent="0.25">
      <c r="A73" t="s">
        <v>16</v>
      </c>
      <c r="B73" t="s">
        <v>710</v>
      </c>
      <c r="C73" s="17" t="s">
        <v>843</v>
      </c>
    </row>
    <row r="74" spans="1:6" s="17" customFormat="1" x14ac:dyDescent="0.25">
      <c r="C74" s="17" t="s">
        <v>750</v>
      </c>
    </row>
    <row r="75" spans="1:6" s="17" customFormat="1" x14ac:dyDescent="0.25">
      <c r="C75" s="17" t="s">
        <v>913</v>
      </c>
    </row>
    <row r="76" spans="1:6" s="17" customFormat="1" x14ac:dyDescent="0.25">
      <c r="C76" s="17" t="str">
        <f>F76</f>
        <v>runPowerShellScript:.\AddOn\syncFolders.ps1 -source "&lt;DestImagesiCristal&gt;\VM22" -dest "&lt;DestImagesiCristal&gt;" -files "*.png"</v>
      </c>
      <c r="F76" s="17" t="str">
        <f>"runPowerShellScript:.\AddOn\syncFolders.ps1 -source ""&lt;DestImagesiCristal&gt;\"&amp;const_VM&amp;""" -dest ""&lt;DestImagesiCristal&gt;"" -files ""*.png"""</f>
        <v>runPowerShellScript:.\AddOn\syncFolders.ps1 -source "&lt;DestImagesiCristal&gt;\VM22" -dest "&lt;DestImagesiCristal&gt;" -files "*.png"</v>
      </c>
    </row>
    <row r="77" spans="1:6" s="17" customFormat="1" x14ac:dyDescent="0.25"/>
    <row r="78" spans="1:6" x14ac:dyDescent="0.25">
      <c r="A78" s="17" t="s">
        <v>16</v>
      </c>
      <c r="B78" s="17" t="s">
        <v>872</v>
      </c>
      <c r="C78" t="s">
        <v>726</v>
      </c>
      <c r="E78" t="s">
        <v>687</v>
      </c>
    </row>
    <row r="79" spans="1:6" x14ac:dyDescent="0.25">
      <c r="C79" t="s">
        <v>727</v>
      </c>
      <c r="E79" t="s">
        <v>545</v>
      </c>
    </row>
    <row r="80" spans="1:6" x14ac:dyDescent="0.25">
      <c r="C80" t="s">
        <v>728</v>
      </c>
      <c r="E80" t="s">
        <v>544</v>
      </c>
    </row>
    <row r="82" spans="1:9" x14ac:dyDescent="0.25">
      <c r="A82" t="s">
        <v>15</v>
      </c>
      <c r="B82" s="3" t="s">
        <v>358</v>
      </c>
      <c r="C82" t="s">
        <v>36</v>
      </c>
      <c r="D82" t="b">
        <v>0</v>
      </c>
      <c r="E82" t="s">
        <v>152</v>
      </c>
      <c r="I82" t="s">
        <v>35</v>
      </c>
    </row>
    <row r="83" spans="1:9" x14ac:dyDescent="0.25">
      <c r="C83" t="s">
        <v>542</v>
      </c>
      <c r="D83">
        <v>1.1000000000000001</v>
      </c>
    </row>
    <row r="84" spans="1:9" x14ac:dyDescent="0.25">
      <c r="C84" t="s">
        <v>459</v>
      </c>
      <c r="D84" t="s">
        <v>531</v>
      </c>
      <c r="E84" s="5" t="s">
        <v>457</v>
      </c>
    </row>
    <row r="85" spans="1:9" x14ac:dyDescent="0.25">
      <c r="C85" t="s">
        <v>460</v>
      </c>
      <c r="D85" t="s">
        <v>461</v>
      </c>
      <c r="E85" s="6" t="s">
        <v>458</v>
      </c>
    </row>
    <row r="86" spans="1:9" x14ac:dyDescent="0.25">
      <c r="C86" t="s">
        <v>692</v>
      </c>
      <c r="D86" t="s">
        <v>698</v>
      </c>
      <c r="E86" s="6"/>
    </row>
    <row r="87" spans="1:9" x14ac:dyDescent="0.25">
      <c r="C87" t="s">
        <v>693</v>
      </c>
      <c r="D87" t="s">
        <v>536</v>
      </c>
      <c r="E87" s="6"/>
    </row>
    <row r="88" spans="1:9" x14ac:dyDescent="0.25">
      <c r="C88" t="s">
        <v>694</v>
      </c>
      <c r="D88" t="s">
        <v>697</v>
      </c>
      <c r="E88" s="6"/>
    </row>
    <row r="89" spans="1:9" x14ac:dyDescent="0.25">
      <c r="C89" t="s">
        <v>695</v>
      </c>
      <c r="D89" t="s">
        <v>696</v>
      </c>
      <c r="E89" s="6"/>
    </row>
    <row r="90" spans="1:9" x14ac:dyDescent="0.25">
      <c r="C90" t="s">
        <v>547</v>
      </c>
      <c r="D90" t="s">
        <v>546</v>
      </c>
      <c r="E90" s="6"/>
    </row>
    <row r="91" spans="1:9" x14ac:dyDescent="0.25">
      <c r="C91" t="s">
        <v>548</v>
      </c>
      <c r="D91" t="s">
        <v>554</v>
      </c>
      <c r="E91" s="6"/>
    </row>
    <row r="92" spans="1:9" x14ac:dyDescent="0.25">
      <c r="C92" t="s">
        <v>551</v>
      </c>
      <c r="D92" t="s">
        <v>552</v>
      </c>
      <c r="E92" s="6"/>
    </row>
    <row r="93" spans="1:9" x14ac:dyDescent="0.25">
      <c r="C93" t="s">
        <v>555</v>
      </c>
      <c r="D93" t="s">
        <v>553</v>
      </c>
      <c r="E93" s="6"/>
    </row>
    <row r="94" spans="1:9" x14ac:dyDescent="0.25">
      <c r="C94" t="s">
        <v>557</v>
      </c>
      <c r="D94" t="s">
        <v>558</v>
      </c>
    </row>
    <row r="95" spans="1:9" x14ac:dyDescent="0.25">
      <c r="C95" t="s">
        <v>559</v>
      </c>
      <c r="D95" t="s">
        <v>560</v>
      </c>
    </row>
    <row r="96" spans="1:9" x14ac:dyDescent="0.25">
      <c r="C96" t="s">
        <v>664</v>
      </c>
      <c r="D96" t="s">
        <v>552</v>
      </c>
      <c r="E96" s="6"/>
    </row>
    <row r="97" spans="1:10" x14ac:dyDescent="0.25">
      <c r="C97" t="s">
        <v>663</v>
      </c>
      <c r="D97" t="s">
        <v>665</v>
      </c>
      <c r="E97" s="6"/>
    </row>
    <row r="98" spans="1:10" x14ac:dyDescent="0.25">
      <c r="C98" t="s">
        <v>716</v>
      </c>
      <c r="D98" s="9">
        <f ca="1">NOW()</f>
        <v>44899.399444560186</v>
      </c>
      <c r="E98" s="6"/>
      <c r="I98" t="s">
        <v>733</v>
      </c>
    </row>
    <row r="99" spans="1:10" x14ac:dyDescent="0.25">
      <c r="C99" t="s">
        <v>715</v>
      </c>
      <c r="D99" s="9">
        <f ca="1">TODAY()</f>
        <v>44899</v>
      </c>
      <c r="E99" t="s">
        <v>712</v>
      </c>
      <c r="F99" t="s">
        <v>713</v>
      </c>
      <c r="G99" t="s">
        <v>714</v>
      </c>
      <c r="H99" t="s">
        <v>732</v>
      </c>
      <c r="I99" t="s">
        <v>734</v>
      </c>
      <c r="J99" t="s">
        <v>735</v>
      </c>
    </row>
    <row r="100" spans="1:10" x14ac:dyDescent="0.25">
      <c r="C100" t="s">
        <v>709</v>
      </c>
      <c r="D100" t="b">
        <f ca="1">OR(NOT(G100&gt;$D$99),H100)</f>
        <v>0</v>
      </c>
      <c r="E100" t="str">
        <f>D93&amp;"\APAC_Daily_Sales.pdf"</f>
        <v>D:\OneDrive-Sync\Christian Dior Couture\APAC Management - Reports - Reports\DClick\APAC_Daily_Sales.pdf</v>
      </c>
      <c r="F100" t="b" cm="1">
        <f t="array" aca="1" ref="F100" ca="1">FileExists(E100,NOW())</f>
        <v>1</v>
      </c>
      <c r="G100" s="10" cm="1">
        <f t="array" aca="1" ref="G100" ca="1">IF(F100,fileModifiedDate(E100, NOW()),0)</f>
        <v>44899.305833333332</v>
      </c>
      <c r="H100" t="b">
        <f ca="1">AND(NOW()&gt;I100,NOW()&lt;J100)</f>
        <v>0</v>
      </c>
      <c r="I100" s="11">
        <f>TIME(4,0,)</f>
        <v>0.16666666666666666</v>
      </c>
      <c r="J100" s="11">
        <f>TIME(10,0,0)</f>
        <v>0.41666666666666669</v>
      </c>
    </row>
    <row r="101" spans="1:10" x14ac:dyDescent="0.25">
      <c r="C101" t="s">
        <v>871</v>
      </c>
      <c r="D101" t="b">
        <f t="shared" ref="D101:D102" ca="1" si="0">OR(NOT(G101&gt;$D$99),H101)</f>
        <v>1</v>
      </c>
      <c r="E101" t="str">
        <f>D97&amp;"\iCristalReport.pdf"</f>
        <v>D:\OneDrive-Sync\Christian Dior Couture\APAC Management - Reports - Reports\iCristal\iCristalReport.pdf</v>
      </c>
      <c r="F101" t="b" cm="1">
        <f t="array" aca="1" ref="F101" ca="1">FileExists(E101,NOW())</f>
        <v>1</v>
      </c>
      <c r="G101" s="10" cm="1">
        <f t="array" aca="1" ref="G101" ca="1">IF(F101,fileModifiedDate(E101, NOW()),0)</f>
        <v>44898.745046296295</v>
      </c>
      <c r="H101" t="b">
        <f ca="1">AND(NOW()&gt;I101,NOW()&lt;J101)</f>
        <v>0</v>
      </c>
      <c r="I101" s="11">
        <f>TIME(4,0,)</f>
        <v>0.16666666666666666</v>
      </c>
      <c r="J101" s="11">
        <f>TIME(10,0,0)</f>
        <v>0.41666666666666669</v>
      </c>
    </row>
    <row r="102" spans="1:10" x14ac:dyDescent="0.25">
      <c r="C102" t="s">
        <v>711</v>
      </c>
      <c r="D102" t="b">
        <f t="shared" ca="1" si="0"/>
        <v>1</v>
      </c>
      <c r="E102" t="str">
        <f ca="1">D99&amp;"\iCristalReport.pdf"</f>
        <v>44899\iCristalReport.pdf</v>
      </c>
      <c r="F102" t="b" cm="1">
        <f t="array" aca="1" ref="F102" ca="1">FileExists(E102,NOW())</f>
        <v>0</v>
      </c>
      <c r="G102" s="10" cm="1">
        <f t="array" aca="1" ref="G102" ca="1">IF(F102,fileModifiedDate(E102, NOW()),0)</f>
        <v>0</v>
      </c>
      <c r="H102" t="b">
        <v>1</v>
      </c>
    </row>
    <row r="103" spans="1:10" x14ac:dyDescent="0.25">
      <c r="C103" t="s">
        <v>756</v>
      </c>
      <c r="D103" t="b">
        <v>1</v>
      </c>
      <c r="E103" s="23" t="b">
        <f ca="1">runDClick_MGT</f>
        <v>0</v>
      </c>
      <c r="G103" s="10"/>
    </row>
    <row r="104" spans="1:10" x14ac:dyDescent="0.25">
      <c r="C104" t="s">
        <v>860</v>
      </c>
      <c r="D104" t="b">
        <v>1</v>
      </c>
      <c r="E104" s="23" t="b">
        <f ca="1">runDClick_CAT</f>
        <v>0</v>
      </c>
      <c r="G104" s="10"/>
    </row>
    <row r="105" spans="1:10" x14ac:dyDescent="0.25">
      <c r="C105" s="17" t="s">
        <v>863</v>
      </c>
      <c r="D105" s="17" t="b">
        <v>1</v>
      </c>
      <c r="E105" s="23" t="b">
        <f ca="1">runDClick_MGT_PDF</f>
        <v>0</v>
      </c>
      <c r="G105" s="10"/>
    </row>
    <row r="106" spans="1:10" x14ac:dyDescent="0.25">
      <c r="C106" s="17" t="s">
        <v>710</v>
      </c>
      <c r="D106" s="17" t="b">
        <f ca="1">runiCristal</f>
        <v>1</v>
      </c>
      <c r="E106" s="23" t="b">
        <f ca="1">runiCristal</f>
        <v>1</v>
      </c>
      <c r="G106" s="10"/>
    </row>
    <row r="108" spans="1:10" x14ac:dyDescent="0.25">
      <c r="A108" t="s">
        <v>16</v>
      </c>
      <c r="B108" s="3" t="s">
        <v>537</v>
      </c>
      <c r="C108" t="s">
        <v>535</v>
      </c>
      <c r="E108" s="3"/>
    </row>
    <row r="109" spans="1:10" x14ac:dyDescent="0.25">
      <c r="A109" t="s">
        <v>16</v>
      </c>
      <c r="B109" t="s">
        <v>522</v>
      </c>
      <c r="C109" t="s">
        <v>528</v>
      </c>
      <c r="E109" t="s">
        <v>520</v>
      </c>
    </row>
    <row r="110" spans="1:10" x14ac:dyDescent="0.25">
      <c r="C110" t="s">
        <v>521</v>
      </c>
      <c r="E110" t="s">
        <v>521</v>
      </c>
    </row>
    <row r="111" spans="1:10" x14ac:dyDescent="0.25">
      <c r="C111" t="s">
        <v>530</v>
      </c>
    </row>
    <row r="112" spans="1:10" x14ac:dyDescent="0.25">
      <c r="C112" t="s">
        <v>523</v>
      </c>
      <c r="E112" t="s">
        <v>524</v>
      </c>
    </row>
    <row r="113" spans="1:11" x14ac:dyDescent="0.25">
      <c r="C113" t="s">
        <v>526</v>
      </c>
      <c r="E113" t="s">
        <v>527</v>
      </c>
    </row>
    <row r="114" spans="1:11" x14ac:dyDescent="0.25">
      <c r="C114" t="s">
        <v>525</v>
      </c>
      <c r="E114" t="s">
        <v>529</v>
      </c>
    </row>
    <row r="115" spans="1:11" x14ac:dyDescent="0.25">
      <c r="A115" t="s">
        <v>16</v>
      </c>
      <c r="B115" t="s">
        <v>464</v>
      </c>
      <c r="C115" t="s">
        <v>462</v>
      </c>
      <c r="E115" t="s">
        <v>463</v>
      </c>
    </row>
    <row r="122" spans="1:11" x14ac:dyDescent="0.25">
      <c r="K122" s="4"/>
    </row>
    <row r="123" spans="1:11" x14ac:dyDescent="0.25">
      <c r="A123" t="s">
        <v>15</v>
      </c>
      <c r="B123" t="s">
        <v>9</v>
      </c>
      <c r="C123" t="s">
        <v>19</v>
      </c>
      <c r="D123" t="s">
        <v>20</v>
      </c>
      <c r="E123" s="3" t="s">
        <v>433</v>
      </c>
    </row>
    <row r="124" spans="1:11" x14ac:dyDescent="0.25">
      <c r="A124" t="s">
        <v>16</v>
      </c>
      <c r="B124" s="3" t="s">
        <v>0</v>
      </c>
      <c r="C124" t="s">
        <v>21</v>
      </c>
      <c r="D124" s="2"/>
      <c r="E124" t="s">
        <v>398</v>
      </c>
    </row>
    <row r="125" spans="1:11" x14ac:dyDescent="0.25">
      <c r="B125" s="3"/>
      <c r="C125" t="s">
        <v>688</v>
      </c>
      <c r="D125" s="2"/>
    </row>
    <row r="126" spans="1:11" x14ac:dyDescent="0.25">
      <c r="B126" s="3"/>
      <c r="C126" t="s">
        <v>341</v>
      </c>
      <c r="D126" s="2"/>
    </row>
    <row r="127" spans="1:11" x14ac:dyDescent="0.25">
      <c r="C127" t="s">
        <v>688</v>
      </c>
    </row>
    <row r="128" spans="1:11" x14ac:dyDescent="0.25">
      <c r="C128" t="s">
        <v>341</v>
      </c>
      <c r="E128" t="s">
        <v>104</v>
      </c>
    </row>
    <row r="129" spans="1:5" x14ac:dyDescent="0.25">
      <c r="C129" t="s">
        <v>719</v>
      </c>
      <c r="E129" t="s">
        <v>108</v>
      </c>
    </row>
    <row r="130" spans="1:5" x14ac:dyDescent="0.25">
      <c r="C130" t="s">
        <v>749</v>
      </c>
    </row>
    <row r="131" spans="1:5" x14ac:dyDescent="0.25">
      <c r="A131" t="s">
        <v>16</v>
      </c>
      <c r="B131" s="1" t="s">
        <v>107</v>
      </c>
      <c r="C131" t="s">
        <v>341</v>
      </c>
      <c r="E131" s="1"/>
    </row>
    <row r="132" spans="1:5" x14ac:dyDescent="0.25">
      <c r="B132" s="1"/>
      <c r="C132" t="s">
        <v>440</v>
      </c>
      <c r="E132" s="1" t="s">
        <v>344</v>
      </c>
    </row>
    <row r="133" spans="1:5" x14ac:dyDescent="0.25">
      <c r="B133" s="1"/>
      <c r="C133" t="s">
        <v>22</v>
      </c>
      <c r="E133" s="1" t="s">
        <v>105</v>
      </c>
    </row>
    <row r="134" spans="1:5" x14ac:dyDescent="0.25">
      <c r="C134" t="s">
        <v>34</v>
      </c>
      <c r="E134" t="s">
        <v>106</v>
      </c>
    </row>
    <row r="135" spans="1:5" x14ac:dyDescent="0.25">
      <c r="C135" t="s">
        <v>412</v>
      </c>
      <c r="E135" t="s">
        <v>38</v>
      </c>
    </row>
    <row r="136" spans="1:5" x14ac:dyDescent="0.25">
      <c r="C136" t="s">
        <v>7</v>
      </c>
      <c r="E136" t="s">
        <v>110</v>
      </c>
    </row>
    <row r="137" spans="1:5" x14ac:dyDescent="0.25">
      <c r="C137" t="s">
        <v>449</v>
      </c>
      <c r="E137" t="s">
        <v>450</v>
      </c>
    </row>
    <row r="138" spans="1:5" x14ac:dyDescent="0.25">
      <c r="C138" t="s">
        <v>452</v>
      </c>
      <c r="E138" t="s">
        <v>453</v>
      </c>
    </row>
    <row r="139" spans="1:5" x14ac:dyDescent="0.25">
      <c r="C139" t="s">
        <v>345</v>
      </c>
      <c r="E139" t="s">
        <v>111</v>
      </c>
    </row>
    <row r="141" spans="1:5" x14ac:dyDescent="0.25">
      <c r="A141" t="s">
        <v>16</v>
      </c>
      <c r="B141" t="s">
        <v>411</v>
      </c>
      <c r="C141" t="s">
        <v>37</v>
      </c>
    </row>
    <row r="142" spans="1:5" x14ac:dyDescent="0.25">
      <c r="C142" t="s">
        <v>456</v>
      </c>
      <c r="E142" t="s">
        <v>455</v>
      </c>
    </row>
    <row r="143" spans="1:5" x14ac:dyDescent="0.25">
      <c r="C143" t="s">
        <v>717</v>
      </c>
      <c r="E143" t="s">
        <v>718</v>
      </c>
    </row>
    <row r="144" spans="1:5" x14ac:dyDescent="0.25">
      <c r="C144" t="s">
        <v>27</v>
      </c>
    </row>
    <row r="146" spans="1:5" x14ac:dyDescent="0.25">
      <c r="A146" t="s">
        <v>16</v>
      </c>
      <c r="B146" t="s">
        <v>451</v>
      </c>
      <c r="C146" t="s">
        <v>454</v>
      </c>
      <c r="E146" t="s">
        <v>455</v>
      </c>
    </row>
    <row r="147" spans="1:5" x14ac:dyDescent="0.25">
      <c r="C147" t="s">
        <v>717</v>
      </c>
      <c r="E147" t="s">
        <v>718</v>
      </c>
    </row>
    <row r="148" spans="1:5" x14ac:dyDescent="0.25">
      <c r="C148" t="s">
        <v>27</v>
      </c>
    </row>
    <row r="149" spans="1:5" x14ac:dyDescent="0.25">
      <c r="B149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120F-AAF1-41D3-9828-098CBA70BE86}">
  <sheetPr codeName="Sheet16"/>
  <dimension ref="A1:Q195"/>
  <sheetViews>
    <sheetView zoomScale="90" zoomScaleNormal="90" workbookViewId="0">
      <selection activeCell="E24" sqref="E24"/>
    </sheetView>
  </sheetViews>
  <sheetFormatPr defaultRowHeight="15" outlineLevelRow="1" x14ac:dyDescent="0.25"/>
  <cols>
    <col min="1" max="1" width="9.140625" style="17"/>
    <col min="2" max="2" width="21.85546875" style="17" customWidth="1"/>
    <col min="3" max="3" width="33.5703125" style="17" customWidth="1"/>
    <col min="4" max="4" width="36.140625" style="17" customWidth="1"/>
    <col min="5" max="5" width="24.7109375" style="17" customWidth="1"/>
    <col min="6" max="10" width="9.140625" style="17"/>
    <col min="11" max="11" width="17.5703125" style="17" customWidth="1"/>
    <col min="12" max="12" width="15.140625" style="17" customWidth="1"/>
    <col min="13" max="16384" width="9.140625" style="17"/>
  </cols>
  <sheetData>
    <row r="1" spans="1:11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K1" s="17" t="s">
        <v>873</v>
      </c>
    </row>
    <row r="2" spans="1:11" x14ac:dyDescent="0.25">
      <c r="A2" s="17" t="s">
        <v>15</v>
      </c>
      <c r="B2" s="17" t="s">
        <v>28</v>
      </c>
      <c r="C2" s="18" t="s">
        <v>791</v>
      </c>
      <c r="D2" s="17" t="s">
        <v>874</v>
      </c>
      <c r="E2" s="17" t="s">
        <v>92</v>
      </c>
      <c r="F2" s="23" t="s">
        <v>828</v>
      </c>
      <c r="H2" s="21" t="s">
        <v>874</v>
      </c>
      <c r="K2" s="17" t="s">
        <v>828</v>
      </c>
    </row>
    <row r="3" spans="1:11" outlineLevel="1" x14ac:dyDescent="0.25">
      <c r="C3" s="17" t="s">
        <v>765</v>
      </c>
      <c r="D3" s="17" t="s">
        <v>875</v>
      </c>
      <c r="E3" s="17" t="s">
        <v>92</v>
      </c>
      <c r="F3" s="23" t="s">
        <v>766</v>
      </c>
      <c r="H3" s="22" t="s">
        <v>875</v>
      </c>
      <c r="K3" s="17" t="s">
        <v>766</v>
      </c>
    </row>
    <row r="4" spans="1:11" outlineLevel="1" x14ac:dyDescent="0.25">
      <c r="C4" s="18" t="s">
        <v>789</v>
      </c>
      <c r="D4" s="17" t="s">
        <v>826</v>
      </c>
      <c r="E4" s="17" t="s">
        <v>92</v>
      </c>
      <c r="H4" s="17" t="s">
        <v>826</v>
      </c>
      <c r="K4" s="17" t="s">
        <v>826</v>
      </c>
    </row>
    <row r="5" spans="1:11" outlineLevel="1" x14ac:dyDescent="0.25">
      <c r="C5" s="17" t="s">
        <v>764</v>
      </c>
      <c r="D5" s="17" t="s">
        <v>763</v>
      </c>
      <c r="E5" s="17" t="s">
        <v>92</v>
      </c>
      <c r="H5" s="17" t="s">
        <v>763</v>
      </c>
      <c r="K5" s="17" t="s">
        <v>763</v>
      </c>
    </row>
    <row r="6" spans="1:11" outlineLevel="1" x14ac:dyDescent="0.25">
      <c r="C6" s="18" t="s">
        <v>788</v>
      </c>
      <c r="D6" s="17" t="s">
        <v>825</v>
      </c>
      <c r="E6" s="17" t="s">
        <v>92</v>
      </c>
      <c r="H6" s="17" t="s">
        <v>825</v>
      </c>
      <c r="K6" s="17" t="s">
        <v>825</v>
      </c>
    </row>
    <row r="7" spans="1:11" outlineLevel="1" x14ac:dyDescent="0.25">
      <c r="C7" s="17" t="s">
        <v>768</v>
      </c>
      <c r="D7" s="17" t="s">
        <v>767</v>
      </c>
      <c r="E7" s="17" t="s">
        <v>92</v>
      </c>
      <c r="H7" s="17" t="s">
        <v>767</v>
      </c>
      <c r="K7" s="17" t="s">
        <v>767</v>
      </c>
    </row>
    <row r="8" spans="1:11" outlineLevel="1" x14ac:dyDescent="0.25">
      <c r="C8" s="14" t="s">
        <v>467</v>
      </c>
      <c r="D8" s="17" t="s">
        <v>468</v>
      </c>
      <c r="E8" s="17" t="s">
        <v>92</v>
      </c>
      <c r="H8" s="17" t="s">
        <v>468</v>
      </c>
      <c r="K8" s="17" t="s">
        <v>468</v>
      </c>
    </row>
    <row r="9" spans="1:11" outlineLevel="1" x14ac:dyDescent="0.25">
      <c r="C9" s="14" t="s">
        <v>466</v>
      </c>
      <c r="D9" s="17" t="s">
        <v>465</v>
      </c>
      <c r="E9" s="17" t="s">
        <v>92</v>
      </c>
      <c r="H9" s="17" t="s">
        <v>465</v>
      </c>
      <c r="K9" s="17" t="s">
        <v>465</v>
      </c>
    </row>
    <row r="10" spans="1:11" outlineLevel="1" x14ac:dyDescent="0.25">
      <c r="C10" s="18" t="s">
        <v>793</v>
      </c>
      <c r="D10" s="17" t="s">
        <v>882</v>
      </c>
      <c r="E10" s="17" t="s">
        <v>92</v>
      </c>
      <c r="F10" s="23" t="s">
        <v>827</v>
      </c>
      <c r="H10" s="22" t="s">
        <v>882</v>
      </c>
      <c r="K10" s="17" t="s">
        <v>827</v>
      </c>
    </row>
    <row r="11" spans="1:11" outlineLevel="1" x14ac:dyDescent="0.25">
      <c r="C11" s="17" t="s">
        <v>770</v>
      </c>
      <c r="D11" s="17" t="s">
        <v>883</v>
      </c>
      <c r="E11" s="17" t="s">
        <v>92</v>
      </c>
      <c r="F11" s="23" t="s">
        <v>769</v>
      </c>
      <c r="H11" s="22" t="s">
        <v>883</v>
      </c>
      <c r="K11" s="17" t="s">
        <v>769</v>
      </c>
    </row>
    <row r="12" spans="1:11" outlineLevel="1" x14ac:dyDescent="0.25">
      <c r="C12" s="18" t="s">
        <v>794</v>
      </c>
      <c r="D12" s="17" t="s">
        <v>884</v>
      </c>
      <c r="E12" s="17" t="s">
        <v>92</v>
      </c>
      <c r="F12" s="23" t="s">
        <v>830</v>
      </c>
      <c r="H12" s="22" t="s">
        <v>884</v>
      </c>
      <c r="K12" s="17" t="s">
        <v>830</v>
      </c>
    </row>
    <row r="13" spans="1:11" outlineLevel="1" x14ac:dyDescent="0.25">
      <c r="C13" s="17" t="s">
        <v>772</v>
      </c>
      <c r="D13" s="17" t="s">
        <v>909</v>
      </c>
      <c r="E13" s="17" t="s">
        <v>92</v>
      </c>
      <c r="F13" s="23" t="s">
        <v>771</v>
      </c>
      <c r="H13" s="22" t="s">
        <v>884</v>
      </c>
      <c r="K13" s="17" t="s">
        <v>771</v>
      </c>
    </row>
    <row r="14" spans="1:11" outlineLevel="1" x14ac:dyDescent="0.25">
      <c r="C14" s="18" t="s">
        <v>795</v>
      </c>
      <c r="D14" s="17" t="s">
        <v>885</v>
      </c>
      <c r="E14" s="17" t="s">
        <v>92</v>
      </c>
      <c r="F14" s="23" t="s">
        <v>831</v>
      </c>
      <c r="H14" s="22" t="s">
        <v>885</v>
      </c>
      <c r="K14" s="17" t="s">
        <v>831</v>
      </c>
    </row>
    <row r="15" spans="1:11" outlineLevel="1" x14ac:dyDescent="0.25">
      <c r="C15" s="17" t="s">
        <v>776</v>
      </c>
      <c r="D15" s="17" t="s">
        <v>886</v>
      </c>
      <c r="E15" s="17" t="s">
        <v>92</v>
      </c>
      <c r="F15" s="23" t="s">
        <v>775</v>
      </c>
      <c r="H15" s="22" t="s">
        <v>886</v>
      </c>
      <c r="K15" s="17" t="s">
        <v>775</v>
      </c>
    </row>
    <row r="16" spans="1:11" outlineLevel="1" x14ac:dyDescent="0.25">
      <c r="C16" s="18" t="s">
        <v>796</v>
      </c>
      <c r="D16" s="17" t="s">
        <v>887</v>
      </c>
      <c r="E16" s="17" t="s">
        <v>92</v>
      </c>
      <c r="F16" s="23" t="s">
        <v>832</v>
      </c>
      <c r="H16" s="22" t="s">
        <v>887</v>
      </c>
      <c r="K16" s="17" t="s">
        <v>832</v>
      </c>
    </row>
    <row r="17" spans="1:15" outlineLevel="1" x14ac:dyDescent="0.25">
      <c r="C17" s="17" t="s">
        <v>774</v>
      </c>
      <c r="D17" s="17" t="s">
        <v>888</v>
      </c>
      <c r="E17" s="17" t="s">
        <v>92</v>
      </c>
      <c r="F17" s="23" t="s">
        <v>773</v>
      </c>
      <c r="H17" s="22" t="s">
        <v>888</v>
      </c>
      <c r="K17" s="17" t="s">
        <v>773</v>
      </c>
    </row>
    <row r="18" spans="1:15" outlineLevel="1" x14ac:dyDescent="0.25">
      <c r="C18" s="18" t="s">
        <v>797</v>
      </c>
      <c r="D18" s="17" t="s">
        <v>889</v>
      </c>
      <c r="E18" s="17" t="s">
        <v>92</v>
      </c>
      <c r="F18" s="23" t="s">
        <v>833</v>
      </c>
      <c r="H18" s="22" t="s">
        <v>889</v>
      </c>
      <c r="K18" s="17" t="s">
        <v>833</v>
      </c>
    </row>
    <row r="19" spans="1:15" outlineLevel="1" x14ac:dyDescent="0.25">
      <c r="C19" s="17" t="s">
        <v>784</v>
      </c>
      <c r="D19" s="17" t="s">
        <v>890</v>
      </c>
      <c r="E19" s="17" t="s">
        <v>92</v>
      </c>
      <c r="F19" s="23" t="s">
        <v>783</v>
      </c>
      <c r="H19" s="22" t="s">
        <v>890</v>
      </c>
      <c r="K19" s="17" t="s">
        <v>783</v>
      </c>
    </row>
    <row r="20" spans="1:15" outlineLevel="1" x14ac:dyDescent="0.25">
      <c r="C20" s="18" t="s">
        <v>798</v>
      </c>
      <c r="D20" s="17" t="s">
        <v>876</v>
      </c>
      <c r="E20" s="17" t="s">
        <v>92</v>
      </c>
      <c r="F20" s="23" t="s">
        <v>834</v>
      </c>
      <c r="H20" s="22" t="s">
        <v>876</v>
      </c>
      <c r="K20" s="17" t="s">
        <v>834</v>
      </c>
    </row>
    <row r="21" spans="1:15" outlineLevel="1" x14ac:dyDescent="0.25">
      <c r="C21" s="17" t="s">
        <v>782</v>
      </c>
      <c r="D21" s="17" t="s">
        <v>877</v>
      </c>
      <c r="E21" s="17" t="s">
        <v>92</v>
      </c>
      <c r="F21" s="23" t="s">
        <v>781</v>
      </c>
      <c r="H21" s="22" t="s">
        <v>877</v>
      </c>
      <c r="K21" s="17" t="s">
        <v>781</v>
      </c>
    </row>
    <row r="22" spans="1:15" outlineLevel="1" x14ac:dyDescent="0.25">
      <c r="C22" s="18" t="s">
        <v>799</v>
      </c>
      <c r="D22" s="17" t="s">
        <v>878</v>
      </c>
      <c r="E22" s="17" t="s">
        <v>92</v>
      </c>
      <c r="F22" s="23" t="s">
        <v>829</v>
      </c>
      <c r="H22" s="22" t="s">
        <v>878</v>
      </c>
      <c r="K22" s="17" t="s">
        <v>829</v>
      </c>
    </row>
    <row r="23" spans="1:15" outlineLevel="1" x14ac:dyDescent="0.25">
      <c r="C23" s="17" t="s">
        <v>780</v>
      </c>
      <c r="D23" s="17" t="s">
        <v>879</v>
      </c>
      <c r="E23" s="17" t="s">
        <v>92</v>
      </c>
      <c r="F23" s="23" t="s">
        <v>779</v>
      </c>
      <c r="H23" s="22" t="s">
        <v>879</v>
      </c>
      <c r="K23" s="17" t="s">
        <v>779</v>
      </c>
    </row>
    <row r="24" spans="1:15" outlineLevel="1" x14ac:dyDescent="0.25">
      <c r="C24" s="18" t="s">
        <v>800</v>
      </c>
      <c r="D24" s="17" t="s">
        <v>880</v>
      </c>
      <c r="E24" s="17" t="s">
        <v>92</v>
      </c>
      <c r="F24" s="23" t="s">
        <v>835</v>
      </c>
      <c r="H24" s="22" t="s">
        <v>880</v>
      </c>
      <c r="K24" s="17" t="s">
        <v>835</v>
      </c>
    </row>
    <row r="25" spans="1:15" outlineLevel="1" x14ac:dyDescent="0.25">
      <c r="C25" s="17" t="s">
        <v>778</v>
      </c>
      <c r="D25" s="17" t="s">
        <v>881</v>
      </c>
      <c r="E25" s="17" t="s">
        <v>92</v>
      </c>
      <c r="F25" s="23" t="s">
        <v>777</v>
      </c>
      <c r="H25" s="22" t="s">
        <v>881</v>
      </c>
      <c r="K25" s="17" t="s">
        <v>777</v>
      </c>
    </row>
    <row r="26" spans="1:15" x14ac:dyDescent="0.25">
      <c r="H26" s="17" t="s">
        <v>809</v>
      </c>
      <c r="J26" s="17" t="s">
        <v>810</v>
      </c>
      <c r="K26" s="17" t="s">
        <v>808</v>
      </c>
      <c r="L26" s="17" t="s">
        <v>822</v>
      </c>
    </row>
    <row r="27" spans="1:15" x14ac:dyDescent="0.25">
      <c r="A27" s="17" t="s">
        <v>15</v>
      </c>
      <c r="B27" s="17" t="s">
        <v>758</v>
      </c>
      <c r="C27" s="13" t="b">
        <f ca="1">AND(IF(K27,K27&gt;L27,FALSE),NOT(J27))</f>
        <v>1</v>
      </c>
      <c r="D27" s="16" t="str">
        <f>$O$29&amp;H27&amp;"_NetSales.png"</f>
        <v>D:\OneDrive-Sync\Christian Dior Couture\APAC Management - Reports - Reports\DClick\Images\VM22\SubCategoryKR_NetSales.png</v>
      </c>
      <c r="E27" s="17" t="str">
        <f>RIGHT(D27,LEN(D27)-LEN($O$29))</f>
        <v>SubCategoryKR_NetSales.png</v>
      </c>
      <c r="H27" s="17" t="str">
        <f t="shared" ref="H27:H50" si="0">C2</f>
        <v>SubCategoryKR</v>
      </c>
      <c r="J27" s="17" t="b">
        <v>0</v>
      </c>
      <c r="K27" s="10" cm="1">
        <f t="array" aca="1" ref="K27" ca="1">fileModifiedDate(D27, NOW())</f>
        <v>44899.272731481484</v>
      </c>
      <c r="L27" s="19">
        <f ca="1">IF(NOW()&gt;TODAY()+TIME(3,0,0),TODAY()+TIME(3,0,0),TODAY()-1+TIME(3,0,0))</f>
        <v>44899.125</v>
      </c>
      <c r="M27" s="17" t="s">
        <v>762</v>
      </c>
    </row>
    <row r="28" spans="1:15" outlineLevel="1" x14ac:dyDescent="0.25">
      <c r="C28" s="13" t="b">
        <f t="shared" ref="C28:C50" ca="1" si="1">AND(IF(K28,K28&gt;L28,FALSE),NOT(J28))</f>
        <v>1</v>
      </c>
      <c r="D28" s="16" t="str">
        <f t="shared" ref="D28:D32" si="2">$O$29&amp;H28&amp;"_NetSales.png"</f>
        <v>D:\OneDrive-Sync\Christian Dior Couture\APAC Management - Reports - Reports\DClick\Images\VM22\CountryStoreKR_NetSales.png</v>
      </c>
      <c r="E28" s="17" t="str">
        <f t="shared" ref="E28:E50" si="3">RIGHT(D28,LEN(D28)-LEN($O$29))</f>
        <v>CountryStoreKR_NetSales.png</v>
      </c>
      <c r="H28" s="17" t="str">
        <f t="shared" si="0"/>
        <v>CountryStoreKR</v>
      </c>
      <c r="J28" s="17" t="b">
        <v>0</v>
      </c>
      <c r="K28" s="10" cm="1">
        <f t="array" aca="1" ref="K28" ca="1">fileModifiedDate(D28, NOW())</f>
        <v>44899.273530092592</v>
      </c>
      <c r="L28" s="19">
        <f ca="1">L27</f>
        <v>44899.125</v>
      </c>
      <c r="O28" s="17" t="s">
        <v>841</v>
      </c>
    </row>
    <row r="29" spans="1:15" outlineLevel="1" x14ac:dyDescent="0.25">
      <c r="C29" s="13" t="b">
        <f t="shared" ca="1" si="1"/>
        <v>1</v>
      </c>
      <c r="D29" s="16" t="str">
        <f t="shared" si="2"/>
        <v>D:\OneDrive-Sync\Christian Dior Couture\APAC Management - Reports - Reports\DClick\Images\VM22\SubCategoryHKMO_NetSales.png</v>
      </c>
      <c r="E29" s="17" t="str">
        <f t="shared" si="3"/>
        <v>SubCategoryHKMO_NetSales.png</v>
      </c>
      <c r="H29" s="17" t="str">
        <f t="shared" si="0"/>
        <v>SubCategoryHKMO</v>
      </c>
      <c r="J29" s="17" t="b">
        <v>0</v>
      </c>
      <c r="K29" s="10" cm="1">
        <f t="array" aca="1" ref="K29" ca="1">fileModifiedDate(D29, NOW())</f>
        <v>44899.274317129632</v>
      </c>
      <c r="L29" s="19">
        <f ca="1">L28</f>
        <v>44899.125</v>
      </c>
      <c r="O29" s="17" t="str">
        <f>D105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1</v>
      </c>
      <c r="D30" s="16" t="str">
        <f t="shared" si="2"/>
        <v>D:\OneDrive-Sync\Christian Dior Couture\APAC Management - Reports - Reports\DClick\Images\VM22\CountryStoreHKMO_NetSales.png</v>
      </c>
      <c r="E30" s="17" t="str">
        <f t="shared" si="3"/>
        <v>CountryStoreHKMO_NetSales.png</v>
      </c>
      <c r="H30" s="17" t="str">
        <f t="shared" si="0"/>
        <v>CountryStoreHKMO</v>
      </c>
      <c r="J30" s="17" t="b">
        <v>0</v>
      </c>
      <c r="K30" s="10" cm="1">
        <f t="array" aca="1" ref="K30" ca="1">fileModifiedDate(D30, NOW())</f>
        <v>44899.275104166663</v>
      </c>
      <c r="L30" s="19">
        <f t="shared" ref="L30:L50" ca="1" si="4">L29</f>
        <v>44899.125</v>
      </c>
    </row>
    <row r="31" spans="1:15" outlineLevel="1" x14ac:dyDescent="0.25">
      <c r="C31" s="13" t="b">
        <f t="shared" ca="1" si="1"/>
        <v>1</v>
      </c>
      <c r="D31" s="16" t="str">
        <f t="shared" si="2"/>
        <v>D:\OneDrive-Sync\Christian Dior Couture\APAC Management - Reports - Reports\DClick\Images\VM22\SubCategoryAUNZ_NetSales.png</v>
      </c>
      <c r="E31" s="17" t="str">
        <f t="shared" si="3"/>
        <v>SubCategoryAUNZ_NetSales.png</v>
      </c>
      <c r="H31" s="17" t="str">
        <f t="shared" si="0"/>
        <v>SubCategoryAUNZ</v>
      </c>
      <c r="J31" s="17" t="b">
        <v>0</v>
      </c>
      <c r="K31" s="10" cm="1">
        <f t="array" aca="1" ref="K31" ca="1">fileModifiedDate(D31, NOW())</f>
        <v>44899.275752314818</v>
      </c>
      <c r="L31" s="19">
        <f t="shared" ca="1" si="4"/>
        <v>44899.125</v>
      </c>
      <c r="O31" s="17" t="s">
        <v>844</v>
      </c>
    </row>
    <row r="32" spans="1:15" outlineLevel="1" x14ac:dyDescent="0.25">
      <c r="C32" s="13" t="b">
        <f t="shared" ca="1" si="1"/>
        <v>1</v>
      </c>
      <c r="D32" s="16" t="str">
        <f t="shared" si="2"/>
        <v>D:\OneDrive-Sync\Christian Dior Couture\APAC Management - Reports - Reports\DClick\Images\VM22\CountryStoreAUNZ_NetSales.png</v>
      </c>
      <c r="E32" s="17" t="str">
        <f t="shared" si="3"/>
        <v>CountryStoreAUNZ_NetSales.png</v>
      </c>
      <c r="H32" s="17" t="str">
        <f t="shared" si="0"/>
        <v>CountryStoreAUNZ</v>
      </c>
      <c r="J32" s="17" t="b">
        <v>0</v>
      </c>
      <c r="K32" s="10" cm="1">
        <f t="array" aca="1" ref="K32" ca="1">fileModifiedDate(D32, NOW())</f>
        <v>44899.27652777778</v>
      </c>
      <c r="L32" s="19">
        <f t="shared" ca="1" si="4"/>
        <v>44899.125</v>
      </c>
    </row>
    <row r="33" spans="3:12" outlineLevel="1" x14ac:dyDescent="0.25">
      <c r="C33" s="13" t="b">
        <f t="shared" ca="1" si="1"/>
        <v>1</v>
      </c>
      <c r="D33" s="20" t="str">
        <f>$O$29&amp;H33&amp;"_Units.png"</f>
        <v>D:\OneDrive-Sync\Christian Dior Couture\APAC Management - Reports - Reports\DClick\Images\VM22\SubCategory_Units.png</v>
      </c>
      <c r="E33" s="17" t="str">
        <f t="shared" si="3"/>
        <v>SubCategory_Units.png</v>
      </c>
      <c r="H33" s="17" t="str">
        <f t="shared" si="0"/>
        <v>SubCategory</v>
      </c>
      <c r="J33" s="17" t="b">
        <v>0</v>
      </c>
      <c r="K33" s="10" cm="1">
        <f t="array" aca="1" ref="K33" ca="1">fileModifiedDate(D33, NOW())</f>
        <v>44899.277650462966</v>
      </c>
      <c r="L33" s="19">
        <f t="shared" ca="1" si="4"/>
        <v>44899.125</v>
      </c>
    </row>
    <row r="34" spans="3:12" outlineLevel="1" x14ac:dyDescent="0.25">
      <c r="C34" s="13" t="b">
        <f t="shared" ca="1" si="1"/>
        <v>1</v>
      </c>
      <c r="D34" s="20" t="str">
        <f>$O$29&amp;H34&amp;"_Units.png"</f>
        <v>D:\OneDrive-Sync\Christian Dior Couture\APAC Management - Reports - Reports\DClick\Images\VM22\CountryStore_Units.png</v>
      </c>
      <c r="E34" s="17" t="str">
        <f t="shared" si="3"/>
        <v>CountryStore_Units.png</v>
      </c>
      <c r="H34" s="17" t="str">
        <f t="shared" si="0"/>
        <v>CountryStore</v>
      </c>
      <c r="J34" s="17" t="b">
        <v>0</v>
      </c>
      <c r="K34" s="10" cm="1">
        <f t="array" aca="1" ref="K34" ca="1">fileModifiedDate(D34, NOW())</f>
        <v>44899.278831018521</v>
      </c>
      <c r="L34" s="19">
        <f t="shared" ca="1" si="4"/>
        <v>44899.125</v>
      </c>
    </row>
    <row r="35" spans="3:12" outlineLevel="1" x14ac:dyDescent="0.25">
      <c r="C35" s="13" t="b">
        <f t="shared" ca="1" si="1"/>
        <v>1</v>
      </c>
      <c r="D35" s="16" t="str">
        <f t="shared" ref="D35:D50" si="5">$O$29&amp;H35&amp;"_NetSales.png"</f>
        <v>D:\OneDrive-Sync\Christian Dior Couture\APAC Management - Reports - Reports\DClick\Images\VM22\SubCategorySG_NetSales.png</v>
      </c>
      <c r="E35" s="17" t="str">
        <f t="shared" si="3"/>
        <v>SubCategorySG_NetSales.png</v>
      </c>
      <c r="H35" s="17" t="str">
        <f t="shared" si="0"/>
        <v>SubCategorySG</v>
      </c>
      <c r="J35" s="17" t="b">
        <v>0</v>
      </c>
      <c r="K35" s="10" cm="1">
        <f t="array" aca="1" ref="K35" ca="1">fileModifiedDate(D35, NOW())</f>
        <v>44899.27957175926</v>
      </c>
      <c r="L35" s="19">
        <f t="shared" ca="1" si="4"/>
        <v>44899.125</v>
      </c>
    </row>
    <row r="36" spans="3:12" outlineLevel="1" x14ac:dyDescent="0.25">
      <c r="C36" s="13" t="b">
        <f t="shared" ca="1" si="1"/>
        <v>1</v>
      </c>
      <c r="D36" s="16" t="str">
        <f t="shared" si="5"/>
        <v>D:\OneDrive-Sync\Christian Dior Couture\APAC Management - Reports - Reports\DClick\Images\VM22\CountryStoreSG_NetSales.png</v>
      </c>
      <c r="E36" s="17" t="str">
        <f t="shared" si="3"/>
        <v>CountryStoreSG_NetSales.png</v>
      </c>
      <c r="H36" s="17" t="str">
        <f t="shared" si="0"/>
        <v>CountryStoreSG</v>
      </c>
      <c r="J36" s="17" t="b">
        <v>0</v>
      </c>
      <c r="K36" s="10" cm="1">
        <f t="array" aca="1" ref="K36" ca="1">fileModifiedDate(D36, NOW())</f>
        <v>44899.280289351853</v>
      </c>
      <c r="L36" s="19">
        <f t="shared" ca="1" si="4"/>
        <v>44899.125</v>
      </c>
    </row>
    <row r="37" spans="3:12" outlineLevel="1" x14ac:dyDescent="0.25">
      <c r="C37" s="13" t="b">
        <f t="shared" ca="1" si="1"/>
        <v>1</v>
      </c>
      <c r="D37" s="16" t="str">
        <f t="shared" si="5"/>
        <v>D:\OneDrive-Sync\Christian Dior Couture\APAC Management - Reports - Reports\DClick\Images\VM22\SubCategoryMY_NetSales.png</v>
      </c>
      <c r="E37" s="17" t="str">
        <f t="shared" si="3"/>
        <v>SubCategoryMY_NetSales.png</v>
      </c>
      <c r="H37" s="17" t="str">
        <f t="shared" si="0"/>
        <v>SubCategoryMY</v>
      </c>
      <c r="J37" s="17" t="b">
        <v>0</v>
      </c>
      <c r="K37" s="10" cm="1">
        <f t="array" aca="1" ref="K37" ca="1">fileModifiedDate(D37, NOW())</f>
        <v>44899.281018518515</v>
      </c>
      <c r="L37" s="19">
        <f t="shared" ca="1" si="4"/>
        <v>44899.125</v>
      </c>
    </row>
    <row r="38" spans="3:12" outlineLevel="1" x14ac:dyDescent="0.25">
      <c r="C38" s="13" t="b">
        <f t="shared" ca="1" si="1"/>
        <v>1</v>
      </c>
      <c r="D38" s="16" t="str">
        <f t="shared" si="5"/>
        <v>D:\OneDrive-Sync\Christian Dior Couture\APAC Management - Reports - Reports\DClick\Images\VM22\CountryStoreMY_NetSales.png</v>
      </c>
      <c r="E38" s="17" t="str">
        <f t="shared" si="3"/>
        <v>CountryStoreMY_NetSales.png</v>
      </c>
      <c r="H38" s="17" t="str">
        <f t="shared" si="0"/>
        <v>CountryStoreMY</v>
      </c>
      <c r="J38" s="17" t="b">
        <v>0</v>
      </c>
      <c r="K38" s="10" cm="1">
        <f t="array" aca="1" ref="K38" ca="1">fileModifiedDate(D38, NOW())</f>
        <v>44899.281724537039</v>
      </c>
      <c r="L38" s="19">
        <f t="shared" ca="1" si="4"/>
        <v>44899.125</v>
      </c>
    </row>
    <row r="39" spans="3:12" outlineLevel="1" x14ac:dyDescent="0.25">
      <c r="C39" s="13" t="b">
        <f t="shared" ca="1" si="1"/>
        <v>1</v>
      </c>
      <c r="D39" s="16" t="str">
        <f t="shared" si="5"/>
        <v>D:\OneDrive-Sync\Christian Dior Couture\APAC Management - Reports - Reports\DClick\Images\VM22\SubCategoryIN_NetSales.png</v>
      </c>
      <c r="E39" s="17" t="str">
        <f t="shared" si="3"/>
        <v>SubCategoryIN_NetSales.png</v>
      </c>
      <c r="H39" s="17" t="str">
        <f t="shared" si="0"/>
        <v>SubCategoryIN</v>
      </c>
      <c r="J39" s="17" t="b">
        <v>0</v>
      </c>
      <c r="K39" s="10" cm="1">
        <f t="array" aca="1" ref="K39" ca="1">fileModifiedDate(D39, NOW())</f>
        <v>44899.282442129632</v>
      </c>
      <c r="L39" s="19">
        <f t="shared" ca="1" si="4"/>
        <v>44899.125</v>
      </c>
    </row>
    <row r="40" spans="3:12" outlineLevel="1" x14ac:dyDescent="0.25">
      <c r="C40" s="13" t="b">
        <f t="shared" ca="1" si="1"/>
        <v>1</v>
      </c>
      <c r="D40" s="16" t="str">
        <f t="shared" si="5"/>
        <v>D:\OneDrive-Sync\Christian Dior Couture\APAC Management - Reports - Reports\DClick\Images\VM22\CountryStoreIN_NetSales.png</v>
      </c>
      <c r="E40" s="17" t="str">
        <f t="shared" si="3"/>
        <v>CountryStoreIN_NetSales.png</v>
      </c>
      <c r="H40" s="17" t="str">
        <f t="shared" si="0"/>
        <v>CountryStoreIN</v>
      </c>
      <c r="J40" s="18" t="b">
        <v>0</v>
      </c>
      <c r="K40" s="10" cm="1">
        <f t="array" aca="1" ref="K40" ca="1">fileModifiedDate(D40, NOW())</f>
        <v>44899.283171296294</v>
      </c>
      <c r="L40" s="19">
        <f t="shared" ca="1" si="4"/>
        <v>44899.125</v>
      </c>
    </row>
    <row r="41" spans="3:12" outlineLevel="1" x14ac:dyDescent="0.25">
      <c r="C41" s="13" t="b">
        <f t="shared" ca="1" si="1"/>
        <v>1</v>
      </c>
      <c r="D41" s="16" t="str">
        <f t="shared" si="5"/>
        <v>D:\OneDrive-Sync\Christian Dior Couture\APAC Management - Reports - Reports\DClick\Images\VM22\SubCategoryID_NetSales.png</v>
      </c>
      <c r="E41" s="17" t="str">
        <f t="shared" si="3"/>
        <v>SubCategoryID_NetSales.png</v>
      </c>
      <c r="H41" s="17" t="str">
        <f t="shared" si="0"/>
        <v>SubCategoryID</v>
      </c>
      <c r="J41" s="18" t="b">
        <v>0</v>
      </c>
      <c r="K41" s="10" cm="1">
        <f t="array" aca="1" ref="K41" ca="1">fileModifiedDate(D41, NOW())</f>
        <v>44899.283900462964</v>
      </c>
      <c r="L41" s="19">
        <f t="shared" ca="1" si="4"/>
        <v>44899.125</v>
      </c>
    </row>
    <row r="42" spans="3:12" outlineLevel="1" x14ac:dyDescent="0.25">
      <c r="C42" s="13" t="b">
        <f t="shared" ca="1" si="1"/>
        <v>1</v>
      </c>
      <c r="D42" s="16" t="str">
        <f t="shared" si="5"/>
        <v>D:\OneDrive-Sync\Christian Dior Couture\APAC Management - Reports - Reports\DClick\Images\VM22\CountryStoreID_NetSales.png</v>
      </c>
      <c r="E42" s="17" t="str">
        <f t="shared" si="3"/>
        <v>CountryStoreID_NetSales.png</v>
      </c>
      <c r="H42" s="17" t="str">
        <f t="shared" si="0"/>
        <v>CountryStoreID</v>
      </c>
      <c r="J42" s="18" t="b">
        <v>0</v>
      </c>
      <c r="K42" s="10" cm="1">
        <f t="array" aca="1" ref="K42" ca="1">fileModifiedDate(D42, NOW())</f>
        <v>44899.284629629627</v>
      </c>
      <c r="L42" s="19">
        <f t="shared" ca="1" si="4"/>
        <v>44899.125</v>
      </c>
    </row>
    <row r="43" spans="3:12" outlineLevel="1" x14ac:dyDescent="0.25">
      <c r="C43" s="13" t="b">
        <f t="shared" ca="1" si="1"/>
        <v>1</v>
      </c>
      <c r="D43" s="16" t="str">
        <f t="shared" si="5"/>
        <v>D:\OneDrive-Sync\Christian Dior Couture\APAC Management - Reports - Reports\DClick\Images\VM22\SubCategoryPH_NetSales.png</v>
      </c>
      <c r="E43" s="17" t="str">
        <f t="shared" si="3"/>
        <v>SubCategoryPH_NetSales.png</v>
      </c>
      <c r="H43" s="17" t="str">
        <f t="shared" si="0"/>
        <v>SubCategoryPH</v>
      </c>
      <c r="J43" s="18" t="b">
        <v>0</v>
      </c>
      <c r="K43" s="10" cm="1">
        <f t="array" aca="1" ref="K43" ca="1">fileModifiedDate(D43, NOW())</f>
        <v>44899.285358796296</v>
      </c>
      <c r="L43" s="19">
        <f t="shared" ca="1" si="4"/>
        <v>44899.125</v>
      </c>
    </row>
    <row r="44" spans="3:12" outlineLevel="1" x14ac:dyDescent="0.25">
      <c r="C44" s="13" t="b">
        <f t="shared" ca="1" si="1"/>
        <v>1</v>
      </c>
      <c r="D44" s="16" t="str">
        <f t="shared" si="5"/>
        <v>D:\OneDrive-Sync\Christian Dior Couture\APAC Management - Reports - Reports\DClick\Images\VM22\CountryStorePH_NetSales.png</v>
      </c>
      <c r="E44" s="17" t="str">
        <f t="shared" si="3"/>
        <v>CountryStorePH_NetSales.png</v>
      </c>
      <c r="H44" s="17" t="str">
        <f t="shared" si="0"/>
        <v>CountryStorePH</v>
      </c>
      <c r="J44" s="18" t="b">
        <v>0</v>
      </c>
      <c r="K44" s="10" cm="1">
        <f t="array" aca="1" ref="K44" ca="1">fileModifiedDate(D44, NOW())</f>
        <v>44899.286076388889</v>
      </c>
      <c r="L44" s="19">
        <f t="shared" ca="1" si="4"/>
        <v>44899.125</v>
      </c>
    </row>
    <row r="45" spans="3:12" outlineLevel="1" x14ac:dyDescent="0.25">
      <c r="C45" s="13" t="b">
        <f t="shared" ca="1" si="1"/>
        <v>1</v>
      </c>
      <c r="D45" s="16" t="str">
        <f t="shared" si="5"/>
        <v>D:\OneDrive-Sync\Christian Dior Couture\APAC Management - Reports - Reports\DClick\Images\VM22\SubCategoryTW_NetSales.png</v>
      </c>
      <c r="E45" s="17" t="str">
        <f t="shared" si="3"/>
        <v>SubCategoryTW_NetSales.png</v>
      </c>
      <c r="H45" s="17" t="str">
        <f t="shared" si="0"/>
        <v>SubCategoryTW</v>
      </c>
      <c r="J45" s="18" t="b">
        <v>0</v>
      </c>
      <c r="K45" s="10" cm="1">
        <f t="array" aca="1" ref="K45" ca="1">fileModifiedDate(D45, NOW())</f>
        <v>44899.286805555559</v>
      </c>
      <c r="L45" s="19">
        <f t="shared" ca="1" si="4"/>
        <v>44899.125</v>
      </c>
    </row>
    <row r="46" spans="3:12" outlineLevel="1" x14ac:dyDescent="0.25">
      <c r="C46" s="13" t="b">
        <f t="shared" ca="1" si="1"/>
        <v>1</v>
      </c>
      <c r="D46" s="16" t="str">
        <f t="shared" si="5"/>
        <v>D:\OneDrive-Sync\Christian Dior Couture\APAC Management - Reports - Reports\DClick\Images\VM22\CountryStoreTW_NetSales.png</v>
      </c>
      <c r="E46" s="17" t="str">
        <f t="shared" si="3"/>
        <v>CountryStoreTW_NetSales.png</v>
      </c>
      <c r="H46" s="17" t="str">
        <f t="shared" si="0"/>
        <v>CountryStoreTW</v>
      </c>
      <c r="J46" s="18" t="b">
        <v>0</v>
      </c>
      <c r="K46" s="10" cm="1">
        <f t="array" aca="1" ref="K46" ca="1">fileModifiedDate(D46, NOW())</f>
        <v>44899.287499999999</v>
      </c>
      <c r="L46" s="19">
        <f t="shared" ca="1" si="4"/>
        <v>44899.125</v>
      </c>
    </row>
    <row r="47" spans="3:12" outlineLevel="1" x14ac:dyDescent="0.25">
      <c r="C47" s="13" t="b">
        <f t="shared" ca="1" si="1"/>
        <v>1</v>
      </c>
      <c r="D47" s="16" t="str">
        <f t="shared" si="5"/>
        <v>D:\OneDrive-Sync\Christian Dior Couture\APAC Management - Reports - Reports\DClick\Images\VM22\SubCategoryTH_NetSales.png</v>
      </c>
      <c r="E47" s="17" t="str">
        <f t="shared" si="3"/>
        <v>SubCategoryTH_NetSales.png</v>
      </c>
      <c r="H47" s="17" t="str">
        <f t="shared" si="0"/>
        <v>SubCategoryTH</v>
      </c>
      <c r="J47" s="18" t="b">
        <v>0</v>
      </c>
      <c r="K47" s="10" cm="1">
        <f t="array" aca="1" ref="K47" ca="1">fileModifiedDate(D47, NOW())</f>
        <v>44899.288217592592</v>
      </c>
      <c r="L47" s="19">
        <f t="shared" ca="1" si="4"/>
        <v>44899.125</v>
      </c>
    </row>
    <row r="48" spans="3:12" outlineLevel="1" x14ac:dyDescent="0.25">
      <c r="C48" s="13" t="b">
        <f t="shared" ca="1" si="1"/>
        <v>1</v>
      </c>
      <c r="D48" s="16" t="str">
        <f t="shared" si="5"/>
        <v>D:\OneDrive-Sync\Christian Dior Couture\APAC Management - Reports - Reports\DClick\Images\VM22\CountryStoreTH_NetSales.png</v>
      </c>
      <c r="E48" s="17" t="str">
        <f t="shared" si="3"/>
        <v>CountryStoreTH_NetSales.png</v>
      </c>
      <c r="H48" s="17" t="str">
        <f t="shared" si="0"/>
        <v>CountryStoreTH</v>
      </c>
      <c r="J48" s="18" t="b">
        <v>0</v>
      </c>
      <c r="K48" s="10" cm="1">
        <f t="array" aca="1" ref="K48" ca="1">fileModifiedDate(D48, NOW())</f>
        <v>44899.288923611108</v>
      </c>
      <c r="L48" s="19">
        <f t="shared" ca="1" si="4"/>
        <v>44899.125</v>
      </c>
    </row>
    <row r="49" spans="1:12" outlineLevel="1" x14ac:dyDescent="0.25">
      <c r="C49" s="13" t="b">
        <f t="shared" ca="1" si="1"/>
        <v>1</v>
      </c>
      <c r="D49" s="16" t="str">
        <f t="shared" si="5"/>
        <v>D:\OneDrive-Sync\Christian Dior Couture\APAC Management - Reports - Reports\DClick\Images\VM22\SubCategoryVN_NetSales.png</v>
      </c>
      <c r="E49" s="17" t="str">
        <f t="shared" si="3"/>
        <v>SubCategoryVN_NetSales.png</v>
      </c>
      <c r="H49" s="17" t="str">
        <f t="shared" si="0"/>
        <v>SubCategoryVN</v>
      </c>
      <c r="J49" s="18" t="b">
        <v>0</v>
      </c>
      <c r="K49" s="10" cm="1">
        <f t="array" aca="1" ref="K49" ca="1">fileModifiedDate(D49, NOW())</f>
        <v>44899.289664351854</v>
      </c>
      <c r="L49" s="19">
        <f t="shared" ca="1" si="4"/>
        <v>44899.125</v>
      </c>
    </row>
    <row r="50" spans="1:12" outlineLevel="1" x14ac:dyDescent="0.25">
      <c r="C50" s="13" t="b">
        <f t="shared" ca="1" si="1"/>
        <v>1</v>
      </c>
      <c r="D50" s="16" t="str">
        <f t="shared" si="5"/>
        <v>D:\OneDrive-Sync\Christian Dior Couture\APAC Management - Reports - Reports\DClick\Images\VM22\CountryStoreVN_NetSales.png</v>
      </c>
      <c r="E50" s="17" t="str">
        <f t="shared" si="3"/>
        <v>CountryStoreVN_NetSales.png</v>
      </c>
      <c r="H50" s="17" t="str">
        <f t="shared" si="0"/>
        <v>CountryStoreVN</v>
      </c>
      <c r="J50" s="18" t="b">
        <v>0</v>
      </c>
      <c r="K50" s="10" cm="1">
        <f t="array" aca="1" ref="K50" ca="1">fileModifiedDate(D50, NOW())</f>
        <v>44899.290370370371</v>
      </c>
      <c r="L50" s="19">
        <f t="shared" ca="1" si="4"/>
        <v>44899.125</v>
      </c>
    </row>
    <row r="52" spans="1:12" x14ac:dyDescent="0.25">
      <c r="A52" s="17" t="s">
        <v>15</v>
      </c>
      <c r="B52" s="17" t="s">
        <v>812</v>
      </c>
      <c r="C52" s="17" t="b">
        <f>IF(D52&gt;0,TRUE,FALSE)</f>
        <v>0</v>
      </c>
      <c r="H52" s="17" t="str">
        <f t="shared" ref="H52:H75" si="6">H27</f>
        <v>SubCategoryKR</v>
      </c>
    </row>
    <row r="53" spans="1:12" outlineLevel="1" x14ac:dyDescent="0.25">
      <c r="C53" s="17" t="b">
        <f t="shared" ref="C53:C75" si="7">IF(D53&gt;0,TRUE,FALSE)</f>
        <v>0</v>
      </c>
      <c r="F53" s="23">
        <v>870</v>
      </c>
      <c r="H53" s="17" t="str">
        <f t="shared" si="6"/>
        <v>CountryStoreKR</v>
      </c>
    </row>
    <row r="54" spans="1:12" outlineLevel="1" x14ac:dyDescent="0.25">
      <c r="C54" s="17" t="b">
        <f t="shared" si="7"/>
        <v>0</v>
      </c>
      <c r="H54" s="17" t="str">
        <f t="shared" si="6"/>
        <v>SubCategoryHKMO</v>
      </c>
    </row>
    <row r="55" spans="1:12" outlineLevel="1" x14ac:dyDescent="0.25">
      <c r="C55" s="17" t="b">
        <f t="shared" si="7"/>
        <v>1</v>
      </c>
      <c r="D55" s="17">
        <v>870</v>
      </c>
      <c r="H55" s="17" t="str">
        <f t="shared" si="6"/>
        <v>CountryStoreHKMO</v>
      </c>
    </row>
    <row r="56" spans="1:12" outlineLevel="1" x14ac:dyDescent="0.25">
      <c r="C56" s="17" t="b">
        <f t="shared" si="7"/>
        <v>0</v>
      </c>
      <c r="H56" s="17" t="str">
        <f t="shared" si="6"/>
        <v>SubCategoryAUNZ</v>
      </c>
    </row>
    <row r="57" spans="1:12" outlineLevel="1" x14ac:dyDescent="0.25">
      <c r="C57" s="17" t="b">
        <f t="shared" si="7"/>
        <v>1</v>
      </c>
      <c r="D57" s="17">
        <v>800</v>
      </c>
      <c r="H57" s="17" t="str">
        <f t="shared" si="6"/>
        <v>CountryStoreAUNZ</v>
      </c>
    </row>
    <row r="58" spans="1:12" outlineLevel="1" x14ac:dyDescent="0.25">
      <c r="C58" s="17" t="b">
        <f t="shared" si="7"/>
        <v>0</v>
      </c>
      <c r="H58" s="17" t="str">
        <f t="shared" si="6"/>
        <v>SubCategory</v>
      </c>
    </row>
    <row r="59" spans="1:12" outlineLevel="1" x14ac:dyDescent="0.25">
      <c r="C59" s="17" t="b">
        <f t="shared" si="7"/>
        <v>0</v>
      </c>
      <c r="H59" s="17" t="str">
        <f t="shared" si="6"/>
        <v>CountryStore</v>
      </c>
    </row>
    <row r="60" spans="1:12" outlineLevel="1" x14ac:dyDescent="0.25">
      <c r="C60" s="17" t="b">
        <f t="shared" si="7"/>
        <v>0</v>
      </c>
      <c r="H60" s="17" t="str">
        <f t="shared" si="6"/>
        <v>SubCategorySG</v>
      </c>
    </row>
    <row r="61" spans="1:12" outlineLevel="1" x14ac:dyDescent="0.25">
      <c r="C61" s="17" t="b">
        <f t="shared" si="7"/>
        <v>0</v>
      </c>
      <c r="F61" s="23">
        <v>600</v>
      </c>
      <c r="H61" s="17" t="str">
        <f t="shared" si="6"/>
        <v>CountryStoreSG</v>
      </c>
    </row>
    <row r="62" spans="1:12" outlineLevel="1" x14ac:dyDescent="0.25">
      <c r="C62" s="17" t="b">
        <f t="shared" si="7"/>
        <v>0</v>
      </c>
      <c r="H62" s="17" t="str">
        <f t="shared" si="6"/>
        <v>SubCategoryMY</v>
      </c>
    </row>
    <row r="63" spans="1:12" outlineLevel="1" x14ac:dyDescent="0.25">
      <c r="C63" s="17" t="b">
        <f t="shared" si="7"/>
        <v>0</v>
      </c>
      <c r="F63" s="23">
        <v>600</v>
      </c>
      <c r="H63" s="17" t="str">
        <f t="shared" si="6"/>
        <v>CountryStoreMY</v>
      </c>
    </row>
    <row r="64" spans="1:12" outlineLevel="1" x14ac:dyDescent="0.25">
      <c r="C64" s="17" t="b">
        <f t="shared" si="7"/>
        <v>0</v>
      </c>
      <c r="F64" s="23"/>
      <c r="H64" s="17" t="str">
        <f t="shared" si="6"/>
        <v>SubCategoryIN</v>
      </c>
    </row>
    <row r="65" spans="1:8" outlineLevel="1" x14ac:dyDescent="0.25">
      <c r="C65" s="17" t="b">
        <f t="shared" si="7"/>
        <v>0</v>
      </c>
      <c r="F65" s="23">
        <v>600</v>
      </c>
      <c r="H65" s="17" t="str">
        <f t="shared" si="6"/>
        <v>CountryStoreIN</v>
      </c>
    </row>
    <row r="66" spans="1:8" outlineLevel="1" x14ac:dyDescent="0.25">
      <c r="C66" s="17" t="b">
        <f t="shared" si="7"/>
        <v>0</v>
      </c>
      <c r="F66" s="23"/>
      <c r="H66" s="17" t="str">
        <f t="shared" si="6"/>
        <v>SubCategoryID</v>
      </c>
    </row>
    <row r="67" spans="1:8" outlineLevel="1" x14ac:dyDescent="0.25">
      <c r="C67" s="17" t="b">
        <f t="shared" si="7"/>
        <v>0</v>
      </c>
      <c r="F67" s="23">
        <v>600</v>
      </c>
      <c r="H67" s="17" t="str">
        <f t="shared" si="6"/>
        <v>CountryStoreID</v>
      </c>
    </row>
    <row r="68" spans="1:8" outlineLevel="1" x14ac:dyDescent="0.25">
      <c r="C68" s="17" t="b">
        <f t="shared" si="7"/>
        <v>0</v>
      </c>
      <c r="F68" s="23"/>
      <c r="H68" s="17" t="str">
        <f t="shared" si="6"/>
        <v>SubCategoryPH</v>
      </c>
    </row>
    <row r="69" spans="1:8" outlineLevel="1" x14ac:dyDescent="0.25">
      <c r="C69" s="17" t="b">
        <f t="shared" si="7"/>
        <v>0</v>
      </c>
      <c r="F69" s="23">
        <v>600</v>
      </c>
      <c r="H69" s="17" t="str">
        <f t="shared" si="6"/>
        <v>CountryStorePH</v>
      </c>
    </row>
    <row r="70" spans="1:8" outlineLevel="1" x14ac:dyDescent="0.25">
      <c r="C70" s="17" t="b">
        <f t="shared" si="7"/>
        <v>0</v>
      </c>
      <c r="F70" s="23"/>
      <c r="H70" s="17" t="str">
        <f t="shared" si="6"/>
        <v>SubCategoryTW</v>
      </c>
    </row>
    <row r="71" spans="1:8" outlineLevel="1" x14ac:dyDescent="0.25">
      <c r="C71" s="17" t="b">
        <f t="shared" si="7"/>
        <v>0</v>
      </c>
      <c r="F71" s="23">
        <v>600</v>
      </c>
      <c r="H71" s="17" t="str">
        <f t="shared" si="6"/>
        <v>CountryStoreTW</v>
      </c>
    </row>
    <row r="72" spans="1:8" outlineLevel="1" x14ac:dyDescent="0.25">
      <c r="C72" s="17" t="b">
        <f t="shared" si="7"/>
        <v>0</v>
      </c>
      <c r="F72" s="23"/>
      <c r="H72" s="17" t="str">
        <f t="shared" si="6"/>
        <v>SubCategoryTH</v>
      </c>
    </row>
    <row r="73" spans="1:8" outlineLevel="1" x14ac:dyDescent="0.25">
      <c r="C73" s="17" t="b">
        <f t="shared" si="7"/>
        <v>0</v>
      </c>
      <c r="F73" s="23">
        <v>600</v>
      </c>
      <c r="H73" s="17" t="str">
        <f t="shared" si="6"/>
        <v>CountryStoreTH</v>
      </c>
    </row>
    <row r="74" spans="1:8" outlineLevel="1" x14ac:dyDescent="0.25">
      <c r="C74" s="17" t="b">
        <f t="shared" si="7"/>
        <v>0</v>
      </c>
      <c r="F74" s="23"/>
      <c r="H74" s="17" t="str">
        <f t="shared" si="6"/>
        <v>SubCategoryVN</v>
      </c>
    </row>
    <row r="75" spans="1:8" outlineLevel="1" x14ac:dyDescent="0.25">
      <c r="C75" s="17" t="b">
        <f t="shared" si="7"/>
        <v>0</v>
      </c>
      <c r="F75" s="23">
        <v>600</v>
      </c>
      <c r="H75" s="17" t="str">
        <f t="shared" si="6"/>
        <v>CountryStoreVN</v>
      </c>
    </row>
    <row r="77" spans="1:8" x14ac:dyDescent="0.25">
      <c r="A77" s="17" t="s">
        <v>15</v>
      </c>
      <c r="B77" s="17" t="s">
        <v>838</v>
      </c>
      <c r="C77" s="17" t="b">
        <v>0</v>
      </c>
      <c r="H77" s="12" t="str">
        <f t="shared" ref="H77:H100" si="8">H52</f>
        <v>SubCategoryKR</v>
      </c>
    </row>
    <row r="78" spans="1:8" outlineLevel="1" x14ac:dyDescent="0.25">
      <c r="C78" s="17" t="b">
        <v>0</v>
      </c>
      <c r="H78" s="12" t="str">
        <f t="shared" si="8"/>
        <v>CountryStoreKR</v>
      </c>
    </row>
    <row r="79" spans="1:8" outlineLevel="1" x14ac:dyDescent="0.25">
      <c r="C79" s="17" t="b">
        <v>0</v>
      </c>
      <c r="H79" s="17" t="str">
        <f t="shared" si="8"/>
        <v>SubCategoryHKMO</v>
      </c>
    </row>
    <row r="80" spans="1:8" outlineLevel="1" x14ac:dyDescent="0.25">
      <c r="C80" s="17" t="b">
        <v>0</v>
      </c>
      <c r="H80" s="17" t="str">
        <f t="shared" si="8"/>
        <v>CountryStoreHKMO</v>
      </c>
    </row>
    <row r="81" spans="3:8" outlineLevel="1" x14ac:dyDescent="0.25">
      <c r="C81" s="17" t="b">
        <v>0</v>
      </c>
      <c r="H81" s="17" t="str">
        <f t="shared" si="8"/>
        <v>SubCategoryAUNZ</v>
      </c>
    </row>
    <row r="82" spans="3:8" outlineLevel="1" x14ac:dyDescent="0.25">
      <c r="C82" s="17" t="b">
        <v>0</v>
      </c>
      <c r="H82" s="17" t="str">
        <f t="shared" si="8"/>
        <v>CountryStoreAUNZ</v>
      </c>
    </row>
    <row r="83" spans="3:8" outlineLevel="1" x14ac:dyDescent="0.25">
      <c r="C83" s="18" t="b">
        <v>1</v>
      </c>
      <c r="H83" s="17" t="str">
        <f t="shared" si="8"/>
        <v>SubCategory</v>
      </c>
    </row>
    <row r="84" spans="3:8" outlineLevel="1" x14ac:dyDescent="0.25">
      <c r="C84" s="18" t="b">
        <v>1</v>
      </c>
      <c r="H84" s="17" t="str">
        <f t="shared" si="8"/>
        <v>CountryStore</v>
      </c>
    </row>
    <row r="85" spans="3:8" outlineLevel="1" x14ac:dyDescent="0.25">
      <c r="C85" s="17" t="b">
        <v>0</v>
      </c>
      <c r="H85" s="17" t="str">
        <f t="shared" si="8"/>
        <v>SubCategorySG</v>
      </c>
    </row>
    <row r="86" spans="3:8" outlineLevel="1" x14ac:dyDescent="0.25">
      <c r="C86" s="17" t="b">
        <v>0</v>
      </c>
      <c r="H86" s="17" t="str">
        <f t="shared" si="8"/>
        <v>CountryStoreSG</v>
      </c>
    </row>
    <row r="87" spans="3:8" outlineLevel="1" x14ac:dyDescent="0.25">
      <c r="C87" s="17" t="b">
        <v>0</v>
      </c>
      <c r="H87" s="17" t="str">
        <f t="shared" si="8"/>
        <v>SubCategoryMY</v>
      </c>
    </row>
    <row r="88" spans="3:8" outlineLevel="1" x14ac:dyDescent="0.25">
      <c r="C88" s="17" t="b">
        <v>0</v>
      </c>
      <c r="H88" s="17" t="str">
        <f t="shared" si="8"/>
        <v>CountryStoreMY</v>
      </c>
    </row>
    <row r="89" spans="3:8" outlineLevel="1" x14ac:dyDescent="0.25">
      <c r="C89" s="17" t="b">
        <v>0</v>
      </c>
      <c r="H89" s="17" t="str">
        <f t="shared" si="8"/>
        <v>SubCategoryIN</v>
      </c>
    </row>
    <row r="90" spans="3:8" outlineLevel="1" x14ac:dyDescent="0.25">
      <c r="C90" s="17" t="b">
        <v>0</v>
      </c>
      <c r="H90" s="17" t="str">
        <f t="shared" si="8"/>
        <v>CountryStoreIN</v>
      </c>
    </row>
    <row r="91" spans="3:8" outlineLevel="1" x14ac:dyDescent="0.25">
      <c r="C91" s="17" t="b">
        <v>0</v>
      </c>
      <c r="H91" s="17" t="str">
        <f t="shared" si="8"/>
        <v>SubCategoryID</v>
      </c>
    </row>
    <row r="92" spans="3:8" outlineLevel="1" x14ac:dyDescent="0.25">
      <c r="C92" s="17" t="b">
        <v>0</v>
      </c>
      <c r="H92" s="17" t="str">
        <f t="shared" si="8"/>
        <v>CountryStoreID</v>
      </c>
    </row>
    <row r="93" spans="3:8" outlineLevel="1" x14ac:dyDescent="0.25">
      <c r="C93" s="17" t="b">
        <v>0</v>
      </c>
      <c r="H93" s="17" t="str">
        <f t="shared" si="8"/>
        <v>SubCategoryPH</v>
      </c>
    </row>
    <row r="94" spans="3:8" outlineLevel="1" x14ac:dyDescent="0.25">
      <c r="C94" s="17" t="b">
        <v>0</v>
      </c>
      <c r="H94" s="17" t="str">
        <f t="shared" si="8"/>
        <v>CountryStorePH</v>
      </c>
    </row>
    <row r="95" spans="3:8" outlineLevel="1" x14ac:dyDescent="0.25">
      <c r="C95" s="17" t="b">
        <v>0</v>
      </c>
      <c r="H95" s="17" t="str">
        <f t="shared" si="8"/>
        <v>SubCategoryTW</v>
      </c>
    </row>
    <row r="96" spans="3:8" outlineLevel="1" x14ac:dyDescent="0.25">
      <c r="C96" s="17" t="b">
        <v>0</v>
      </c>
      <c r="H96" s="17" t="str">
        <f t="shared" si="8"/>
        <v>CountryStoreTW</v>
      </c>
    </row>
    <row r="97" spans="1:11" outlineLevel="1" x14ac:dyDescent="0.25">
      <c r="C97" s="17" t="b">
        <v>0</v>
      </c>
      <c r="H97" s="17" t="str">
        <f t="shared" si="8"/>
        <v>SubCategoryTH</v>
      </c>
    </row>
    <row r="98" spans="1:11" outlineLevel="1" x14ac:dyDescent="0.25">
      <c r="C98" s="17" t="b">
        <v>0</v>
      </c>
      <c r="H98" s="17" t="str">
        <f t="shared" si="8"/>
        <v>CountryStoreTH</v>
      </c>
    </row>
    <row r="99" spans="1:11" outlineLevel="1" x14ac:dyDescent="0.25">
      <c r="C99" s="17" t="b">
        <v>0</v>
      </c>
      <c r="H99" s="12" t="str">
        <f t="shared" si="8"/>
        <v>SubCategoryVN</v>
      </c>
    </row>
    <row r="100" spans="1:11" outlineLevel="1" x14ac:dyDescent="0.25">
      <c r="C100" s="17" t="b">
        <v>0</v>
      </c>
      <c r="H100" s="12" t="str">
        <f t="shared" si="8"/>
        <v>CountryStoreVN</v>
      </c>
    </row>
    <row r="102" spans="1:11" x14ac:dyDescent="0.25">
      <c r="A102" s="17" t="s">
        <v>15</v>
      </c>
      <c r="B102" s="18" t="s">
        <v>358</v>
      </c>
      <c r="C102" s="17" t="s">
        <v>360</v>
      </c>
      <c r="D102" s="16" t="s">
        <v>363</v>
      </c>
      <c r="E102" s="18" t="s">
        <v>432</v>
      </c>
      <c r="H102" s="17" t="s">
        <v>362</v>
      </c>
    </row>
    <row r="103" spans="1:11" x14ac:dyDescent="0.25">
      <c r="C103" s="17" t="s">
        <v>253</v>
      </c>
      <c r="D103" s="16" t="s">
        <v>361</v>
      </c>
    </row>
    <row r="104" spans="1:11" x14ac:dyDescent="0.25">
      <c r="C104" s="17" t="s">
        <v>365</v>
      </c>
      <c r="D104" s="16" t="s">
        <v>363</v>
      </c>
    </row>
    <row r="105" spans="1:11" x14ac:dyDescent="0.25">
      <c r="C105" s="18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5" s="17" t="s">
        <v>700</v>
      </c>
      <c r="H105" s="17" t="s">
        <v>699</v>
      </c>
      <c r="K105" s="18" t="s">
        <v>840</v>
      </c>
    </row>
    <row r="106" spans="1:11" x14ac:dyDescent="0.25">
      <c r="C106" s="17" t="s">
        <v>532</v>
      </c>
      <c r="D106" s="16" t="s">
        <v>698</v>
      </c>
      <c r="E106" s="6"/>
    </row>
    <row r="107" spans="1:11" x14ac:dyDescent="0.25">
      <c r="C107" s="17" t="s">
        <v>533</v>
      </c>
      <c r="D107" s="16" t="s">
        <v>536</v>
      </c>
      <c r="E107" s="6"/>
    </row>
    <row r="109" spans="1:11" x14ac:dyDescent="0.25">
      <c r="A109" s="17" t="s">
        <v>15</v>
      </c>
      <c r="B109" s="17" t="s">
        <v>9</v>
      </c>
      <c r="C109" s="17" t="s">
        <v>93</v>
      </c>
      <c r="D109" s="17" t="s">
        <v>23</v>
      </c>
      <c r="E109" s="18" t="s">
        <v>433</v>
      </c>
    </row>
    <row r="111" spans="1:11" x14ac:dyDescent="0.25">
      <c r="A111" s="17" t="s">
        <v>15</v>
      </c>
      <c r="B111" s="17" t="s">
        <v>405</v>
      </c>
      <c r="C111" s="17" t="s">
        <v>406</v>
      </c>
      <c r="E111" s="18" t="s">
        <v>436</v>
      </c>
    </row>
    <row r="112" spans="1:11" x14ac:dyDescent="0.25">
      <c r="E112" s="18"/>
    </row>
    <row r="113" spans="1:5" x14ac:dyDescent="0.25">
      <c r="A113" s="17" t="s">
        <v>16</v>
      </c>
      <c r="B113" s="18" t="s">
        <v>25</v>
      </c>
      <c r="C113" s="17" t="s">
        <v>757</v>
      </c>
      <c r="E113" s="17" t="s">
        <v>148</v>
      </c>
    </row>
    <row r="114" spans="1:5" x14ac:dyDescent="0.25">
      <c r="B114" s="18"/>
      <c r="C114" s="17" t="s">
        <v>435</v>
      </c>
      <c r="D114" s="18"/>
    </row>
    <row r="115" spans="1:5" x14ac:dyDescent="0.25">
      <c r="C115" s="17" t="s">
        <v>95</v>
      </c>
    </row>
    <row r="116" spans="1:5" x14ac:dyDescent="0.25">
      <c r="B116" s="18"/>
      <c r="C116" s="17" t="s">
        <v>760</v>
      </c>
      <c r="E116" s="17" t="s">
        <v>371</v>
      </c>
    </row>
    <row r="117" spans="1:5" x14ac:dyDescent="0.25">
      <c r="A117" s="17" t="s">
        <v>16</v>
      </c>
      <c r="B117" s="18" t="s">
        <v>667</v>
      </c>
      <c r="C117" s="17" t="s">
        <v>824</v>
      </c>
    </row>
    <row r="119" spans="1:5" x14ac:dyDescent="0.25">
      <c r="A119" s="17" t="s">
        <v>16</v>
      </c>
      <c r="B119" s="18" t="s">
        <v>95</v>
      </c>
      <c r="C119" s="17" t="s">
        <v>94</v>
      </c>
    </row>
    <row r="120" spans="1:5" x14ac:dyDescent="0.25">
      <c r="C120" s="17" t="s">
        <v>688</v>
      </c>
    </row>
    <row r="121" spans="1:5" x14ac:dyDescent="0.25">
      <c r="C121" s="17" t="s">
        <v>339</v>
      </c>
      <c r="E121" s="17" t="s">
        <v>104</v>
      </c>
    </row>
    <row r="122" spans="1:5" x14ac:dyDescent="0.25">
      <c r="C122" s="17" t="s">
        <v>114</v>
      </c>
    </row>
    <row r="123" spans="1:5" x14ac:dyDescent="0.25">
      <c r="A123" s="17" t="s">
        <v>16</v>
      </c>
      <c r="B123" s="17" t="s">
        <v>114</v>
      </c>
      <c r="C123" s="17" t="s">
        <v>448</v>
      </c>
      <c r="E123" s="17" t="s">
        <v>115</v>
      </c>
    </row>
    <row r="125" spans="1:5" x14ac:dyDescent="0.25">
      <c r="A125" s="17" t="s">
        <v>16</v>
      </c>
      <c r="B125" s="17" t="s">
        <v>759</v>
      </c>
      <c r="C125" s="17" t="s">
        <v>761</v>
      </c>
    </row>
    <row r="126" spans="1:5" x14ac:dyDescent="0.25">
      <c r="A126" s="17" t="s">
        <v>16</v>
      </c>
      <c r="B126" s="18" t="s">
        <v>32</v>
      </c>
      <c r="C126" s="17" t="s">
        <v>721</v>
      </c>
    </row>
    <row r="127" spans="1:5" x14ac:dyDescent="0.25">
      <c r="B127" s="18"/>
      <c r="C127" s="17" t="s">
        <v>118</v>
      </c>
    </row>
    <row r="128" spans="1:5" s="23" customFormat="1" x14ac:dyDescent="0.25">
      <c r="B128" s="24"/>
      <c r="C128" s="23" t="s">
        <v>902</v>
      </c>
    </row>
    <row r="129" spans="1:12" x14ac:dyDescent="0.25">
      <c r="C129" s="23" t="s">
        <v>903</v>
      </c>
      <c r="D129" s="23"/>
      <c r="E129" s="23" t="s">
        <v>122</v>
      </c>
    </row>
    <row r="130" spans="1:12" x14ac:dyDescent="0.25">
      <c r="C130" s="23" t="s">
        <v>904</v>
      </c>
      <c r="D130" s="23"/>
      <c r="E130" s="23" t="s">
        <v>57</v>
      </c>
    </row>
    <row r="131" spans="1:12" x14ac:dyDescent="0.25">
      <c r="C131" s="17" t="s">
        <v>837</v>
      </c>
    </row>
    <row r="132" spans="1:12" x14ac:dyDescent="0.25">
      <c r="C132" s="17" t="s">
        <v>839</v>
      </c>
    </row>
    <row r="133" spans="1:12" x14ac:dyDescent="0.25">
      <c r="A133" s="17" t="s">
        <v>16</v>
      </c>
      <c r="B133" s="17" t="s">
        <v>900</v>
      </c>
      <c r="C133" s="23" t="s">
        <v>901</v>
      </c>
    </row>
    <row r="134" spans="1:12" x14ac:dyDescent="0.25">
      <c r="A134" s="17" t="s">
        <v>16</v>
      </c>
      <c r="B134" s="17" t="s">
        <v>837</v>
      </c>
      <c r="C134" s="17" t="s">
        <v>56</v>
      </c>
    </row>
    <row r="135" spans="1:12" x14ac:dyDescent="0.25">
      <c r="C135" s="17" t="s">
        <v>377</v>
      </c>
    </row>
    <row r="136" spans="1:12" x14ac:dyDescent="0.25">
      <c r="C136" s="17" t="s">
        <v>401</v>
      </c>
      <c r="E136" s="17" t="s">
        <v>722</v>
      </c>
      <c r="L136" s="17" t="s">
        <v>401</v>
      </c>
    </row>
    <row r="137" spans="1:12" x14ac:dyDescent="0.25">
      <c r="C137" s="17" t="s">
        <v>815</v>
      </c>
      <c r="E137" s="17" t="s">
        <v>811</v>
      </c>
    </row>
    <row r="138" spans="1:12" x14ac:dyDescent="0.25">
      <c r="A138" s="17" t="s">
        <v>16</v>
      </c>
      <c r="B138" s="17" t="s">
        <v>836</v>
      </c>
      <c r="C138" s="17" t="s">
        <v>58</v>
      </c>
    </row>
    <row r="139" spans="1:12" x14ac:dyDescent="0.25">
      <c r="C139" s="17" t="s">
        <v>377</v>
      </c>
    </row>
    <row r="140" spans="1:12" x14ac:dyDescent="0.25">
      <c r="C140" s="17" t="s">
        <v>402</v>
      </c>
    </row>
    <row r="144" spans="1:12" x14ac:dyDescent="0.25">
      <c r="A144" s="17" t="s">
        <v>16</v>
      </c>
      <c r="B144" s="17" t="s">
        <v>823</v>
      </c>
      <c r="C144" s="17" t="s">
        <v>815</v>
      </c>
      <c r="E144" s="17" t="s">
        <v>811</v>
      </c>
    </row>
    <row r="146" spans="1:11" x14ac:dyDescent="0.25">
      <c r="A146" s="17" t="s">
        <v>16</v>
      </c>
      <c r="B146" s="17" t="s">
        <v>813</v>
      </c>
      <c r="C146" s="17" t="s">
        <v>816</v>
      </c>
    </row>
    <row r="147" spans="1:11" x14ac:dyDescent="0.25">
      <c r="C147" s="17" t="s">
        <v>820</v>
      </c>
      <c r="E147" s="17" t="s">
        <v>814</v>
      </c>
      <c r="K147" s="17" t="s">
        <v>821</v>
      </c>
    </row>
    <row r="149" spans="1:11" x14ac:dyDescent="0.25">
      <c r="A149" s="17" t="s">
        <v>16</v>
      </c>
      <c r="B149" s="17" t="s">
        <v>818</v>
      </c>
      <c r="C149" s="17" t="s">
        <v>819</v>
      </c>
    </row>
    <row r="152" spans="1:11" x14ac:dyDescent="0.25">
      <c r="A152" s="17" t="s">
        <v>16</v>
      </c>
      <c r="B152" s="17" t="s">
        <v>118</v>
      </c>
      <c r="C152" s="17" t="s">
        <v>399</v>
      </c>
      <c r="D152" s="17" t="s">
        <v>29</v>
      </c>
      <c r="E152" s="17" t="s">
        <v>117</v>
      </c>
    </row>
    <row r="153" spans="1:11" x14ac:dyDescent="0.25">
      <c r="C153" s="17" t="s">
        <v>441</v>
      </c>
    </row>
    <row r="154" spans="1:11" x14ac:dyDescent="0.25">
      <c r="A154" s="17" t="s">
        <v>16</v>
      </c>
      <c r="B154" s="17" t="s">
        <v>441</v>
      </c>
      <c r="C154" s="17" t="s">
        <v>442</v>
      </c>
    </row>
    <row r="155" spans="1:11" x14ac:dyDescent="0.25">
      <c r="A155" s="17" t="s">
        <v>16</v>
      </c>
      <c r="B155" s="17" t="s">
        <v>122</v>
      </c>
      <c r="C155" s="17" t="s">
        <v>348</v>
      </c>
      <c r="E155" s="17" t="s">
        <v>126</v>
      </c>
    </row>
    <row r="156" spans="1:11" x14ac:dyDescent="0.25">
      <c r="C156" s="17" t="s">
        <v>349</v>
      </c>
      <c r="E156" s="17" t="s">
        <v>127</v>
      </c>
    </row>
    <row r="157" spans="1:11" x14ac:dyDescent="0.25">
      <c r="A157" s="17" t="s">
        <v>16</v>
      </c>
      <c r="B157" s="17" t="s">
        <v>124</v>
      </c>
      <c r="C157" s="17" t="s">
        <v>350</v>
      </c>
      <c r="E157" s="17" t="s">
        <v>128</v>
      </c>
    </row>
    <row r="158" spans="1:11" x14ac:dyDescent="0.25">
      <c r="C158" s="17" t="s">
        <v>2</v>
      </c>
    </row>
    <row r="159" spans="1:11" x14ac:dyDescent="0.25">
      <c r="C159" s="17" t="s">
        <v>129</v>
      </c>
    </row>
    <row r="160" spans="1:11" x14ac:dyDescent="0.25">
      <c r="C160" s="17" t="s">
        <v>120</v>
      </c>
      <c r="E160" s="17" t="s">
        <v>131</v>
      </c>
    </row>
    <row r="161" spans="1:17" x14ac:dyDescent="0.25">
      <c r="C161" s="17" t="s">
        <v>121</v>
      </c>
      <c r="E161" s="17" t="s">
        <v>132</v>
      </c>
    </row>
    <row r="162" spans="1:17" x14ac:dyDescent="0.25">
      <c r="C162" s="17" t="s">
        <v>351</v>
      </c>
      <c r="E162" s="17" t="s">
        <v>133</v>
      </c>
    </row>
    <row r="163" spans="1:17" x14ac:dyDescent="0.25">
      <c r="A163" s="17" t="s">
        <v>16</v>
      </c>
      <c r="B163" s="17" t="s">
        <v>134</v>
      </c>
      <c r="C163" s="17" t="s">
        <v>27</v>
      </c>
    </row>
    <row r="165" spans="1:17" x14ac:dyDescent="0.25">
      <c r="A165" s="17" t="s">
        <v>16</v>
      </c>
      <c r="B165" s="17" t="s">
        <v>57</v>
      </c>
      <c r="C165" s="17" t="s">
        <v>61</v>
      </c>
      <c r="E165" s="17" t="s">
        <v>99</v>
      </c>
    </row>
    <row r="166" spans="1:17" x14ac:dyDescent="0.25">
      <c r="A166" s="17" t="s">
        <v>16</v>
      </c>
      <c r="B166" s="17" t="s">
        <v>56</v>
      </c>
      <c r="C166" s="17" t="s">
        <v>60</v>
      </c>
      <c r="E166" s="17" t="s">
        <v>100</v>
      </c>
    </row>
    <row r="167" spans="1:17" x14ac:dyDescent="0.25">
      <c r="A167" s="17" t="s">
        <v>16</v>
      </c>
      <c r="B167" s="17" t="s">
        <v>58</v>
      </c>
      <c r="C167" s="17" t="s">
        <v>59</v>
      </c>
      <c r="E167" s="17" t="s">
        <v>101</v>
      </c>
    </row>
    <row r="168" spans="1:17" x14ac:dyDescent="0.25">
      <c r="A168" s="17" t="s">
        <v>16</v>
      </c>
      <c r="B168" s="17" t="s">
        <v>63</v>
      </c>
      <c r="C168" s="17" t="s">
        <v>907</v>
      </c>
      <c r="E168" s="17" t="s">
        <v>102</v>
      </c>
      <c r="H168" s="23" t="s">
        <v>342</v>
      </c>
      <c r="L168" s="17" t="s">
        <v>905</v>
      </c>
      <c r="Q168" s="17" t="s">
        <v>906</v>
      </c>
    </row>
    <row r="170" spans="1:17" x14ac:dyDescent="0.25">
      <c r="A170" s="17" t="s">
        <v>16</v>
      </c>
      <c r="B170" s="17" t="s">
        <v>377</v>
      </c>
      <c r="C170" s="17" t="s">
        <v>340</v>
      </c>
      <c r="E170" s="17" t="s">
        <v>143</v>
      </c>
    </row>
    <row r="171" spans="1:17" x14ac:dyDescent="0.25">
      <c r="C171" s="17" t="s">
        <v>908</v>
      </c>
    </row>
    <row r="172" spans="1:17" x14ac:dyDescent="0.25">
      <c r="C172" s="17" t="s">
        <v>63</v>
      </c>
      <c r="E172" s="17" t="s">
        <v>144</v>
      </c>
    </row>
    <row r="173" spans="1:17" x14ac:dyDescent="0.25">
      <c r="C173" s="17" t="s">
        <v>17</v>
      </c>
      <c r="E173" s="17" t="s">
        <v>439</v>
      </c>
    </row>
    <row r="174" spans="1:17" x14ac:dyDescent="0.25">
      <c r="A174" s="17" t="s">
        <v>16</v>
      </c>
      <c r="B174" s="17" t="s">
        <v>17</v>
      </c>
      <c r="C174" s="17" t="s">
        <v>443</v>
      </c>
    </row>
    <row r="175" spans="1:17" x14ac:dyDescent="0.25">
      <c r="C175" s="17" t="s">
        <v>3</v>
      </c>
      <c r="E175" s="17" t="s">
        <v>97</v>
      </c>
    </row>
    <row r="176" spans="1:17" x14ac:dyDescent="0.25">
      <c r="C176" s="17" t="s">
        <v>444</v>
      </c>
      <c r="E176" s="17" t="s">
        <v>355</v>
      </c>
    </row>
    <row r="177" spans="1:7" x14ac:dyDescent="0.25">
      <c r="C177" s="17" t="s">
        <v>4</v>
      </c>
      <c r="E177" s="17" t="s">
        <v>96</v>
      </c>
    </row>
    <row r="178" spans="1:7" x14ac:dyDescent="0.25">
      <c r="C178" s="17" t="s">
        <v>445</v>
      </c>
    </row>
    <row r="179" spans="1:7" x14ac:dyDescent="0.25">
      <c r="C179" s="17" t="s">
        <v>5</v>
      </c>
    </row>
    <row r="180" spans="1:7" x14ac:dyDescent="0.25">
      <c r="C180" s="17" t="s">
        <v>446</v>
      </c>
    </row>
    <row r="181" spans="1:7" x14ac:dyDescent="0.25">
      <c r="C181" s="17" t="s">
        <v>6</v>
      </c>
    </row>
    <row r="182" spans="1:7" x14ac:dyDescent="0.25">
      <c r="C182" s="17" t="s">
        <v>24</v>
      </c>
      <c r="E182" s="17" t="s">
        <v>146</v>
      </c>
    </row>
    <row r="183" spans="1:7" x14ac:dyDescent="0.25">
      <c r="C183" s="17" t="s">
        <v>341</v>
      </c>
      <c r="E183" s="17" t="s">
        <v>145</v>
      </c>
    </row>
    <row r="184" spans="1:7" x14ac:dyDescent="0.25">
      <c r="C184" s="17" t="s">
        <v>65</v>
      </c>
      <c r="E184" s="17" t="s">
        <v>137</v>
      </c>
    </row>
    <row r="185" spans="1:7" x14ac:dyDescent="0.25">
      <c r="A185" s="17" t="s">
        <v>16</v>
      </c>
      <c r="B185" s="17" t="s">
        <v>378</v>
      </c>
      <c r="C185" s="17" t="s">
        <v>382</v>
      </c>
    </row>
    <row r="186" spans="1:7" x14ac:dyDescent="0.25">
      <c r="C186" s="17" t="s">
        <v>3</v>
      </c>
      <c r="E186" s="17" t="s">
        <v>97</v>
      </c>
    </row>
    <row r="187" spans="1:7" x14ac:dyDescent="0.25">
      <c r="C187" s="17" t="s">
        <v>383</v>
      </c>
      <c r="E187" s="17" t="s">
        <v>355</v>
      </c>
    </row>
    <row r="188" spans="1:7" x14ac:dyDescent="0.25">
      <c r="C188" s="17" t="s">
        <v>379</v>
      </c>
      <c r="E188" s="17" t="s">
        <v>380</v>
      </c>
      <c r="G188" s="17" t="s">
        <v>381</v>
      </c>
    </row>
    <row r="189" spans="1:7" x14ac:dyDescent="0.25">
      <c r="C189" s="17" t="s">
        <v>384</v>
      </c>
    </row>
    <row r="190" spans="1:7" x14ac:dyDescent="0.25">
      <c r="C190" s="17" t="s">
        <v>5</v>
      </c>
    </row>
    <row r="191" spans="1:7" x14ac:dyDescent="0.25">
      <c r="C191" s="17" t="s">
        <v>385</v>
      </c>
    </row>
    <row r="192" spans="1:7" x14ac:dyDescent="0.25">
      <c r="C192" s="17" t="s">
        <v>6</v>
      </c>
    </row>
    <row r="193" spans="3:5" x14ac:dyDescent="0.25">
      <c r="C193" s="17" t="s">
        <v>24</v>
      </c>
      <c r="E193" s="17" t="s">
        <v>146</v>
      </c>
    </row>
    <row r="194" spans="3:5" x14ac:dyDescent="0.25">
      <c r="C194" s="17" t="s">
        <v>341</v>
      </c>
      <c r="E194" s="17" t="s">
        <v>386</v>
      </c>
    </row>
    <row r="195" spans="3:5" x14ac:dyDescent="0.25">
      <c r="C195" s="17" t="s">
        <v>65</v>
      </c>
      <c r="E195" s="17" t="s">
        <v>137</v>
      </c>
    </row>
  </sheetData>
  <hyperlinks>
    <hyperlink ref="C119" r:id="rId1" xr:uid="{DC82F606-CDB7-4248-9AAB-ECEB58B17209}"/>
    <hyperlink ref="D152" r:id="rId2" display="url:URL_Dclick_Pages" xr:uid="{F77C57F0-C386-41D6-A04E-3CB673130DC8}"/>
    <hyperlink ref="C152" r:id="rId3" display="url:URL_Dclick_Pages" xr:uid="{EFD052B0-F69C-4BA3-8099-EBCB45839DC8}"/>
    <hyperlink ref="H2" r:id="rId4" xr:uid="{ABA2C79E-9644-4E10-B18D-5674D485D6E2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0B52-E46A-47EA-A437-FE7D9E620EBB}">
  <sheetPr codeName="Sheet17"/>
  <dimension ref="A1:O195"/>
  <sheetViews>
    <sheetView topLeftCell="A157" zoomScale="90" zoomScaleNormal="90" workbookViewId="0">
      <selection activeCell="D10" sqref="D10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11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K1" s="23" t="s">
        <v>873</v>
      </c>
    </row>
    <row r="2" spans="1:11" x14ac:dyDescent="0.25">
      <c r="A2" s="23" t="s">
        <v>15</v>
      </c>
      <c r="B2" s="23" t="s">
        <v>28</v>
      </c>
      <c r="C2" s="24" t="s">
        <v>791</v>
      </c>
      <c r="D2" s="23" t="s">
        <v>828</v>
      </c>
      <c r="E2" s="23" t="s">
        <v>92</v>
      </c>
      <c r="H2" s="21" t="s">
        <v>874</v>
      </c>
      <c r="K2" s="23" t="s">
        <v>828</v>
      </c>
    </row>
    <row r="3" spans="1:11" outlineLevel="1" x14ac:dyDescent="0.25">
      <c r="C3" s="23" t="s">
        <v>765</v>
      </c>
      <c r="D3" s="23" t="s">
        <v>766</v>
      </c>
      <c r="E3" s="23" t="s">
        <v>92</v>
      </c>
      <c r="H3" s="22" t="s">
        <v>875</v>
      </c>
      <c r="K3" s="23" t="s">
        <v>766</v>
      </c>
    </row>
    <row r="4" spans="1:11" outlineLevel="1" x14ac:dyDescent="0.25">
      <c r="C4" s="24" t="s">
        <v>789</v>
      </c>
      <c r="D4" s="23" t="s">
        <v>826</v>
      </c>
      <c r="E4" s="23" t="s">
        <v>92</v>
      </c>
      <c r="H4" s="23" t="s">
        <v>826</v>
      </c>
      <c r="K4" s="23" t="s">
        <v>826</v>
      </c>
    </row>
    <row r="5" spans="1:11" outlineLevel="1" x14ac:dyDescent="0.25">
      <c r="C5" s="23" t="s">
        <v>764</v>
      </c>
      <c r="D5" s="23" t="s">
        <v>763</v>
      </c>
      <c r="E5" s="23" t="s">
        <v>92</v>
      </c>
      <c r="H5" s="23" t="s">
        <v>763</v>
      </c>
      <c r="K5" s="23" t="s">
        <v>763</v>
      </c>
    </row>
    <row r="6" spans="1:11" outlineLevel="1" x14ac:dyDescent="0.25">
      <c r="C6" s="24" t="s">
        <v>788</v>
      </c>
      <c r="D6" s="23" t="s">
        <v>825</v>
      </c>
      <c r="E6" s="23" t="s">
        <v>92</v>
      </c>
      <c r="H6" s="23" t="s">
        <v>825</v>
      </c>
      <c r="K6" s="23" t="s">
        <v>825</v>
      </c>
    </row>
    <row r="7" spans="1:11" outlineLevel="1" x14ac:dyDescent="0.25">
      <c r="C7" s="23" t="s">
        <v>768</v>
      </c>
      <c r="D7" s="23" t="s">
        <v>767</v>
      </c>
      <c r="E7" s="23" t="s">
        <v>92</v>
      </c>
      <c r="H7" s="23" t="s">
        <v>767</v>
      </c>
      <c r="K7" s="23" t="s">
        <v>767</v>
      </c>
    </row>
    <row r="8" spans="1:11" outlineLevel="1" x14ac:dyDescent="0.25">
      <c r="C8" s="14" t="s">
        <v>467</v>
      </c>
      <c r="D8" s="23" t="s">
        <v>468</v>
      </c>
      <c r="E8" s="23" t="s">
        <v>92</v>
      </c>
      <c r="H8" s="23" t="s">
        <v>468</v>
      </c>
      <c r="K8" s="23" t="s">
        <v>468</v>
      </c>
    </row>
    <row r="9" spans="1:11" outlineLevel="1" x14ac:dyDescent="0.25">
      <c r="C9" s="14" t="s">
        <v>466</v>
      </c>
      <c r="D9" s="23" t="s">
        <v>465</v>
      </c>
      <c r="E9" s="23" t="s">
        <v>92</v>
      </c>
      <c r="H9" s="23" t="s">
        <v>465</v>
      </c>
      <c r="K9" s="23" t="s">
        <v>465</v>
      </c>
    </row>
    <row r="10" spans="1:11" outlineLevel="1" x14ac:dyDescent="0.25">
      <c r="C10" s="24" t="s">
        <v>793</v>
      </c>
      <c r="D10" s="23" t="s">
        <v>827</v>
      </c>
      <c r="E10" s="23" t="s">
        <v>92</v>
      </c>
      <c r="H10" s="22" t="s">
        <v>882</v>
      </c>
      <c r="K10" s="23" t="s">
        <v>827</v>
      </c>
    </row>
    <row r="11" spans="1:11" outlineLevel="1" x14ac:dyDescent="0.25">
      <c r="C11" s="23" t="s">
        <v>770</v>
      </c>
      <c r="D11" s="23" t="s">
        <v>769</v>
      </c>
      <c r="E11" s="23" t="s">
        <v>92</v>
      </c>
      <c r="H11" s="22" t="s">
        <v>883</v>
      </c>
      <c r="K11" s="23" t="s">
        <v>769</v>
      </c>
    </row>
    <row r="12" spans="1:11" outlineLevel="1" x14ac:dyDescent="0.25">
      <c r="C12" s="24" t="s">
        <v>794</v>
      </c>
      <c r="D12" s="23" t="s">
        <v>830</v>
      </c>
      <c r="E12" s="23" t="s">
        <v>92</v>
      </c>
      <c r="H12" s="22" t="s">
        <v>884</v>
      </c>
      <c r="K12" s="23" t="s">
        <v>830</v>
      </c>
    </row>
    <row r="13" spans="1:11" outlineLevel="1" x14ac:dyDescent="0.25">
      <c r="C13" s="23" t="s">
        <v>772</v>
      </c>
      <c r="D13" s="23" t="s">
        <v>771</v>
      </c>
      <c r="E13" s="23" t="s">
        <v>92</v>
      </c>
      <c r="H13" s="22" t="s">
        <v>884</v>
      </c>
      <c r="K13" s="23" t="s">
        <v>771</v>
      </c>
    </row>
    <row r="14" spans="1:11" outlineLevel="1" x14ac:dyDescent="0.25">
      <c r="C14" s="24" t="s">
        <v>795</v>
      </c>
      <c r="D14" s="23" t="s">
        <v>831</v>
      </c>
      <c r="E14" s="23" t="s">
        <v>92</v>
      </c>
      <c r="H14" s="22" t="s">
        <v>885</v>
      </c>
      <c r="K14" s="23" t="s">
        <v>831</v>
      </c>
    </row>
    <row r="15" spans="1:11" outlineLevel="1" x14ac:dyDescent="0.25">
      <c r="C15" s="23" t="s">
        <v>776</v>
      </c>
      <c r="D15" s="23" t="s">
        <v>775</v>
      </c>
      <c r="E15" s="23" t="s">
        <v>92</v>
      </c>
      <c r="H15" s="22" t="s">
        <v>886</v>
      </c>
      <c r="K15" s="23" t="s">
        <v>775</v>
      </c>
    </row>
    <row r="16" spans="1:11" outlineLevel="1" x14ac:dyDescent="0.25">
      <c r="C16" s="24" t="s">
        <v>796</v>
      </c>
      <c r="D16" s="23" t="s">
        <v>832</v>
      </c>
      <c r="E16" s="23" t="s">
        <v>92</v>
      </c>
      <c r="H16" s="22" t="s">
        <v>887</v>
      </c>
      <c r="K16" s="23" t="s">
        <v>832</v>
      </c>
    </row>
    <row r="17" spans="1:15" outlineLevel="1" x14ac:dyDescent="0.25">
      <c r="C17" s="23" t="s">
        <v>774</v>
      </c>
      <c r="D17" s="23" t="s">
        <v>773</v>
      </c>
      <c r="E17" s="23" t="s">
        <v>92</v>
      </c>
      <c r="H17" s="22" t="s">
        <v>888</v>
      </c>
      <c r="K17" s="23" t="s">
        <v>773</v>
      </c>
    </row>
    <row r="18" spans="1:15" outlineLevel="1" x14ac:dyDescent="0.25">
      <c r="C18" s="24" t="s">
        <v>797</v>
      </c>
      <c r="D18" s="23" t="s">
        <v>833</v>
      </c>
      <c r="E18" s="23" t="s">
        <v>92</v>
      </c>
      <c r="H18" s="22" t="s">
        <v>889</v>
      </c>
      <c r="K18" s="23" t="s">
        <v>833</v>
      </c>
    </row>
    <row r="19" spans="1:15" outlineLevel="1" x14ac:dyDescent="0.25">
      <c r="C19" s="23" t="s">
        <v>784</v>
      </c>
      <c r="D19" s="23" t="s">
        <v>783</v>
      </c>
      <c r="E19" s="23" t="s">
        <v>92</v>
      </c>
      <c r="H19" s="22" t="s">
        <v>890</v>
      </c>
      <c r="K19" s="23" t="s">
        <v>783</v>
      </c>
    </row>
    <row r="20" spans="1:15" outlineLevel="1" x14ac:dyDescent="0.25">
      <c r="C20" s="24" t="s">
        <v>798</v>
      </c>
      <c r="D20" s="23" t="s">
        <v>834</v>
      </c>
      <c r="E20" s="23" t="s">
        <v>92</v>
      </c>
      <c r="H20" s="22" t="s">
        <v>876</v>
      </c>
      <c r="K20" s="23" t="s">
        <v>834</v>
      </c>
    </row>
    <row r="21" spans="1:15" outlineLevel="1" x14ac:dyDescent="0.25">
      <c r="C21" s="23" t="s">
        <v>782</v>
      </c>
      <c r="D21" s="23" t="s">
        <v>781</v>
      </c>
      <c r="E21" s="23" t="s">
        <v>92</v>
      </c>
      <c r="H21" s="22" t="s">
        <v>877</v>
      </c>
      <c r="K21" s="23" t="s">
        <v>781</v>
      </c>
    </row>
    <row r="22" spans="1:15" outlineLevel="1" x14ac:dyDescent="0.25">
      <c r="C22" s="24" t="s">
        <v>799</v>
      </c>
      <c r="D22" s="23" t="s">
        <v>829</v>
      </c>
      <c r="E22" s="23" t="s">
        <v>92</v>
      </c>
      <c r="H22" s="22" t="s">
        <v>878</v>
      </c>
      <c r="K22" s="23" t="s">
        <v>829</v>
      </c>
    </row>
    <row r="23" spans="1:15" outlineLevel="1" x14ac:dyDescent="0.25">
      <c r="C23" s="23" t="s">
        <v>780</v>
      </c>
      <c r="D23" s="23" t="s">
        <v>779</v>
      </c>
      <c r="E23" s="23" t="s">
        <v>92</v>
      </c>
      <c r="H23" s="22" t="s">
        <v>879</v>
      </c>
      <c r="K23" s="23" t="s">
        <v>779</v>
      </c>
    </row>
    <row r="24" spans="1:15" outlineLevel="1" x14ac:dyDescent="0.25">
      <c r="C24" s="24" t="s">
        <v>800</v>
      </c>
      <c r="D24" s="23" t="s">
        <v>835</v>
      </c>
      <c r="E24" s="23" t="s">
        <v>92</v>
      </c>
      <c r="H24" s="22" t="s">
        <v>880</v>
      </c>
      <c r="K24" s="23" t="s">
        <v>835</v>
      </c>
    </row>
    <row r="25" spans="1:15" outlineLevel="1" x14ac:dyDescent="0.25">
      <c r="C25" s="23" t="s">
        <v>778</v>
      </c>
      <c r="D25" s="23" t="s">
        <v>777</v>
      </c>
      <c r="E25" s="23" t="s">
        <v>92</v>
      </c>
      <c r="H25" s="22" t="s">
        <v>881</v>
      </c>
      <c r="K25" s="23" t="s">
        <v>777</v>
      </c>
    </row>
    <row r="26" spans="1:15" x14ac:dyDescent="0.25">
      <c r="H26" s="23" t="s">
        <v>809</v>
      </c>
      <c r="J26" s="23" t="s">
        <v>810</v>
      </c>
      <c r="K26" s="23" t="s">
        <v>808</v>
      </c>
      <c r="L26" s="23" t="s">
        <v>822</v>
      </c>
    </row>
    <row r="27" spans="1:15" x14ac:dyDescent="0.25">
      <c r="A27" s="23" t="s">
        <v>15</v>
      </c>
      <c r="B27" s="23" t="s">
        <v>758</v>
      </c>
      <c r="C27" s="13" t="b">
        <f ca="1">AND(IF(K27,K27&gt;L27,FALSE),NOT(J27))</f>
        <v>1</v>
      </c>
      <c r="D27" s="16" t="str">
        <f>$O$29&amp;H27&amp;"_NetSales.png"</f>
        <v>D:\OneDrive-Sync\Christian Dior Couture\APAC Management - Reports - Reports\DClick\Images\VM22\SubCategoryKR_NetSales.png</v>
      </c>
      <c r="E27" s="23" t="str">
        <f>RIGHT(D27,LEN(D27)-LEN($O$29))</f>
        <v>SubCategoryKR_NetSales.png</v>
      </c>
      <c r="H27" s="23" t="str">
        <f t="shared" ref="H27:H50" si="0">C2</f>
        <v>SubCategoryKR</v>
      </c>
      <c r="J27" s="23" t="b">
        <v>0</v>
      </c>
      <c r="K27" s="10" cm="1">
        <f t="array" aca="1" ref="K27" ca="1">fileModifiedDate(D27, NOW())</f>
        <v>44899.272731481484</v>
      </c>
      <c r="L27" s="19">
        <f ca="1">IF(NOW()&gt;TODAY()+TIME(3,0,0),TODAY()+TIME(3,0,0),TODAY()-1+TIME(3,0,0))</f>
        <v>44899.125</v>
      </c>
      <c r="M27" s="23" t="s">
        <v>762</v>
      </c>
    </row>
    <row r="28" spans="1:15" outlineLevel="1" x14ac:dyDescent="0.25">
      <c r="C28" s="13" t="b">
        <f t="shared" ref="C28:C50" ca="1" si="1">AND(IF(K28,K28&gt;L28,FALSE),NOT(J28))</f>
        <v>1</v>
      </c>
      <c r="D28" s="16" t="str">
        <f t="shared" ref="D28:D32" si="2">$O$29&amp;H28&amp;"_NetSales.png"</f>
        <v>D:\OneDrive-Sync\Christian Dior Couture\APAC Management - Reports - Reports\DClick\Images\VM22\CountryStoreKR_NetSales.png</v>
      </c>
      <c r="E28" s="23" t="str">
        <f t="shared" ref="E28:E50" si="3">RIGHT(D28,LEN(D28)-LEN($O$29))</f>
        <v>CountryStoreKR_NetSales.png</v>
      </c>
      <c r="H28" s="23" t="str">
        <f t="shared" si="0"/>
        <v>CountryStoreKR</v>
      </c>
      <c r="J28" s="23" t="b">
        <v>0</v>
      </c>
      <c r="K28" s="10" cm="1">
        <f t="array" aca="1" ref="K28" ca="1">fileModifiedDate(D28, NOW())</f>
        <v>44899.273530092592</v>
      </c>
      <c r="L28" s="19">
        <f ca="1">L27</f>
        <v>44899.125</v>
      </c>
      <c r="O28" s="23" t="s">
        <v>841</v>
      </c>
    </row>
    <row r="29" spans="1:15" outlineLevel="1" x14ac:dyDescent="0.25">
      <c r="C29" s="13" t="b">
        <f t="shared" ca="1" si="1"/>
        <v>1</v>
      </c>
      <c r="D29" s="16" t="str">
        <f t="shared" si="2"/>
        <v>D:\OneDrive-Sync\Christian Dior Couture\APAC Management - Reports - Reports\DClick\Images\VM22\SubCategoryHKMO_NetSales.png</v>
      </c>
      <c r="E29" s="23" t="str">
        <f t="shared" si="3"/>
        <v>SubCategoryHKMO_NetSales.png</v>
      </c>
      <c r="H29" s="23" t="str">
        <f t="shared" si="0"/>
        <v>SubCategoryHKMO</v>
      </c>
      <c r="J29" s="23" t="b">
        <v>0</v>
      </c>
      <c r="K29" s="10" cm="1">
        <f t="array" aca="1" ref="K29" ca="1">fileModifiedDate(D29, NOW())</f>
        <v>44899.274317129632</v>
      </c>
      <c r="L29" s="19">
        <f ca="1">L28</f>
        <v>44899.125</v>
      </c>
      <c r="O29" s="23" t="str">
        <f>D105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1</v>
      </c>
      <c r="D30" s="16" t="str">
        <f t="shared" si="2"/>
        <v>D:\OneDrive-Sync\Christian Dior Couture\APAC Management - Reports - Reports\DClick\Images\VM22\CountryStoreHKMO_NetSales.png</v>
      </c>
      <c r="E30" s="23" t="str">
        <f t="shared" si="3"/>
        <v>CountryStoreHKMO_NetSales.png</v>
      </c>
      <c r="H30" s="23" t="str">
        <f t="shared" si="0"/>
        <v>CountryStoreHKMO</v>
      </c>
      <c r="J30" s="23" t="b">
        <v>0</v>
      </c>
      <c r="K30" s="10" cm="1">
        <f t="array" aca="1" ref="K30" ca="1">fileModifiedDate(D30, NOW())</f>
        <v>44899.275104166663</v>
      </c>
      <c r="L30" s="19">
        <f t="shared" ref="L30:L50" ca="1" si="4">L29</f>
        <v>44899.125</v>
      </c>
    </row>
    <row r="31" spans="1:15" outlineLevel="1" x14ac:dyDescent="0.25">
      <c r="C31" s="13" t="b">
        <f t="shared" ca="1" si="1"/>
        <v>1</v>
      </c>
      <c r="D31" s="16" t="str">
        <f t="shared" si="2"/>
        <v>D:\OneDrive-Sync\Christian Dior Couture\APAC Management - Reports - Reports\DClick\Images\VM22\SubCategoryAUNZ_NetSales.png</v>
      </c>
      <c r="E31" s="23" t="str">
        <f t="shared" si="3"/>
        <v>SubCategoryAUNZ_NetSales.png</v>
      </c>
      <c r="H31" s="23" t="str">
        <f t="shared" si="0"/>
        <v>SubCategoryAUNZ</v>
      </c>
      <c r="J31" s="23" t="b">
        <v>0</v>
      </c>
      <c r="K31" s="10" cm="1">
        <f t="array" aca="1" ref="K31" ca="1">fileModifiedDate(D31, NOW())</f>
        <v>44899.275752314818</v>
      </c>
      <c r="L31" s="19">
        <f t="shared" ca="1" si="4"/>
        <v>44899.125</v>
      </c>
      <c r="O31" s="23" t="s">
        <v>844</v>
      </c>
    </row>
    <row r="32" spans="1:15" outlineLevel="1" x14ac:dyDescent="0.25">
      <c r="C32" s="13" t="b">
        <f t="shared" ca="1" si="1"/>
        <v>1</v>
      </c>
      <c r="D32" s="16" t="str">
        <f t="shared" si="2"/>
        <v>D:\OneDrive-Sync\Christian Dior Couture\APAC Management - Reports - Reports\DClick\Images\VM22\CountryStoreAUNZ_NetSales.png</v>
      </c>
      <c r="E32" s="23" t="str">
        <f t="shared" si="3"/>
        <v>CountryStoreAUNZ_NetSales.png</v>
      </c>
      <c r="H32" s="23" t="str">
        <f t="shared" si="0"/>
        <v>CountryStoreAUNZ</v>
      </c>
      <c r="J32" s="23" t="b">
        <v>0</v>
      </c>
      <c r="K32" s="10" cm="1">
        <f t="array" aca="1" ref="K32" ca="1">fileModifiedDate(D32, NOW())</f>
        <v>44899.27652777778</v>
      </c>
      <c r="L32" s="19">
        <f t="shared" ca="1" si="4"/>
        <v>44899.125</v>
      </c>
    </row>
    <row r="33" spans="3:12" outlineLevel="1" x14ac:dyDescent="0.25">
      <c r="C33" s="13" t="b">
        <f t="shared" ca="1" si="1"/>
        <v>1</v>
      </c>
      <c r="D33" s="20" t="str">
        <f>$O$29&amp;H33&amp;"_Units.png"</f>
        <v>D:\OneDrive-Sync\Christian Dior Couture\APAC Management - Reports - Reports\DClick\Images\VM22\SubCategory_Units.png</v>
      </c>
      <c r="E33" s="23" t="str">
        <f t="shared" si="3"/>
        <v>SubCategory_Units.png</v>
      </c>
      <c r="H33" s="23" t="str">
        <f t="shared" si="0"/>
        <v>SubCategory</v>
      </c>
      <c r="J33" s="23" t="b">
        <v>0</v>
      </c>
      <c r="K33" s="10" cm="1">
        <f t="array" aca="1" ref="K33" ca="1">fileModifiedDate(D33, NOW())</f>
        <v>44899.277650462966</v>
      </c>
      <c r="L33" s="19">
        <f t="shared" ca="1" si="4"/>
        <v>44899.125</v>
      </c>
    </row>
    <row r="34" spans="3:12" outlineLevel="1" x14ac:dyDescent="0.25">
      <c r="C34" s="13" t="b">
        <f t="shared" ca="1" si="1"/>
        <v>1</v>
      </c>
      <c r="D34" s="20" t="str">
        <f>$O$29&amp;H34&amp;"_Units.png"</f>
        <v>D:\OneDrive-Sync\Christian Dior Couture\APAC Management - Reports - Reports\DClick\Images\VM22\CountryStore_Units.png</v>
      </c>
      <c r="E34" s="23" t="str">
        <f t="shared" si="3"/>
        <v>CountryStore_Units.png</v>
      </c>
      <c r="H34" s="23" t="str">
        <f t="shared" si="0"/>
        <v>CountryStore</v>
      </c>
      <c r="J34" s="23" t="b">
        <v>0</v>
      </c>
      <c r="K34" s="10" cm="1">
        <f t="array" aca="1" ref="K34" ca="1">fileModifiedDate(D34, NOW())</f>
        <v>44899.278831018521</v>
      </c>
      <c r="L34" s="19">
        <f t="shared" ca="1" si="4"/>
        <v>44899.125</v>
      </c>
    </row>
    <row r="35" spans="3:12" outlineLevel="1" x14ac:dyDescent="0.25">
      <c r="C35" s="13" t="b">
        <f t="shared" ca="1" si="1"/>
        <v>1</v>
      </c>
      <c r="D35" s="16" t="str">
        <f t="shared" ref="D35:D50" si="5">$O$29&amp;H35&amp;"_NetSales.png"</f>
        <v>D:\OneDrive-Sync\Christian Dior Couture\APAC Management - Reports - Reports\DClick\Images\VM22\SubCategorySG_NetSales.png</v>
      </c>
      <c r="E35" s="23" t="str">
        <f t="shared" si="3"/>
        <v>SubCategorySG_NetSales.png</v>
      </c>
      <c r="H35" s="23" t="str">
        <f t="shared" si="0"/>
        <v>SubCategorySG</v>
      </c>
      <c r="J35" s="23" t="b">
        <v>0</v>
      </c>
      <c r="K35" s="10" cm="1">
        <f t="array" aca="1" ref="K35" ca="1">fileModifiedDate(D35, NOW())</f>
        <v>44899.27957175926</v>
      </c>
      <c r="L35" s="19">
        <f t="shared" ca="1" si="4"/>
        <v>44899.125</v>
      </c>
    </row>
    <row r="36" spans="3:12" outlineLevel="1" x14ac:dyDescent="0.25">
      <c r="C36" s="13" t="b">
        <f t="shared" ca="1" si="1"/>
        <v>1</v>
      </c>
      <c r="D36" s="16" t="str">
        <f t="shared" si="5"/>
        <v>D:\OneDrive-Sync\Christian Dior Couture\APAC Management - Reports - Reports\DClick\Images\VM22\CountryStoreSG_NetSales.png</v>
      </c>
      <c r="E36" s="23" t="str">
        <f t="shared" si="3"/>
        <v>CountryStoreSG_NetSales.png</v>
      </c>
      <c r="H36" s="23" t="str">
        <f t="shared" si="0"/>
        <v>CountryStoreSG</v>
      </c>
      <c r="J36" s="23" t="b">
        <v>0</v>
      </c>
      <c r="K36" s="10" cm="1">
        <f t="array" aca="1" ref="K36" ca="1">fileModifiedDate(D36, NOW())</f>
        <v>44899.280289351853</v>
      </c>
      <c r="L36" s="19">
        <f t="shared" ca="1" si="4"/>
        <v>44899.125</v>
      </c>
    </row>
    <row r="37" spans="3:12" outlineLevel="1" x14ac:dyDescent="0.25">
      <c r="C37" s="13" t="b">
        <f t="shared" ca="1" si="1"/>
        <v>1</v>
      </c>
      <c r="D37" s="16" t="str">
        <f t="shared" si="5"/>
        <v>D:\OneDrive-Sync\Christian Dior Couture\APAC Management - Reports - Reports\DClick\Images\VM22\SubCategoryMY_NetSales.png</v>
      </c>
      <c r="E37" s="23" t="str">
        <f t="shared" si="3"/>
        <v>SubCategoryMY_NetSales.png</v>
      </c>
      <c r="H37" s="23" t="str">
        <f t="shared" si="0"/>
        <v>SubCategoryMY</v>
      </c>
      <c r="J37" s="23" t="b">
        <v>0</v>
      </c>
      <c r="K37" s="10" cm="1">
        <f t="array" aca="1" ref="K37" ca="1">fileModifiedDate(D37, NOW())</f>
        <v>44899.281018518515</v>
      </c>
      <c r="L37" s="19">
        <f t="shared" ca="1" si="4"/>
        <v>44899.125</v>
      </c>
    </row>
    <row r="38" spans="3:12" outlineLevel="1" x14ac:dyDescent="0.25">
      <c r="C38" s="13" t="b">
        <f t="shared" ca="1" si="1"/>
        <v>1</v>
      </c>
      <c r="D38" s="16" t="str">
        <f t="shared" si="5"/>
        <v>D:\OneDrive-Sync\Christian Dior Couture\APAC Management - Reports - Reports\DClick\Images\VM22\CountryStoreMY_NetSales.png</v>
      </c>
      <c r="E38" s="23" t="str">
        <f t="shared" si="3"/>
        <v>CountryStoreMY_NetSales.png</v>
      </c>
      <c r="H38" s="23" t="str">
        <f t="shared" si="0"/>
        <v>CountryStoreMY</v>
      </c>
      <c r="J38" s="23" t="b">
        <v>0</v>
      </c>
      <c r="K38" s="10" cm="1">
        <f t="array" aca="1" ref="K38" ca="1">fileModifiedDate(D38, NOW())</f>
        <v>44899.281724537039</v>
      </c>
      <c r="L38" s="19">
        <f t="shared" ca="1" si="4"/>
        <v>44899.125</v>
      </c>
    </row>
    <row r="39" spans="3:12" outlineLevel="1" x14ac:dyDescent="0.25">
      <c r="C39" s="13" t="b">
        <f t="shared" ca="1" si="1"/>
        <v>1</v>
      </c>
      <c r="D39" s="16" t="str">
        <f t="shared" si="5"/>
        <v>D:\OneDrive-Sync\Christian Dior Couture\APAC Management - Reports - Reports\DClick\Images\VM22\SubCategoryIN_NetSales.png</v>
      </c>
      <c r="E39" s="23" t="str">
        <f t="shared" si="3"/>
        <v>SubCategoryIN_NetSales.png</v>
      </c>
      <c r="H39" s="23" t="str">
        <f t="shared" si="0"/>
        <v>SubCategoryIN</v>
      </c>
      <c r="J39" s="23" t="b">
        <v>0</v>
      </c>
      <c r="K39" s="10" cm="1">
        <f t="array" aca="1" ref="K39" ca="1">fileModifiedDate(D39, NOW())</f>
        <v>44899.282442129632</v>
      </c>
      <c r="L39" s="19">
        <f t="shared" ca="1" si="4"/>
        <v>44899.125</v>
      </c>
    </row>
    <row r="40" spans="3:12" outlineLevel="1" x14ac:dyDescent="0.25">
      <c r="C40" s="13" t="b">
        <f t="shared" ca="1" si="1"/>
        <v>1</v>
      </c>
      <c r="D40" s="16" t="str">
        <f t="shared" si="5"/>
        <v>D:\OneDrive-Sync\Christian Dior Couture\APAC Management - Reports - Reports\DClick\Images\VM22\CountryStoreIN_NetSales.png</v>
      </c>
      <c r="E40" s="23" t="str">
        <f t="shared" si="3"/>
        <v>CountryStoreIN_NetSales.png</v>
      </c>
      <c r="H40" s="23" t="str">
        <f t="shared" si="0"/>
        <v>CountryStoreIN</v>
      </c>
      <c r="J40" s="24" t="b">
        <v>0</v>
      </c>
      <c r="K40" s="10" cm="1">
        <f t="array" aca="1" ref="K40" ca="1">fileModifiedDate(D40, NOW())</f>
        <v>44899.283171296294</v>
      </c>
      <c r="L40" s="19">
        <f t="shared" ca="1" si="4"/>
        <v>44899.125</v>
      </c>
    </row>
    <row r="41" spans="3:12" outlineLevel="1" x14ac:dyDescent="0.25">
      <c r="C41" s="13" t="b">
        <f t="shared" ca="1" si="1"/>
        <v>1</v>
      </c>
      <c r="D41" s="16" t="str">
        <f t="shared" si="5"/>
        <v>D:\OneDrive-Sync\Christian Dior Couture\APAC Management - Reports - Reports\DClick\Images\VM22\SubCategoryID_NetSales.png</v>
      </c>
      <c r="E41" s="23" t="str">
        <f t="shared" si="3"/>
        <v>SubCategoryID_NetSales.png</v>
      </c>
      <c r="H41" s="23" t="str">
        <f t="shared" si="0"/>
        <v>SubCategoryID</v>
      </c>
      <c r="J41" s="24" t="b">
        <v>0</v>
      </c>
      <c r="K41" s="10" cm="1">
        <f t="array" aca="1" ref="K41" ca="1">fileModifiedDate(D41, NOW())</f>
        <v>44899.283900462964</v>
      </c>
      <c r="L41" s="19">
        <f t="shared" ca="1" si="4"/>
        <v>44899.125</v>
      </c>
    </row>
    <row r="42" spans="3:12" outlineLevel="1" x14ac:dyDescent="0.25">
      <c r="C42" s="13" t="b">
        <f t="shared" ca="1" si="1"/>
        <v>1</v>
      </c>
      <c r="D42" s="16" t="str">
        <f t="shared" si="5"/>
        <v>D:\OneDrive-Sync\Christian Dior Couture\APAC Management - Reports - Reports\DClick\Images\VM22\CountryStoreID_NetSales.png</v>
      </c>
      <c r="E42" s="23" t="str">
        <f t="shared" si="3"/>
        <v>CountryStoreID_NetSales.png</v>
      </c>
      <c r="H42" s="23" t="str">
        <f t="shared" si="0"/>
        <v>CountryStoreID</v>
      </c>
      <c r="J42" s="24" t="b">
        <v>0</v>
      </c>
      <c r="K42" s="10" cm="1">
        <f t="array" aca="1" ref="K42" ca="1">fileModifiedDate(D42, NOW())</f>
        <v>44899.284629629627</v>
      </c>
      <c r="L42" s="19">
        <f t="shared" ca="1" si="4"/>
        <v>44899.125</v>
      </c>
    </row>
    <row r="43" spans="3:12" outlineLevel="1" x14ac:dyDescent="0.25">
      <c r="C43" s="13" t="b">
        <f t="shared" ca="1" si="1"/>
        <v>1</v>
      </c>
      <c r="D43" s="16" t="str">
        <f t="shared" si="5"/>
        <v>D:\OneDrive-Sync\Christian Dior Couture\APAC Management - Reports - Reports\DClick\Images\VM22\SubCategoryPH_NetSales.png</v>
      </c>
      <c r="E43" s="23" t="str">
        <f t="shared" si="3"/>
        <v>SubCategoryPH_NetSales.png</v>
      </c>
      <c r="H43" s="23" t="str">
        <f t="shared" si="0"/>
        <v>SubCategoryPH</v>
      </c>
      <c r="J43" s="24" t="b">
        <v>0</v>
      </c>
      <c r="K43" s="10" cm="1">
        <f t="array" aca="1" ref="K43" ca="1">fileModifiedDate(D43, NOW())</f>
        <v>44899.285358796296</v>
      </c>
      <c r="L43" s="19">
        <f t="shared" ca="1" si="4"/>
        <v>44899.125</v>
      </c>
    </row>
    <row r="44" spans="3:12" outlineLevel="1" x14ac:dyDescent="0.25">
      <c r="C44" s="13" t="b">
        <f t="shared" ca="1" si="1"/>
        <v>1</v>
      </c>
      <c r="D44" s="16" t="str">
        <f t="shared" si="5"/>
        <v>D:\OneDrive-Sync\Christian Dior Couture\APAC Management - Reports - Reports\DClick\Images\VM22\CountryStorePH_NetSales.png</v>
      </c>
      <c r="E44" s="23" t="str">
        <f t="shared" si="3"/>
        <v>CountryStorePH_NetSales.png</v>
      </c>
      <c r="H44" s="23" t="str">
        <f t="shared" si="0"/>
        <v>CountryStorePH</v>
      </c>
      <c r="J44" s="24" t="b">
        <v>0</v>
      </c>
      <c r="K44" s="10" cm="1">
        <f t="array" aca="1" ref="K44" ca="1">fileModifiedDate(D44, NOW())</f>
        <v>44899.286076388889</v>
      </c>
      <c r="L44" s="19">
        <f t="shared" ca="1" si="4"/>
        <v>44899.125</v>
      </c>
    </row>
    <row r="45" spans="3:12" outlineLevel="1" x14ac:dyDescent="0.25">
      <c r="C45" s="13" t="b">
        <f t="shared" ca="1" si="1"/>
        <v>1</v>
      </c>
      <c r="D45" s="16" t="str">
        <f t="shared" si="5"/>
        <v>D:\OneDrive-Sync\Christian Dior Couture\APAC Management - Reports - Reports\DClick\Images\VM22\SubCategoryTW_NetSales.png</v>
      </c>
      <c r="E45" s="23" t="str">
        <f t="shared" si="3"/>
        <v>SubCategoryTW_NetSales.png</v>
      </c>
      <c r="H45" s="23" t="str">
        <f t="shared" si="0"/>
        <v>SubCategoryTW</v>
      </c>
      <c r="J45" s="24" t="b">
        <v>0</v>
      </c>
      <c r="K45" s="10" cm="1">
        <f t="array" aca="1" ref="K45" ca="1">fileModifiedDate(D45, NOW())</f>
        <v>44899.286805555559</v>
      </c>
      <c r="L45" s="19">
        <f t="shared" ca="1" si="4"/>
        <v>44899.125</v>
      </c>
    </row>
    <row r="46" spans="3:12" outlineLevel="1" x14ac:dyDescent="0.25">
      <c r="C46" s="13" t="b">
        <f t="shared" ca="1" si="1"/>
        <v>1</v>
      </c>
      <c r="D46" s="16" t="str">
        <f t="shared" si="5"/>
        <v>D:\OneDrive-Sync\Christian Dior Couture\APAC Management - Reports - Reports\DClick\Images\VM22\CountryStoreTW_NetSales.png</v>
      </c>
      <c r="E46" s="23" t="str">
        <f t="shared" si="3"/>
        <v>CountryStoreTW_NetSales.png</v>
      </c>
      <c r="H46" s="23" t="str">
        <f t="shared" si="0"/>
        <v>CountryStoreTW</v>
      </c>
      <c r="J46" s="24" t="b">
        <v>0</v>
      </c>
      <c r="K46" s="10" cm="1">
        <f t="array" aca="1" ref="K46" ca="1">fileModifiedDate(D46, NOW())</f>
        <v>44899.287499999999</v>
      </c>
      <c r="L46" s="19">
        <f t="shared" ca="1" si="4"/>
        <v>44899.125</v>
      </c>
    </row>
    <row r="47" spans="3:12" outlineLevel="1" x14ac:dyDescent="0.25">
      <c r="C47" s="13" t="b">
        <f t="shared" ca="1" si="1"/>
        <v>1</v>
      </c>
      <c r="D47" s="16" t="str">
        <f t="shared" si="5"/>
        <v>D:\OneDrive-Sync\Christian Dior Couture\APAC Management - Reports - Reports\DClick\Images\VM22\SubCategoryTH_NetSales.png</v>
      </c>
      <c r="E47" s="23" t="str">
        <f t="shared" si="3"/>
        <v>SubCategoryTH_NetSales.png</v>
      </c>
      <c r="H47" s="23" t="str">
        <f t="shared" si="0"/>
        <v>SubCategoryTH</v>
      </c>
      <c r="J47" s="24" t="b">
        <v>0</v>
      </c>
      <c r="K47" s="10" cm="1">
        <f t="array" aca="1" ref="K47" ca="1">fileModifiedDate(D47, NOW())</f>
        <v>44899.288217592592</v>
      </c>
      <c r="L47" s="19">
        <f t="shared" ca="1" si="4"/>
        <v>44899.125</v>
      </c>
    </row>
    <row r="48" spans="3:12" outlineLevel="1" x14ac:dyDescent="0.25">
      <c r="C48" s="13" t="b">
        <f t="shared" ca="1" si="1"/>
        <v>1</v>
      </c>
      <c r="D48" s="16" t="str">
        <f t="shared" si="5"/>
        <v>D:\OneDrive-Sync\Christian Dior Couture\APAC Management - Reports - Reports\DClick\Images\VM22\CountryStoreTH_NetSales.png</v>
      </c>
      <c r="E48" s="23" t="str">
        <f t="shared" si="3"/>
        <v>CountryStoreTH_NetSales.png</v>
      </c>
      <c r="H48" s="23" t="str">
        <f t="shared" si="0"/>
        <v>CountryStoreTH</v>
      </c>
      <c r="J48" s="24" t="b">
        <v>0</v>
      </c>
      <c r="K48" s="10" cm="1">
        <f t="array" aca="1" ref="K48" ca="1">fileModifiedDate(D48, NOW())</f>
        <v>44899.288923611108</v>
      </c>
      <c r="L48" s="19">
        <f t="shared" ca="1" si="4"/>
        <v>44899.125</v>
      </c>
    </row>
    <row r="49" spans="1:12" outlineLevel="1" x14ac:dyDescent="0.25">
      <c r="C49" s="13" t="b">
        <f t="shared" ca="1" si="1"/>
        <v>1</v>
      </c>
      <c r="D49" s="16" t="str">
        <f t="shared" si="5"/>
        <v>D:\OneDrive-Sync\Christian Dior Couture\APAC Management - Reports - Reports\DClick\Images\VM22\SubCategoryVN_NetSales.png</v>
      </c>
      <c r="E49" s="23" t="str">
        <f t="shared" si="3"/>
        <v>SubCategoryVN_NetSales.png</v>
      </c>
      <c r="H49" s="23" t="str">
        <f t="shared" si="0"/>
        <v>SubCategoryVN</v>
      </c>
      <c r="J49" s="24" t="b">
        <v>0</v>
      </c>
      <c r="K49" s="10" cm="1">
        <f t="array" aca="1" ref="K49" ca="1">fileModifiedDate(D49, NOW())</f>
        <v>44899.289664351854</v>
      </c>
      <c r="L49" s="19">
        <f t="shared" ca="1" si="4"/>
        <v>44899.125</v>
      </c>
    </row>
    <row r="50" spans="1:12" outlineLevel="1" x14ac:dyDescent="0.25">
      <c r="C50" s="13" t="b">
        <f t="shared" ca="1" si="1"/>
        <v>1</v>
      </c>
      <c r="D50" s="16" t="str">
        <f t="shared" si="5"/>
        <v>D:\OneDrive-Sync\Christian Dior Couture\APAC Management - Reports - Reports\DClick\Images\VM22\CountryStoreVN_NetSales.png</v>
      </c>
      <c r="E50" s="23" t="str">
        <f t="shared" si="3"/>
        <v>CountryStoreVN_NetSales.png</v>
      </c>
      <c r="H50" s="23" t="str">
        <f t="shared" si="0"/>
        <v>CountryStoreVN</v>
      </c>
      <c r="J50" s="24" t="b">
        <v>0</v>
      </c>
      <c r="K50" s="10" cm="1">
        <f t="array" aca="1" ref="K50" ca="1">fileModifiedDate(D50, NOW())</f>
        <v>44899.290370370371</v>
      </c>
      <c r="L50" s="19">
        <f t="shared" ca="1" si="4"/>
        <v>44899.125</v>
      </c>
    </row>
    <row r="52" spans="1:12" x14ac:dyDescent="0.25">
      <c r="A52" s="23" t="s">
        <v>15</v>
      </c>
      <c r="B52" s="23" t="s">
        <v>812</v>
      </c>
      <c r="C52" s="23" t="b">
        <f>IF(D52&gt;0,TRUE,FALSE)</f>
        <v>0</v>
      </c>
      <c r="H52" s="23" t="str">
        <f t="shared" ref="H52:H75" si="6">H27</f>
        <v>SubCategoryKR</v>
      </c>
    </row>
    <row r="53" spans="1:12" outlineLevel="1" x14ac:dyDescent="0.25">
      <c r="C53" s="23" t="b">
        <f t="shared" ref="C53:C75" si="7">IF(D53&gt;0,TRUE,FALSE)</f>
        <v>1</v>
      </c>
      <c r="D53" s="23">
        <v>870</v>
      </c>
      <c r="H53" s="23" t="str">
        <f t="shared" si="6"/>
        <v>CountryStoreKR</v>
      </c>
    </row>
    <row r="54" spans="1:12" outlineLevel="1" x14ac:dyDescent="0.25">
      <c r="C54" s="23" t="b">
        <f t="shared" si="7"/>
        <v>0</v>
      </c>
      <c r="H54" s="23" t="str">
        <f t="shared" si="6"/>
        <v>SubCategoryHKMO</v>
      </c>
    </row>
    <row r="55" spans="1:12" outlineLevel="1" x14ac:dyDescent="0.25">
      <c r="C55" s="23" t="b">
        <f t="shared" si="7"/>
        <v>1</v>
      </c>
      <c r="D55" s="23">
        <v>870</v>
      </c>
      <c r="H55" s="23" t="str">
        <f t="shared" si="6"/>
        <v>CountryStoreHKMO</v>
      </c>
    </row>
    <row r="56" spans="1:12" outlineLevel="1" x14ac:dyDescent="0.25">
      <c r="C56" s="23" t="b">
        <f t="shared" si="7"/>
        <v>0</v>
      </c>
      <c r="H56" s="23" t="str">
        <f t="shared" si="6"/>
        <v>SubCategoryAUNZ</v>
      </c>
    </row>
    <row r="57" spans="1:12" outlineLevel="1" x14ac:dyDescent="0.25">
      <c r="C57" s="23" t="b">
        <f t="shared" si="7"/>
        <v>1</v>
      </c>
      <c r="D57" s="23">
        <v>800</v>
      </c>
      <c r="H57" s="23" t="str">
        <f t="shared" si="6"/>
        <v>CountryStoreAUNZ</v>
      </c>
    </row>
    <row r="58" spans="1:12" outlineLevel="1" x14ac:dyDescent="0.25">
      <c r="C58" s="23" t="b">
        <f t="shared" si="7"/>
        <v>0</v>
      </c>
      <c r="H58" s="23" t="str">
        <f t="shared" si="6"/>
        <v>SubCategory</v>
      </c>
    </row>
    <row r="59" spans="1:12" outlineLevel="1" x14ac:dyDescent="0.25">
      <c r="C59" s="23" t="b">
        <f t="shared" si="7"/>
        <v>0</v>
      </c>
      <c r="H59" s="23" t="str">
        <f t="shared" si="6"/>
        <v>CountryStore</v>
      </c>
    </row>
    <row r="60" spans="1:12" outlineLevel="1" x14ac:dyDescent="0.25">
      <c r="C60" s="23" t="b">
        <f t="shared" si="7"/>
        <v>0</v>
      </c>
      <c r="H60" s="23" t="str">
        <f t="shared" si="6"/>
        <v>SubCategorySG</v>
      </c>
    </row>
    <row r="61" spans="1:12" outlineLevel="1" x14ac:dyDescent="0.25">
      <c r="C61" s="23" t="b">
        <f t="shared" si="7"/>
        <v>1</v>
      </c>
      <c r="D61" s="23">
        <v>600</v>
      </c>
      <c r="H61" s="23" t="str">
        <f t="shared" si="6"/>
        <v>CountryStoreSG</v>
      </c>
    </row>
    <row r="62" spans="1:12" outlineLevel="1" x14ac:dyDescent="0.25">
      <c r="C62" s="23" t="b">
        <f t="shared" si="7"/>
        <v>0</v>
      </c>
      <c r="H62" s="23" t="str">
        <f t="shared" si="6"/>
        <v>SubCategoryMY</v>
      </c>
    </row>
    <row r="63" spans="1:12" outlineLevel="1" x14ac:dyDescent="0.25">
      <c r="C63" s="23" t="b">
        <f t="shared" si="7"/>
        <v>1</v>
      </c>
      <c r="D63" s="23">
        <v>600</v>
      </c>
      <c r="H63" s="23" t="str">
        <f t="shared" si="6"/>
        <v>CountryStoreMY</v>
      </c>
    </row>
    <row r="64" spans="1:12" outlineLevel="1" x14ac:dyDescent="0.25">
      <c r="C64" s="23" t="b">
        <f t="shared" si="7"/>
        <v>0</v>
      </c>
      <c r="H64" s="23" t="str">
        <f t="shared" si="6"/>
        <v>SubCategoryIN</v>
      </c>
    </row>
    <row r="65" spans="1:8" outlineLevel="1" x14ac:dyDescent="0.25">
      <c r="C65" s="23" t="b">
        <f t="shared" si="7"/>
        <v>1</v>
      </c>
      <c r="D65" s="23">
        <v>600</v>
      </c>
      <c r="H65" s="23" t="str">
        <f t="shared" si="6"/>
        <v>CountryStoreIN</v>
      </c>
    </row>
    <row r="66" spans="1:8" outlineLevel="1" x14ac:dyDescent="0.25">
      <c r="C66" s="23" t="b">
        <f t="shared" si="7"/>
        <v>0</v>
      </c>
      <c r="H66" s="23" t="str">
        <f t="shared" si="6"/>
        <v>SubCategoryID</v>
      </c>
    </row>
    <row r="67" spans="1:8" outlineLevel="1" x14ac:dyDescent="0.25">
      <c r="C67" s="23" t="b">
        <f t="shared" si="7"/>
        <v>1</v>
      </c>
      <c r="D67" s="23">
        <v>600</v>
      </c>
      <c r="H67" s="23" t="str">
        <f t="shared" si="6"/>
        <v>CountryStoreID</v>
      </c>
    </row>
    <row r="68" spans="1:8" outlineLevel="1" x14ac:dyDescent="0.25">
      <c r="C68" s="23" t="b">
        <f t="shared" si="7"/>
        <v>0</v>
      </c>
      <c r="H68" s="23" t="str">
        <f t="shared" si="6"/>
        <v>SubCategoryPH</v>
      </c>
    </row>
    <row r="69" spans="1:8" outlineLevel="1" x14ac:dyDescent="0.25">
      <c r="C69" s="23" t="b">
        <f t="shared" si="7"/>
        <v>1</v>
      </c>
      <c r="D69" s="23">
        <v>600</v>
      </c>
      <c r="H69" s="23" t="str">
        <f t="shared" si="6"/>
        <v>CountryStorePH</v>
      </c>
    </row>
    <row r="70" spans="1:8" outlineLevel="1" x14ac:dyDescent="0.25">
      <c r="C70" s="23" t="b">
        <f t="shared" si="7"/>
        <v>0</v>
      </c>
      <c r="H70" s="23" t="str">
        <f t="shared" si="6"/>
        <v>SubCategoryTW</v>
      </c>
    </row>
    <row r="71" spans="1:8" outlineLevel="1" x14ac:dyDescent="0.25">
      <c r="C71" s="23" t="b">
        <f t="shared" si="7"/>
        <v>1</v>
      </c>
      <c r="D71" s="23">
        <v>600</v>
      </c>
      <c r="H71" s="23" t="str">
        <f t="shared" si="6"/>
        <v>CountryStoreTW</v>
      </c>
    </row>
    <row r="72" spans="1:8" outlineLevel="1" x14ac:dyDescent="0.25">
      <c r="C72" s="23" t="b">
        <f t="shared" si="7"/>
        <v>0</v>
      </c>
      <c r="H72" s="23" t="str">
        <f t="shared" si="6"/>
        <v>SubCategoryTH</v>
      </c>
    </row>
    <row r="73" spans="1:8" outlineLevel="1" x14ac:dyDescent="0.25">
      <c r="C73" s="23" t="b">
        <f t="shared" si="7"/>
        <v>1</v>
      </c>
      <c r="D73" s="23">
        <v>600</v>
      </c>
      <c r="H73" s="23" t="str">
        <f t="shared" si="6"/>
        <v>CountryStoreTH</v>
      </c>
    </row>
    <row r="74" spans="1:8" outlineLevel="1" x14ac:dyDescent="0.25">
      <c r="C74" s="23" t="b">
        <f t="shared" si="7"/>
        <v>0</v>
      </c>
      <c r="H74" s="23" t="str">
        <f t="shared" si="6"/>
        <v>SubCategoryVN</v>
      </c>
    </row>
    <row r="75" spans="1:8" outlineLevel="1" x14ac:dyDescent="0.25">
      <c r="C75" s="23" t="b">
        <f t="shared" si="7"/>
        <v>1</v>
      </c>
      <c r="D75" s="23">
        <v>600</v>
      </c>
      <c r="H75" s="23" t="str">
        <f t="shared" si="6"/>
        <v>CountryStoreVN</v>
      </c>
    </row>
    <row r="77" spans="1:8" x14ac:dyDescent="0.25">
      <c r="A77" s="23" t="s">
        <v>15</v>
      </c>
      <c r="B77" s="23" t="s">
        <v>838</v>
      </c>
      <c r="C77" s="23" t="b">
        <v>0</v>
      </c>
      <c r="H77" s="12" t="str">
        <f t="shared" ref="H77:H100" si="8">H52</f>
        <v>SubCategoryKR</v>
      </c>
    </row>
    <row r="78" spans="1:8" outlineLevel="1" x14ac:dyDescent="0.25">
      <c r="C78" s="23" t="b">
        <v>0</v>
      </c>
      <c r="H78" s="12" t="str">
        <f t="shared" si="8"/>
        <v>CountryStoreKR</v>
      </c>
    </row>
    <row r="79" spans="1:8" outlineLevel="1" x14ac:dyDescent="0.25">
      <c r="C79" s="23" t="b">
        <v>0</v>
      </c>
      <c r="H79" s="23" t="str">
        <f t="shared" si="8"/>
        <v>SubCategoryHKMO</v>
      </c>
    </row>
    <row r="80" spans="1:8" outlineLevel="1" x14ac:dyDescent="0.25">
      <c r="C80" s="23" t="b">
        <v>0</v>
      </c>
      <c r="H80" s="23" t="str">
        <f t="shared" si="8"/>
        <v>CountryStoreHKMO</v>
      </c>
    </row>
    <row r="81" spans="3:8" outlineLevel="1" x14ac:dyDescent="0.25">
      <c r="C81" s="23" t="b">
        <v>0</v>
      </c>
      <c r="H81" s="23" t="str">
        <f t="shared" si="8"/>
        <v>SubCategoryAUNZ</v>
      </c>
    </row>
    <row r="82" spans="3:8" outlineLevel="1" x14ac:dyDescent="0.25">
      <c r="C82" s="23" t="b">
        <v>0</v>
      </c>
      <c r="H82" s="23" t="str">
        <f t="shared" si="8"/>
        <v>CountryStoreAUNZ</v>
      </c>
    </row>
    <row r="83" spans="3:8" outlineLevel="1" x14ac:dyDescent="0.25">
      <c r="C83" s="24" t="b">
        <v>1</v>
      </c>
      <c r="H83" s="23" t="str">
        <f t="shared" si="8"/>
        <v>SubCategory</v>
      </c>
    </row>
    <row r="84" spans="3:8" outlineLevel="1" x14ac:dyDescent="0.25">
      <c r="C84" s="24" t="b">
        <v>1</v>
      </c>
      <c r="H84" s="23" t="str">
        <f t="shared" si="8"/>
        <v>CountryStore</v>
      </c>
    </row>
    <row r="85" spans="3:8" outlineLevel="1" x14ac:dyDescent="0.25">
      <c r="C85" s="23" t="b">
        <v>0</v>
      </c>
      <c r="H85" s="23" t="str">
        <f t="shared" si="8"/>
        <v>SubCategorySG</v>
      </c>
    </row>
    <row r="86" spans="3:8" outlineLevel="1" x14ac:dyDescent="0.25">
      <c r="C86" s="23" t="b">
        <v>0</v>
      </c>
      <c r="H86" s="23" t="str">
        <f t="shared" si="8"/>
        <v>CountryStoreSG</v>
      </c>
    </row>
    <row r="87" spans="3:8" outlineLevel="1" x14ac:dyDescent="0.25">
      <c r="C87" s="23" t="b">
        <v>0</v>
      </c>
      <c r="H87" s="23" t="str">
        <f t="shared" si="8"/>
        <v>SubCategoryMY</v>
      </c>
    </row>
    <row r="88" spans="3:8" outlineLevel="1" x14ac:dyDescent="0.25">
      <c r="C88" s="23" t="b">
        <v>0</v>
      </c>
      <c r="H88" s="23" t="str">
        <f t="shared" si="8"/>
        <v>CountryStoreMY</v>
      </c>
    </row>
    <row r="89" spans="3:8" outlineLevel="1" x14ac:dyDescent="0.25">
      <c r="C89" s="23" t="b">
        <v>0</v>
      </c>
      <c r="H89" s="23" t="str">
        <f t="shared" si="8"/>
        <v>SubCategoryIN</v>
      </c>
    </row>
    <row r="90" spans="3:8" outlineLevel="1" x14ac:dyDescent="0.25">
      <c r="C90" s="23" t="b">
        <v>0</v>
      </c>
      <c r="H90" s="23" t="str">
        <f t="shared" si="8"/>
        <v>CountryStoreIN</v>
      </c>
    </row>
    <row r="91" spans="3:8" outlineLevel="1" x14ac:dyDescent="0.25">
      <c r="C91" s="23" t="b">
        <v>0</v>
      </c>
      <c r="H91" s="23" t="str">
        <f t="shared" si="8"/>
        <v>SubCategoryID</v>
      </c>
    </row>
    <row r="92" spans="3:8" outlineLevel="1" x14ac:dyDescent="0.25">
      <c r="C92" s="23" t="b">
        <v>0</v>
      </c>
      <c r="H92" s="23" t="str">
        <f t="shared" si="8"/>
        <v>CountryStoreID</v>
      </c>
    </row>
    <row r="93" spans="3:8" outlineLevel="1" x14ac:dyDescent="0.25">
      <c r="C93" s="23" t="b">
        <v>0</v>
      </c>
      <c r="H93" s="23" t="str">
        <f t="shared" si="8"/>
        <v>SubCategoryPH</v>
      </c>
    </row>
    <row r="94" spans="3:8" outlineLevel="1" x14ac:dyDescent="0.25">
      <c r="C94" s="23" t="b">
        <v>0</v>
      </c>
      <c r="H94" s="23" t="str">
        <f t="shared" si="8"/>
        <v>CountryStorePH</v>
      </c>
    </row>
    <row r="95" spans="3:8" outlineLevel="1" x14ac:dyDescent="0.25">
      <c r="C95" s="23" t="b">
        <v>0</v>
      </c>
      <c r="H95" s="23" t="str">
        <f t="shared" si="8"/>
        <v>SubCategoryTW</v>
      </c>
    </row>
    <row r="96" spans="3:8" outlineLevel="1" x14ac:dyDescent="0.25">
      <c r="C96" s="23" t="b">
        <v>0</v>
      </c>
      <c r="H96" s="23" t="str">
        <f t="shared" si="8"/>
        <v>CountryStoreTW</v>
      </c>
    </row>
    <row r="97" spans="1:11" outlineLevel="1" x14ac:dyDescent="0.25">
      <c r="C97" s="23" t="b">
        <v>0</v>
      </c>
      <c r="H97" s="23" t="str">
        <f t="shared" si="8"/>
        <v>SubCategoryTH</v>
      </c>
    </row>
    <row r="98" spans="1:11" outlineLevel="1" x14ac:dyDescent="0.25">
      <c r="C98" s="23" t="b">
        <v>0</v>
      </c>
      <c r="H98" s="23" t="str">
        <f t="shared" si="8"/>
        <v>CountryStoreTH</v>
      </c>
    </row>
    <row r="99" spans="1:11" outlineLevel="1" x14ac:dyDescent="0.25">
      <c r="C99" s="23" t="b">
        <v>0</v>
      </c>
      <c r="H99" s="12" t="str">
        <f t="shared" si="8"/>
        <v>SubCategoryVN</v>
      </c>
    </row>
    <row r="100" spans="1:11" outlineLevel="1" x14ac:dyDescent="0.25">
      <c r="C100" s="23" t="b">
        <v>0</v>
      </c>
      <c r="H100" s="12" t="str">
        <f t="shared" si="8"/>
        <v>CountryStoreVN</v>
      </c>
    </row>
    <row r="102" spans="1:11" x14ac:dyDescent="0.25">
      <c r="A102" s="23" t="s">
        <v>15</v>
      </c>
      <c r="B102" s="24" t="s">
        <v>358</v>
      </c>
      <c r="C102" s="23" t="s">
        <v>360</v>
      </c>
      <c r="D102" s="16" t="s">
        <v>363</v>
      </c>
      <c r="E102" s="24" t="s">
        <v>432</v>
      </c>
      <c r="H102" s="23" t="s">
        <v>362</v>
      </c>
    </row>
    <row r="103" spans="1:11" x14ac:dyDescent="0.25">
      <c r="C103" s="23" t="s">
        <v>253</v>
      </c>
      <c r="D103" s="16" t="s">
        <v>361</v>
      </c>
    </row>
    <row r="104" spans="1:11" x14ac:dyDescent="0.25">
      <c r="C104" s="23" t="s">
        <v>365</v>
      </c>
      <c r="D104" s="16" t="s">
        <v>363</v>
      </c>
    </row>
    <row r="105" spans="1:11" x14ac:dyDescent="0.25">
      <c r="C105" s="24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5" s="23" t="s">
        <v>700</v>
      </c>
      <c r="H105" s="23" t="s">
        <v>699</v>
      </c>
      <c r="K105" s="24" t="s">
        <v>840</v>
      </c>
    </row>
    <row r="106" spans="1:11" x14ac:dyDescent="0.25">
      <c r="C106" s="23" t="s">
        <v>532</v>
      </c>
      <c r="D106" s="16" t="s">
        <v>698</v>
      </c>
      <c r="E106" s="6"/>
    </row>
    <row r="107" spans="1:11" x14ac:dyDescent="0.25">
      <c r="C107" s="23" t="s">
        <v>533</v>
      </c>
      <c r="D107" s="16" t="s">
        <v>536</v>
      </c>
      <c r="E107" s="6"/>
    </row>
    <row r="109" spans="1:11" x14ac:dyDescent="0.25">
      <c r="A109" s="23" t="s">
        <v>15</v>
      </c>
      <c r="B109" s="23" t="s">
        <v>9</v>
      </c>
      <c r="C109" s="23" t="s">
        <v>93</v>
      </c>
      <c r="D109" s="23" t="s">
        <v>23</v>
      </c>
      <c r="E109" s="24" t="s">
        <v>433</v>
      </c>
    </row>
    <row r="111" spans="1:11" x14ac:dyDescent="0.25">
      <c r="A111" s="23" t="s">
        <v>15</v>
      </c>
      <c r="B111" s="23" t="s">
        <v>405</v>
      </c>
      <c r="C111" s="23" t="s">
        <v>406</v>
      </c>
      <c r="E111" s="24" t="s">
        <v>436</v>
      </c>
    </row>
    <row r="112" spans="1:11" x14ac:dyDescent="0.25">
      <c r="E112" s="24"/>
    </row>
    <row r="113" spans="1:5" x14ac:dyDescent="0.25">
      <c r="A113" s="23" t="s">
        <v>16</v>
      </c>
      <c r="B113" s="24" t="s">
        <v>25</v>
      </c>
      <c r="C113" s="23" t="s">
        <v>757</v>
      </c>
      <c r="E113" s="23" t="s">
        <v>148</v>
      </c>
    </row>
    <row r="114" spans="1:5" x14ac:dyDescent="0.25">
      <c r="B114" s="24"/>
      <c r="C114" s="23" t="s">
        <v>435</v>
      </c>
      <c r="D114" s="24"/>
    </row>
    <row r="115" spans="1:5" x14ac:dyDescent="0.25">
      <c r="C115" s="23" t="s">
        <v>95</v>
      </c>
    </row>
    <row r="116" spans="1:5" x14ac:dyDescent="0.25">
      <c r="B116" s="24"/>
      <c r="C116" s="23" t="s">
        <v>760</v>
      </c>
      <c r="E116" s="23" t="s">
        <v>371</v>
      </c>
    </row>
    <row r="117" spans="1:5" x14ac:dyDescent="0.25">
      <c r="A117" s="23" t="s">
        <v>16</v>
      </c>
      <c r="B117" s="24" t="s">
        <v>667</v>
      </c>
      <c r="C117" s="23" t="s">
        <v>824</v>
      </c>
    </row>
    <row r="119" spans="1:5" x14ac:dyDescent="0.25">
      <c r="A119" s="23" t="s">
        <v>16</v>
      </c>
      <c r="B119" s="24" t="s">
        <v>95</v>
      </c>
      <c r="C119" s="23" t="s">
        <v>94</v>
      </c>
    </row>
    <row r="120" spans="1:5" x14ac:dyDescent="0.25">
      <c r="C120" s="23" t="s">
        <v>688</v>
      </c>
    </row>
    <row r="121" spans="1:5" x14ac:dyDescent="0.25">
      <c r="C121" s="23" t="s">
        <v>339</v>
      </c>
      <c r="E121" s="23" t="s">
        <v>104</v>
      </c>
    </row>
    <row r="122" spans="1:5" x14ac:dyDescent="0.25">
      <c r="C122" s="23" t="s">
        <v>114</v>
      </c>
    </row>
    <row r="123" spans="1:5" x14ac:dyDescent="0.25">
      <c r="A123" s="23" t="s">
        <v>16</v>
      </c>
      <c r="B123" s="23" t="s">
        <v>114</v>
      </c>
      <c r="C123" s="23" t="s">
        <v>448</v>
      </c>
      <c r="E123" s="23" t="s">
        <v>115</v>
      </c>
    </row>
    <row r="125" spans="1:5" x14ac:dyDescent="0.25">
      <c r="A125" s="23" t="s">
        <v>16</v>
      </c>
      <c r="B125" s="23" t="s">
        <v>759</v>
      </c>
      <c r="C125" s="23" t="s">
        <v>761</v>
      </c>
    </row>
    <row r="126" spans="1:5" x14ac:dyDescent="0.25">
      <c r="A126" s="23" t="s">
        <v>16</v>
      </c>
      <c r="B126" s="24" t="s">
        <v>32</v>
      </c>
      <c r="C126" s="23" t="s">
        <v>721</v>
      </c>
    </row>
    <row r="127" spans="1:5" x14ac:dyDescent="0.25">
      <c r="B127" s="24"/>
      <c r="C127" s="23" t="s">
        <v>118</v>
      </c>
    </row>
    <row r="128" spans="1:5" x14ac:dyDescent="0.25">
      <c r="B128" s="24"/>
      <c r="C128" s="23" t="s">
        <v>902</v>
      </c>
    </row>
    <row r="129" spans="1:12" x14ac:dyDescent="0.25">
      <c r="C129" s="23" t="s">
        <v>903</v>
      </c>
      <c r="E129" s="23" t="s">
        <v>122</v>
      </c>
    </row>
    <row r="130" spans="1:12" x14ac:dyDescent="0.25">
      <c r="C130" s="23" t="s">
        <v>904</v>
      </c>
      <c r="E130" s="23" t="s">
        <v>57</v>
      </c>
    </row>
    <row r="131" spans="1:12" x14ac:dyDescent="0.25">
      <c r="C131" s="23" t="s">
        <v>837</v>
      </c>
    </row>
    <row r="132" spans="1:12" x14ac:dyDescent="0.25">
      <c r="C132" s="23" t="s">
        <v>839</v>
      </c>
    </row>
    <row r="133" spans="1:12" x14ac:dyDescent="0.25">
      <c r="A133" s="23" t="s">
        <v>16</v>
      </c>
      <c r="B133" s="23" t="s">
        <v>900</v>
      </c>
      <c r="C133" s="23" t="s">
        <v>901</v>
      </c>
    </row>
    <row r="134" spans="1:12" x14ac:dyDescent="0.25">
      <c r="A134" s="23" t="s">
        <v>16</v>
      </c>
      <c r="B134" s="23" t="s">
        <v>837</v>
      </c>
      <c r="C134" s="23" t="s">
        <v>56</v>
      </c>
    </row>
    <row r="135" spans="1:12" x14ac:dyDescent="0.25">
      <c r="C135" s="23" t="s">
        <v>377</v>
      </c>
    </row>
    <row r="136" spans="1:12" x14ac:dyDescent="0.25">
      <c r="C136" s="23" t="s">
        <v>401</v>
      </c>
      <c r="E136" s="23" t="s">
        <v>722</v>
      </c>
      <c r="L136" s="23" t="s">
        <v>401</v>
      </c>
    </row>
    <row r="137" spans="1:12" x14ac:dyDescent="0.25">
      <c r="C137" s="23" t="s">
        <v>815</v>
      </c>
      <c r="E137" s="23" t="s">
        <v>811</v>
      </c>
    </row>
    <row r="138" spans="1:12" x14ac:dyDescent="0.25">
      <c r="A138" s="23" t="s">
        <v>16</v>
      </c>
      <c r="B138" s="23" t="s">
        <v>836</v>
      </c>
      <c r="C138" s="23" t="s">
        <v>58</v>
      </c>
    </row>
    <row r="139" spans="1:12" x14ac:dyDescent="0.25">
      <c r="C139" s="23" t="s">
        <v>377</v>
      </c>
    </row>
    <row r="140" spans="1:12" x14ac:dyDescent="0.25">
      <c r="C140" s="23" t="s">
        <v>402</v>
      </c>
    </row>
    <row r="144" spans="1:12" x14ac:dyDescent="0.25">
      <c r="A144" s="23" t="s">
        <v>16</v>
      </c>
      <c r="B144" s="23" t="s">
        <v>823</v>
      </c>
      <c r="C144" s="23" t="s">
        <v>815</v>
      </c>
      <c r="E144" s="23" t="s">
        <v>811</v>
      </c>
    </row>
    <row r="146" spans="1:11" x14ac:dyDescent="0.25">
      <c r="A146" s="23" t="s">
        <v>16</v>
      </c>
      <c r="B146" s="23" t="s">
        <v>813</v>
      </c>
      <c r="C146" s="23" t="s">
        <v>816</v>
      </c>
    </row>
    <row r="147" spans="1:11" x14ac:dyDescent="0.25">
      <c r="C147" s="23" t="s">
        <v>820</v>
      </c>
      <c r="E147" s="23" t="s">
        <v>814</v>
      </c>
      <c r="K147" s="23" t="s">
        <v>821</v>
      </c>
    </row>
    <row r="149" spans="1:11" x14ac:dyDescent="0.25">
      <c r="A149" s="23" t="s">
        <v>16</v>
      </c>
      <c r="B149" s="23" t="s">
        <v>818</v>
      </c>
      <c r="C149" s="23" t="s">
        <v>819</v>
      </c>
    </row>
    <row r="152" spans="1:11" x14ac:dyDescent="0.25">
      <c r="A152" s="23" t="s">
        <v>16</v>
      </c>
      <c r="B152" s="23" t="s">
        <v>118</v>
      </c>
      <c r="C152" s="23" t="s">
        <v>399</v>
      </c>
      <c r="D152" s="23" t="s">
        <v>29</v>
      </c>
      <c r="E152" s="23" t="s">
        <v>117</v>
      </c>
    </row>
    <row r="153" spans="1:11" x14ac:dyDescent="0.25">
      <c r="C153" s="23" t="s">
        <v>441</v>
      </c>
    </row>
    <row r="154" spans="1:11" x14ac:dyDescent="0.25">
      <c r="A154" s="23" t="s">
        <v>16</v>
      </c>
      <c r="B154" s="23" t="s">
        <v>441</v>
      </c>
      <c r="C154" s="23" t="s">
        <v>442</v>
      </c>
    </row>
    <row r="155" spans="1:11" x14ac:dyDescent="0.25">
      <c r="A155" s="23" t="s">
        <v>16</v>
      </c>
      <c r="B155" s="23" t="s">
        <v>122</v>
      </c>
      <c r="C155" s="23" t="s">
        <v>348</v>
      </c>
      <c r="E155" s="23" t="s">
        <v>126</v>
      </c>
    </row>
    <row r="156" spans="1:11" x14ac:dyDescent="0.25">
      <c r="C156" s="23" t="s">
        <v>349</v>
      </c>
      <c r="E156" s="23" t="s">
        <v>127</v>
      </c>
    </row>
    <row r="157" spans="1:11" x14ac:dyDescent="0.25">
      <c r="A157" s="23" t="s">
        <v>16</v>
      </c>
      <c r="B157" s="23" t="s">
        <v>124</v>
      </c>
      <c r="C157" s="23" t="s">
        <v>350</v>
      </c>
      <c r="E157" s="23" t="s">
        <v>128</v>
      </c>
    </row>
    <row r="158" spans="1:11" x14ac:dyDescent="0.25">
      <c r="C158" s="23" t="s">
        <v>2</v>
      </c>
    </row>
    <row r="159" spans="1:11" x14ac:dyDescent="0.25">
      <c r="C159" s="23" t="s">
        <v>129</v>
      </c>
    </row>
    <row r="160" spans="1:11" x14ac:dyDescent="0.25">
      <c r="C160" s="23" t="s">
        <v>120</v>
      </c>
      <c r="E160" s="23" t="s">
        <v>131</v>
      </c>
    </row>
    <row r="161" spans="1:5" x14ac:dyDescent="0.25">
      <c r="C161" s="23" t="s">
        <v>121</v>
      </c>
      <c r="E161" s="23" t="s">
        <v>132</v>
      </c>
    </row>
    <row r="162" spans="1:5" x14ac:dyDescent="0.25">
      <c r="C162" s="23" t="s">
        <v>351</v>
      </c>
      <c r="E162" s="23" t="s">
        <v>133</v>
      </c>
    </row>
    <row r="163" spans="1:5" x14ac:dyDescent="0.25">
      <c r="A163" s="23" t="s">
        <v>16</v>
      </c>
      <c r="B163" s="23" t="s">
        <v>134</v>
      </c>
      <c r="C163" s="23" t="s">
        <v>27</v>
      </c>
    </row>
    <row r="165" spans="1:5" x14ac:dyDescent="0.25">
      <c r="A165" s="23" t="s">
        <v>16</v>
      </c>
      <c r="B165" s="23" t="s">
        <v>57</v>
      </c>
      <c r="C165" s="23" t="s">
        <v>61</v>
      </c>
      <c r="E165" s="23" t="s">
        <v>99</v>
      </c>
    </row>
    <row r="166" spans="1:5" x14ac:dyDescent="0.25">
      <c r="A166" s="23" t="s">
        <v>16</v>
      </c>
      <c r="B166" s="23" t="s">
        <v>56</v>
      </c>
      <c r="C166" s="23" t="s">
        <v>60</v>
      </c>
      <c r="E166" s="23" t="s">
        <v>100</v>
      </c>
    </row>
    <row r="167" spans="1:5" x14ac:dyDescent="0.25">
      <c r="A167" s="23" t="s">
        <v>16</v>
      </c>
      <c r="B167" s="23" t="s">
        <v>58</v>
      </c>
      <c r="C167" s="23" t="s">
        <v>59</v>
      </c>
      <c r="E167" s="23" t="s">
        <v>101</v>
      </c>
    </row>
    <row r="168" spans="1:5" x14ac:dyDescent="0.25">
      <c r="A168" s="23" t="s">
        <v>16</v>
      </c>
      <c r="B168" s="23" t="s">
        <v>63</v>
      </c>
      <c r="C168" s="23" t="s">
        <v>342</v>
      </c>
      <c r="E168" s="23" t="s">
        <v>102</v>
      </c>
    </row>
    <row r="170" spans="1:5" x14ac:dyDescent="0.25">
      <c r="A170" s="23" t="s">
        <v>16</v>
      </c>
      <c r="B170" s="23" t="s">
        <v>377</v>
      </c>
      <c r="C170" s="23" t="s">
        <v>340</v>
      </c>
      <c r="E170" s="23" t="s">
        <v>143</v>
      </c>
    </row>
    <row r="171" spans="1:5" x14ac:dyDescent="0.25">
      <c r="C171" s="23" t="s">
        <v>447</v>
      </c>
    </row>
    <row r="172" spans="1:5" x14ac:dyDescent="0.25">
      <c r="C172" s="23" t="s">
        <v>63</v>
      </c>
      <c r="E172" s="23" t="s">
        <v>144</v>
      </c>
    </row>
    <row r="173" spans="1:5" x14ac:dyDescent="0.25">
      <c r="C173" s="23" t="s">
        <v>17</v>
      </c>
      <c r="E173" s="23" t="s">
        <v>439</v>
      </c>
    </row>
    <row r="174" spans="1:5" x14ac:dyDescent="0.25">
      <c r="A174" s="23" t="s">
        <v>16</v>
      </c>
      <c r="B174" s="23" t="s">
        <v>17</v>
      </c>
      <c r="C174" s="23" t="s">
        <v>443</v>
      </c>
    </row>
    <row r="175" spans="1:5" x14ac:dyDescent="0.25">
      <c r="C175" s="23" t="s">
        <v>3</v>
      </c>
      <c r="E175" s="23" t="s">
        <v>97</v>
      </c>
    </row>
    <row r="176" spans="1:5" x14ac:dyDescent="0.25">
      <c r="C176" s="23" t="s">
        <v>444</v>
      </c>
      <c r="E176" s="23" t="s">
        <v>355</v>
      </c>
    </row>
    <row r="177" spans="1:7" x14ac:dyDescent="0.25">
      <c r="C177" s="23" t="s">
        <v>4</v>
      </c>
      <c r="E177" s="23" t="s">
        <v>96</v>
      </c>
    </row>
    <row r="178" spans="1:7" x14ac:dyDescent="0.25">
      <c r="C178" s="23" t="s">
        <v>445</v>
      </c>
    </row>
    <row r="179" spans="1:7" x14ac:dyDescent="0.25">
      <c r="C179" s="23" t="s">
        <v>5</v>
      </c>
    </row>
    <row r="180" spans="1:7" x14ac:dyDescent="0.25">
      <c r="C180" s="23" t="s">
        <v>446</v>
      </c>
    </row>
    <row r="181" spans="1:7" x14ac:dyDescent="0.25">
      <c r="C181" s="23" t="s">
        <v>6</v>
      </c>
    </row>
    <row r="182" spans="1:7" x14ac:dyDescent="0.25">
      <c r="C182" s="23" t="s">
        <v>24</v>
      </c>
      <c r="E182" s="23" t="s">
        <v>146</v>
      </c>
    </row>
    <row r="183" spans="1:7" x14ac:dyDescent="0.25">
      <c r="C183" s="23" t="s">
        <v>341</v>
      </c>
      <c r="E183" s="23" t="s">
        <v>145</v>
      </c>
    </row>
    <row r="184" spans="1:7" x14ac:dyDescent="0.25">
      <c r="C184" s="23" t="s">
        <v>65</v>
      </c>
      <c r="E184" s="23" t="s">
        <v>137</v>
      </c>
    </row>
    <row r="185" spans="1:7" x14ac:dyDescent="0.25">
      <c r="A185" s="23" t="s">
        <v>16</v>
      </c>
      <c r="B185" s="23" t="s">
        <v>378</v>
      </c>
      <c r="C185" s="23" t="s">
        <v>382</v>
      </c>
    </row>
    <row r="186" spans="1:7" x14ac:dyDescent="0.25">
      <c r="C186" s="23" t="s">
        <v>3</v>
      </c>
      <c r="E186" s="23" t="s">
        <v>97</v>
      </c>
    </row>
    <row r="187" spans="1:7" x14ac:dyDescent="0.25">
      <c r="C187" s="23" t="s">
        <v>383</v>
      </c>
      <c r="E187" s="23" t="s">
        <v>355</v>
      </c>
    </row>
    <row r="188" spans="1:7" x14ac:dyDescent="0.25">
      <c r="C188" s="23" t="s">
        <v>379</v>
      </c>
      <c r="E188" s="23" t="s">
        <v>380</v>
      </c>
      <c r="G188" s="23" t="s">
        <v>381</v>
      </c>
    </row>
    <row r="189" spans="1:7" x14ac:dyDescent="0.25">
      <c r="C189" s="23" t="s">
        <v>384</v>
      </c>
    </row>
    <row r="190" spans="1:7" x14ac:dyDescent="0.25">
      <c r="C190" s="23" t="s">
        <v>5</v>
      </c>
    </row>
    <row r="191" spans="1:7" x14ac:dyDescent="0.25">
      <c r="C191" s="23" t="s">
        <v>385</v>
      </c>
    </row>
    <row r="192" spans="1:7" x14ac:dyDescent="0.25">
      <c r="C192" s="23" t="s">
        <v>6</v>
      </c>
    </row>
    <row r="193" spans="3:5" x14ac:dyDescent="0.25">
      <c r="C193" s="23" t="s">
        <v>24</v>
      </c>
      <c r="E193" s="23" t="s">
        <v>146</v>
      </c>
    </row>
    <row r="194" spans="3:5" x14ac:dyDescent="0.25">
      <c r="C194" s="23" t="s">
        <v>341</v>
      </c>
      <c r="E194" s="23" t="s">
        <v>386</v>
      </c>
    </row>
    <row r="195" spans="3:5" x14ac:dyDescent="0.25">
      <c r="C195" s="23" t="s">
        <v>65</v>
      </c>
      <c r="E195" s="23" t="s">
        <v>137</v>
      </c>
    </row>
  </sheetData>
  <hyperlinks>
    <hyperlink ref="C119" r:id="rId1" xr:uid="{3A1BF2F5-ABDA-411E-8C96-05D5268198C3}"/>
    <hyperlink ref="D152" r:id="rId2" display="url:URL_Dclick_Pages" xr:uid="{81592B55-2352-49D7-B0D6-C6FFDC81AD2D}"/>
    <hyperlink ref="C152" r:id="rId3" display="url:URL_Dclick_Pages" xr:uid="{64F1FBB7-FF59-4FBB-B974-2688B7399D4E}"/>
    <hyperlink ref="H2" r:id="rId4" xr:uid="{5CFCF914-78B3-43D1-9937-E5FCA7A8E213}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9E8C-68DD-453C-BE70-8024A1612544}">
  <sheetPr codeName="Sheet11"/>
  <dimension ref="A1:O200"/>
  <sheetViews>
    <sheetView topLeftCell="A40" zoomScale="90" zoomScaleNormal="90" workbookViewId="0">
      <selection activeCell="D24" sqref="D24"/>
    </sheetView>
  </sheetViews>
  <sheetFormatPr defaultRowHeight="15" outlineLevelRow="1" x14ac:dyDescent="0.25"/>
  <cols>
    <col min="2" max="2" width="25.28515625" customWidth="1"/>
    <col min="3" max="3" width="33.5703125" customWidth="1"/>
    <col min="4" max="4" width="36.140625" customWidth="1"/>
    <col min="5" max="5" width="24.7109375" customWidth="1"/>
    <col min="11" max="11" width="17.5703125" customWidth="1"/>
    <col min="12" max="12" width="15.140625" customWidth="1"/>
  </cols>
  <sheetData>
    <row r="1" spans="1:11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  <c r="K1" t="s">
        <v>873</v>
      </c>
    </row>
    <row r="2" spans="1:11" x14ac:dyDescent="0.25">
      <c r="A2" t="s">
        <v>15</v>
      </c>
      <c r="B2" t="s">
        <v>28</v>
      </c>
      <c r="C2" s="3" t="s">
        <v>791</v>
      </c>
      <c r="D2" s="17" t="s">
        <v>828</v>
      </c>
      <c r="E2" t="s">
        <v>92</v>
      </c>
      <c r="H2" s="21" t="s">
        <v>874</v>
      </c>
      <c r="K2" s="17" t="s">
        <v>828</v>
      </c>
    </row>
    <row r="3" spans="1:11" outlineLevel="1" x14ac:dyDescent="0.25">
      <c r="C3" t="s">
        <v>765</v>
      </c>
      <c r="D3" s="17" t="s">
        <v>766</v>
      </c>
      <c r="E3" t="s">
        <v>92</v>
      </c>
      <c r="H3" s="22" t="s">
        <v>875</v>
      </c>
      <c r="K3" s="17" t="s">
        <v>766</v>
      </c>
    </row>
    <row r="4" spans="1:11" outlineLevel="1" x14ac:dyDescent="0.25">
      <c r="C4" s="3" t="s">
        <v>789</v>
      </c>
      <c r="D4" s="17" t="s">
        <v>826</v>
      </c>
      <c r="E4" t="s">
        <v>92</v>
      </c>
      <c r="H4" s="17" t="s">
        <v>826</v>
      </c>
      <c r="K4" s="17" t="s">
        <v>826</v>
      </c>
    </row>
    <row r="5" spans="1:11" outlineLevel="1" x14ac:dyDescent="0.25">
      <c r="C5" t="s">
        <v>764</v>
      </c>
      <c r="D5" s="17" t="s">
        <v>763</v>
      </c>
      <c r="E5" t="s">
        <v>92</v>
      </c>
      <c r="H5" s="17" t="s">
        <v>763</v>
      </c>
      <c r="K5" s="17" t="s">
        <v>763</v>
      </c>
    </row>
    <row r="6" spans="1:11" outlineLevel="1" x14ac:dyDescent="0.25">
      <c r="C6" s="3" t="s">
        <v>788</v>
      </c>
      <c r="D6" s="17" t="s">
        <v>825</v>
      </c>
      <c r="E6" t="s">
        <v>92</v>
      </c>
      <c r="H6" s="17" t="s">
        <v>825</v>
      </c>
      <c r="K6" s="17" t="s">
        <v>825</v>
      </c>
    </row>
    <row r="7" spans="1:11" outlineLevel="1" x14ac:dyDescent="0.25">
      <c r="C7" t="s">
        <v>768</v>
      </c>
      <c r="D7" s="17" t="s">
        <v>767</v>
      </c>
      <c r="E7" t="s">
        <v>92</v>
      </c>
      <c r="H7" s="17" t="s">
        <v>767</v>
      </c>
      <c r="K7" s="17" t="s">
        <v>767</v>
      </c>
    </row>
    <row r="8" spans="1:11" outlineLevel="1" x14ac:dyDescent="0.25">
      <c r="C8" s="14" t="s">
        <v>467</v>
      </c>
      <c r="D8" s="17" t="s">
        <v>468</v>
      </c>
      <c r="E8" t="s">
        <v>92</v>
      </c>
      <c r="H8" s="17" t="s">
        <v>468</v>
      </c>
      <c r="K8" s="17" t="s">
        <v>468</v>
      </c>
    </row>
    <row r="9" spans="1:11" outlineLevel="1" x14ac:dyDescent="0.25">
      <c r="C9" s="14" t="s">
        <v>466</v>
      </c>
      <c r="D9" s="17" t="s">
        <v>465</v>
      </c>
      <c r="E9" t="s">
        <v>92</v>
      </c>
      <c r="H9" s="17" t="s">
        <v>465</v>
      </c>
      <c r="K9" s="17" t="s">
        <v>465</v>
      </c>
    </row>
    <row r="10" spans="1:11" outlineLevel="1" x14ac:dyDescent="0.25">
      <c r="C10" s="3" t="s">
        <v>793</v>
      </c>
      <c r="D10" s="17" t="s">
        <v>827</v>
      </c>
      <c r="E10" t="s">
        <v>92</v>
      </c>
      <c r="H10" s="22" t="s">
        <v>882</v>
      </c>
      <c r="K10" s="17" t="s">
        <v>827</v>
      </c>
    </row>
    <row r="11" spans="1:11" outlineLevel="1" x14ac:dyDescent="0.25">
      <c r="C11" t="s">
        <v>770</v>
      </c>
      <c r="D11" s="17" t="s">
        <v>769</v>
      </c>
      <c r="E11" t="s">
        <v>92</v>
      </c>
      <c r="H11" s="22" t="s">
        <v>883</v>
      </c>
      <c r="K11" s="17" t="s">
        <v>769</v>
      </c>
    </row>
    <row r="12" spans="1:11" outlineLevel="1" x14ac:dyDescent="0.25">
      <c r="C12" s="3" t="s">
        <v>794</v>
      </c>
      <c r="D12" s="17" t="s">
        <v>830</v>
      </c>
      <c r="E12" t="s">
        <v>92</v>
      </c>
      <c r="H12" s="22" t="s">
        <v>884</v>
      </c>
      <c r="K12" s="17" t="s">
        <v>830</v>
      </c>
    </row>
    <row r="13" spans="1:11" outlineLevel="1" x14ac:dyDescent="0.25">
      <c r="C13" t="s">
        <v>772</v>
      </c>
      <c r="D13" s="17" t="s">
        <v>771</v>
      </c>
      <c r="E13" t="s">
        <v>92</v>
      </c>
      <c r="H13" s="22" t="s">
        <v>884</v>
      </c>
      <c r="K13" s="17" t="s">
        <v>771</v>
      </c>
    </row>
    <row r="14" spans="1:11" outlineLevel="1" x14ac:dyDescent="0.25">
      <c r="C14" s="3" t="s">
        <v>795</v>
      </c>
      <c r="D14" s="17" t="s">
        <v>831</v>
      </c>
      <c r="E14" t="s">
        <v>92</v>
      </c>
      <c r="H14" s="22" t="s">
        <v>885</v>
      </c>
      <c r="K14" s="17" t="s">
        <v>831</v>
      </c>
    </row>
    <row r="15" spans="1:11" outlineLevel="1" x14ac:dyDescent="0.25">
      <c r="C15" t="s">
        <v>776</v>
      </c>
      <c r="D15" s="17" t="s">
        <v>775</v>
      </c>
      <c r="E15" t="s">
        <v>92</v>
      </c>
      <c r="H15" s="22" t="s">
        <v>886</v>
      </c>
      <c r="K15" s="17" t="s">
        <v>775</v>
      </c>
    </row>
    <row r="16" spans="1:11" outlineLevel="1" x14ac:dyDescent="0.25">
      <c r="C16" s="3" t="s">
        <v>796</v>
      </c>
      <c r="D16" s="17" t="s">
        <v>832</v>
      </c>
      <c r="E16" t="s">
        <v>92</v>
      </c>
      <c r="H16" s="22" t="s">
        <v>887</v>
      </c>
      <c r="K16" s="17" t="s">
        <v>832</v>
      </c>
    </row>
    <row r="17" spans="1:15" outlineLevel="1" x14ac:dyDescent="0.25">
      <c r="C17" t="s">
        <v>774</v>
      </c>
      <c r="D17" s="17" t="s">
        <v>773</v>
      </c>
      <c r="E17" t="s">
        <v>92</v>
      </c>
      <c r="H17" s="22" t="s">
        <v>888</v>
      </c>
      <c r="K17" s="17" t="s">
        <v>773</v>
      </c>
    </row>
    <row r="18" spans="1:15" outlineLevel="1" x14ac:dyDescent="0.25">
      <c r="C18" s="3" t="s">
        <v>797</v>
      </c>
      <c r="D18" s="17" t="s">
        <v>833</v>
      </c>
      <c r="E18" t="s">
        <v>92</v>
      </c>
      <c r="H18" s="22" t="s">
        <v>889</v>
      </c>
      <c r="K18" s="17" t="s">
        <v>833</v>
      </c>
    </row>
    <row r="19" spans="1:15" outlineLevel="1" x14ac:dyDescent="0.25">
      <c r="C19" t="s">
        <v>784</v>
      </c>
      <c r="D19" s="17" t="s">
        <v>783</v>
      </c>
      <c r="E19" t="s">
        <v>92</v>
      </c>
      <c r="H19" s="22" t="s">
        <v>890</v>
      </c>
      <c r="K19" s="17" t="s">
        <v>783</v>
      </c>
    </row>
    <row r="20" spans="1:15" outlineLevel="1" x14ac:dyDescent="0.25">
      <c r="C20" s="3" t="s">
        <v>798</v>
      </c>
      <c r="D20" s="17" t="s">
        <v>834</v>
      </c>
      <c r="E20" t="s">
        <v>92</v>
      </c>
      <c r="H20" s="22" t="s">
        <v>876</v>
      </c>
      <c r="K20" s="17" t="s">
        <v>834</v>
      </c>
    </row>
    <row r="21" spans="1:15" outlineLevel="1" x14ac:dyDescent="0.25">
      <c r="C21" t="s">
        <v>782</v>
      </c>
      <c r="D21" s="17" t="s">
        <v>781</v>
      </c>
      <c r="E21" t="s">
        <v>92</v>
      </c>
      <c r="H21" s="22" t="s">
        <v>877</v>
      </c>
      <c r="K21" s="17" t="s">
        <v>781</v>
      </c>
    </row>
    <row r="22" spans="1:15" outlineLevel="1" x14ac:dyDescent="0.25">
      <c r="C22" s="3" t="s">
        <v>799</v>
      </c>
      <c r="D22" s="17" t="s">
        <v>829</v>
      </c>
      <c r="E22" t="s">
        <v>92</v>
      </c>
      <c r="H22" s="22" t="s">
        <v>878</v>
      </c>
      <c r="K22" s="17" t="s">
        <v>829</v>
      </c>
    </row>
    <row r="23" spans="1:15" outlineLevel="1" x14ac:dyDescent="0.25">
      <c r="C23" t="s">
        <v>780</v>
      </c>
      <c r="D23" s="17" t="s">
        <v>779</v>
      </c>
      <c r="E23" t="s">
        <v>92</v>
      </c>
      <c r="H23" s="22" t="s">
        <v>879</v>
      </c>
      <c r="K23" s="17" t="s">
        <v>779</v>
      </c>
    </row>
    <row r="24" spans="1:15" outlineLevel="1" x14ac:dyDescent="0.25">
      <c r="C24" s="3" t="s">
        <v>800</v>
      </c>
      <c r="D24" s="17" t="s">
        <v>835</v>
      </c>
      <c r="E24" t="s">
        <v>92</v>
      </c>
      <c r="H24" s="22" t="s">
        <v>880</v>
      </c>
      <c r="K24" s="17" t="s">
        <v>835</v>
      </c>
    </row>
    <row r="25" spans="1:15" outlineLevel="1" x14ac:dyDescent="0.25">
      <c r="C25" t="s">
        <v>778</v>
      </c>
      <c r="D25" s="17" t="s">
        <v>777</v>
      </c>
      <c r="E25" t="s">
        <v>92</v>
      </c>
      <c r="H25" s="22" t="s">
        <v>881</v>
      </c>
      <c r="K25" s="17" t="s">
        <v>777</v>
      </c>
    </row>
    <row r="26" spans="1:15" x14ac:dyDescent="0.25">
      <c r="H26" t="s">
        <v>809</v>
      </c>
      <c r="J26" t="s">
        <v>810</v>
      </c>
      <c r="K26" t="s">
        <v>808</v>
      </c>
      <c r="L26" t="s">
        <v>822</v>
      </c>
    </row>
    <row r="27" spans="1:15" x14ac:dyDescent="0.25">
      <c r="A27" t="s">
        <v>15</v>
      </c>
      <c r="B27" t="s">
        <v>758</v>
      </c>
      <c r="C27" s="13" t="b">
        <f ca="1">AND(IF(K27,K27&gt;L27,FALSE),NOT(J27))</f>
        <v>1</v>
      </c>
      <c r="D27" s="16" t="str">
        <f>$O$29&amp;H27&amp;"_NetSales.png"</f>
        <v>D:\OneDrive-Sync\Christian Dior Couture\APAC Management - Reports - Reports\DClick\Images\VM22\SubCategoryKR_NetSales.png</v>
      </c>
      <c r="E27" t="str">
        <f>RIGHT(D27,LEN(D27)-LEN($O$29))</f>
        <v>SubCategoryKR_NetSales.png</v>
      </c>
      <c r="H27" t="str">
        <f t="shared" ref="H27:H50" si="0">C2</f>
        <v>SubCategoryKR</v>
      </c>
      <c r="J27" t="b">
        <v>0</v>
      </c>
      <c r="K27" s="10" cm="1">
        <f t="array" aca="1" ref="K27" ca="1">fileModifiedDate(D27, NOW())</f>
        <v>44899.272731481484</v>
      </c>
      <c r="L27" s="4">
        <f ca="1">IF(NOW()&gt;TODAY()+TIME(3,0,0),TODAY()+TIME(3,0,0),TODAY()-1+TIME(3,0,0))</f>
        <v>44899.125</v>
      </c>
      <c r="M27" t="s">
        <v>762</v>
      </c>
    </row>
    <row r="28" spans="1:15" outlineLevel="1" x14ac:dyDescent="0.25">
      <c r="C28" s="13" t="b">
        <f t="shared" ref="C28:C50" ca="1" si="1">AND(IF(K28,K28&gt;L28,FALSE),NOT(J28))</f>
        <v>1</v>
      </c>
      <c r="D28" s="16" t="str">
        <f t="shared" ref="D28:D50" si="2">$O$29&amp;H28&amp;"_NetSales.png"</f>
        <v>D:\OneDrive-Sync\Christian Dior Couture\APAC Management - Reports - Reports\DClick\Images\VM22\CountryStoreKR_NetSales.png</v>
      </c>
      <c r="E28" t="str">
        <f t="shared" ref="E28:E50" si="3">RIGHT(D28,LEN(D28)-LEN($O$29))</f>
        <v>CountryStoreKR_NetSales.png</v>
      </c>
      <c r="H28" t="str">
        <f t="shared" si="0"/>
        <v>CountryStoreKR</v>
      </c>
      <c r="J28" t="b">
        <v>0</v>
      </c>
      <c r="K28" s="10" cm="1">
        <f t="array" aca="1" ref="K28" ca="1">fileModifiedDate(D28, NOW())</f>
        <v>44899.273530092592</v>
      </c>
      <c r="L28" s="4">
        <f ca="1">L27</f>
        <v>44899.125</v>
      </c>
      <c r="O28" t="s">
        <v>841</v>
      </c>
    </row>
    <row r="29" spans="1:15" outlineLevel="1" x14ac:dyDescent="0.25">
      <c r="C29" s="13" t="b">
        <f t="shared" ca="1" si="1"/>
        <v>1</v>
      </c>
      <c r="D29" s="16" t="str">
        <f t="shared" si="2"/>
        <v>D:\OneDrive-Sync\Christian Dior Couture\APAC Management - Reports - Reports\DClick\Images\VM22\SubCategoryHKMO_NetSales.png</v>
      </c>
      <c r="E29" t="str">
        <f t="shared" si="3"/>
        <v>SubCategoryHKMO_NetSales.png</v>
      </c>
      <c r="H29" t="str">
        <f t="shared" si="0"/>
        <v>SubCategoryHKMO</v>
      </c>
      <c r="J29" t="b">
        <v>0</v>
      </c>
      <c r="K29" s="10" cm="1">
        <f t="array" aca="1" ref="K29" ca="1">fileModifiedDate(D29, NOW())</f>
        <v>44899.274317129632</v>
      </c>
      <c r="L29" s="4">
        <f ca="1">L28</f>
        <v>44899.125</v>
      </c>
      <c r="O29" t="str">
        <f>D106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1</v>
      </c>
      <c r="D30" s="16" t="str">
        <f t="shared" si="2"/>
        <v>D:\OneDrive-Sync\Christian Dior Couture\APAC Management - Reports - Reports\DClick\Images\VM22\CountryStoreHKMO_NetSales.png</v>
      </c>
      <c r="E30" t="str">
        <f t="shared" si="3"/>
        <v>CountryStoreHKMO_NetSales.png</v>
      </c>
      <c r="H30" t="str">
        <f t="shared" si="0"/>
        <v>CountryStoreHKMO</v>
      </c>
      <c r="J30" t="b">
        <v>0</v>
      </c>
      <c r="K30" s="10" cm="1">
        <f t="array" aca="1" ref="K30" ca="1">fileModifiedDate(D30, NOW())</f>
        <v>44899.275104166663</v>
      </c>
      <c r="L30" s="4">
        <f t="shared" ref="L30:L50" ca="1" si="4">L29</f>
        <v>44899.125</v>
      </c>
    </row>
    <row r="31" spans="1:15" outlineLevel="1" x14ac:dyDescent="0.25">
      <c r="C31" s="13" t="b">
        <f t="shared" ca="1" si="1"/>
        <v>1</v>
      </c>
      <c r="D31" s="16" t="str">
        <f t="shared" si="2"/>
        <v>D:\OneDrive-Sync\Christian Dior Couture\APAC Management - Reports - Reports\DClick\Images\VM22\SubCategoryAUNZ_NetSales.png</v>
      </c>
      <c r="E31" t="str">
        <f t="shared" si="3"/>
        <v>SubCategoryAUNZ_NetSales.png</v>
      </c>
      <c r="H31" t="str">
        <f t="shared" si="0"/>
        <v>SubCategoryAUNZ</v>
      </c>
      <c r="J31" t="b">
        <v>0</v>
      </c>
      <c r="K31" s="10" cm="1">
        <f t="array" aca="1" ref="K31" ca="1">fileModifiedDate(D31, NOW())</f>
        <v>44899.275752314818</v>
      </c>
      <c r="L31" s="4">
        <f t="shared" ca="1" si="4"/>
        <v>44899.125</v>
      </c>
      <c r="O31" t="s">
        <v>844</v>
      </c>
    </row>
    <row r="32" spans="1:15" outlineLevel="1" x14ac:dyDescent="0.25">
      <c r="C32" s="13" t="b">
        <f t="shared" ca="1" si="1"/>
        <v>1</v>
      </c>
      <c r="D32" s="16" t="str">
        <f t="shared" si="2"/>
        <v>D:\OneDrive-Sync\Christian Dior Couture\APAC Management - Reports - Reports\DClick\Images\VM22\CountryStoreAUNZ_NetSales.png</v>
      </c>
      <c r="E32" t="str">
        <f t="shared" si="3"/>
        <v>CountryStoreAUNZ_NetSales.png</v>
      </c>
      <c r="H32" t="str">
        <f t="shared" si="0"/>
        <v>CountryStoreAUNZ</v>
      </c>
      <c r="J32" t="b">
        <v>0</v>
      </c>
      <c r="K32" s="10" cm="1">
        <f t="array" aca="1" ref="K32" ca="1">fileModifiedDate(D32, NOW())</f>
        <v>44899.27652777778</v>
      </c>
      <c r="L32" s="4">
        <f t="shared" ca="1" si="4"/>
        <v>44899.125</v>
      </c>
    </row>
    <row r="33" spans="3:12" outlineLevel="1" x14ac:dyDescent="0.25">
      <c r="C33" s="13" t="b">
        <f t="shared" ca="1" si="1"/>
        <v>1</v>
      </c>
      <c r="D33" s="20" t="str">
        <f>$O$29&amp;H33&amp;"_Units.png"</f>
        <v>D:\OneDrive-Sync\Christian Dior Couture\APAC Management - Reports - Reports\DClick\Images\VM22\SubCategory_Units.png</v>
      </c>
      <c r="E33" t="str">
        <f t="shared" si="3"/>
        <v>SubCategory_Units.png</v>
      </c>
      <c r="H33" t="str">
        <f t="shared" si="0"/>
        <v>SubCategory</v>
      </c>
      <c r="J33" t="b">
        <v>0</v>
      </c>
      <c r="K33" s="10" cm="1">
        <f t="array" aca="1" ref="K33" ca="1">fileModifiedDate(D33, NOW())</f>
        <v>44899.277650462966</v>
      </c>
      <c r="L33" s="4">
        <f t="shared" ca="1" si="4"/>
        <v>44899.125</v>
      </c>
    </row>
    <row r="34" spans="3:12" outlineLevel="1" x14ac:dyDescent="0.25">
      <c r="C34" s="13" t="b">
        <f t="shared" ca="1" si="1"/>
        <v>1</v>
      </c>
      <c r="D34" s="20" t="str">
        <f>$O$29&amp;H34&amp;"_Units.png"</f>
        <v>D:\OneDrive-Sync\Christian Dior Couture\APAC Management - Reports - Reports\DClick\Images\VM22\CountryStore_Units.png</v>
      </c>
      <c r="E34" t="str">
        <f t="shared" si="3"/>
        <v>CountryStore_Units.png</v>
      </c>
      <c r="H34" t="str">
        <f t="shared" si="0"/>
        <v>CountryStore</v>
      </c>
      <c r="J34" t="b">
        <v>0</v>
      </c>
      <c r="K34" s="10" cm="1">
        <f t="array" aca="1" ref="K34" ca="1">fileModifiedDate(D34, NOW())</f>
        <v>44899.278831018521</v>
      </c>
      <c r="L34" s="4">
        <f t="shared" ca="1" si="4"/>
        <v>44899.125</v>
      </c>
    </row>
    <row r="35" spans="3:12" outlineLevel="1" x14ac:dyDescent="0.25">
      <c r="C35" s="13" t="b">
        <f t="shared" ca="1" si="1"/>
        <v>1</v>
      </c>
      <c r="D35" s="16" t="str">
        <f t="shared" si="2"/>
        <v>D:\OneDrive-Sync\Christian Dior Couture\APAC Management - Reports - Reports\DClick\Images\VM22\SubCategorySG_NetSales.png</v>
      </c>
      <c r="E35" t="str">
        <f t="shared" si="3"/>
        <v>SubCategorySG_NetSales.png</v>
      </c>
      <c r="H35" t="str">
        <f t="shared" si="0"/>
        <v>SubCategorySG</v>
      </c>
      <c r="J35" t="b">
        <v>0</v>
      </c>
      <c r="K35" s="10" cm="1">
        <f t="array" aca="1" ref="K35" ca="1">fileModifiedDate(D35, NOW())</f>
        <v>44899.27957175926</v>
      </c>
      <c r="L35" s="4">
        <f t="shared" ca="1" si="4"/>
        <v>44899.125</v>
      </c>
    </row>
    <row r="36" spans="3:12" outlineLevel="1" x14ac:dyDescent="0.25">
      <c r="C36" s="13" t="b">
        <f t="shared" ca="1" si="1"/>
        <v>1</v>
      </c>
      <c r="D36" s="16" t="str">
        <f t="shared" si="2"/>
        <v>D:\OneDrive-Sync\Christian Dior Couture\APAC Management - Reports - Reports\DClick\Images\VM22\CountryStoreSG_NetSales.png</v>
      </c>
      <c r="E36" t="str">
        <f t="shared" si="3"/>
        <v>CountryStoreSG_NetSales.png</v>
      </c>
      <c r="H36" t="str">
        <f t="shared" si="0"/>
        <v>CountryStoreSG</v>
      </c>
      <c r="J36" t="b">
        <v>0</v>
      </c>
      <c r="K36" s="10" cm="1">
        <f t="array" aca="1" ref="K36" ca="1">fileModifiedDate(D36, NOW())</f>
        <v>44899.280289351853</v>
      </c>
      <c r="L36" s="4">
        <f t="shared" ca="1" si="4"/>
        <v>44899.125</v>
      </c>
    </row>
    <row r="37" spans="3:12" outlineLevel="1" x14ac:dyDescent="0.25">
      <c r="C37" s="13" t="b">
        <f t="shared" ca="1" si="1"/>
        <v>1</v>
      </c>
      <c r="D37" s="16" t="str">
        <f t="shared" si="2"/>
        <v>D:\OneDrive-Sync\Christian Dior Couture\APAC Management - Reports - Reports\DClick\Images\VM22\SubCategoryMY_NetSales.png</v>
      </c>
      <c r="E37" t="str">
        <f t="shared" si="3"/>
        <v>SubCategoryMY_NetSales.png</v>
      </c>
      <c r="H37" t="str">
        <f t="shared" si="0"/>
        <v>SubCategoryMY</v>
      </c>
      <c r="J37" t="b">
        <v>0</v>
      </c>
      <c r="K37" s="10" cm="1">
        <f t="array" aca="1" ref="K37" ca="1">fileModifiedDate(D37, NOW())</f>
        <v>44899.281018518515</v>
      </c>
      <c r="L37" s="4">
        <f t="shared" ca="1" si="4"/>
        <v>44899.125</v>
      </c>
    </row>
    <row r="38" spans="3:12" outlineLevel="1" x14ac:dyDescent="0.25">
      <c r="C38" s="13" t="b">
        <f t="shared" ca="1" si="1"/>
        <v>1</v>
      </c>
      <c r="D38" s="16" t="str">
        <f t="shared" si="2"/>
        <v>D:\OneDrive-Sync\Christian Dior Couture\APAC Management - Reports - Reports\DClick\Images\VM22\CountryStoreMY_NetSales.png</v>
      </c>
      <c r="E38" t="str">
        <f t="shared" si="3"/>
        <v>CountryStoreMY_NetSales.png</v>
      </c>
      <c r="H38" t="str">
        <f t="shared" si="0"/>
        <v>CountryStoreMY</v>
      </c>
      <c r="J38" t="b">
        <v>0</v>
      </c>
      <c r="K38" s="10" cm="1">
        <f t="array" aca="1" ref="K38" ca="1">fileModifiedDate(D38, NOW())</f>
        <v>44899.281724537039</v>
      </c>
      <c r="L38" s="4">
        <f t="shared" ca="1" si="4"/>
        <v>44899.125</v>
      </c>
    </row>
    <row r="39" spans="3:12" outlineLevel="1" x14ac:dyDescent="0.25">
      <c r="C39" s="13" t="b">
        <f t="shared" ca="1" si="1"/>
        <v>1</v>
      </c>
      <c r="D39" s="16" t="str">
        <f t="shared" si="2"/>
        <v>D:\OneDrive-Sync\Christian Dior Couture\APAC Management - Reports - Reports\DClick\Images\VM22\SubCategoryIN_NetSales.png</v>
      </c>
      <c r="E39" t="str">
        <f t="shared" si="3"/>
        <v>SubCategoryIN_NetSales.png</v>
      </c>
      <c r="H39" t="str">
        <f t="shared" si="0"/>
        <v>SubCategoryIN</v>
      </c>
      <c r="J39" t="b">
        <v>0</v>
      </c>
      <c r="K39" s="10" cm="1">
        <f t="array" aca="1" ref="K39" ca="1">fileModifiedDate(D39, NOW())</f>
        <v>44899.282442129632</v>
      </c>
      <c r="L39" s="4">
        <f t="shared" ca="1" si="4"/>
        <v>44899.125</v>
      </c>
    </row>
    <row r="40" spans="3:12" outlineLevel="1" x14ac:dyDescent="0.25">
      <c r="C40" s="13" t="b">
        <f t="shared" ca="1" si="1"/>
        <v>1</v>
      </c>
      <c r="D40" s="16" t="str">
        <f t="shared" si="2"/>
        <v>D:\OneDrive-Sync\Christian Dior Couture\APAC Management - Reports - Reports\DClick\Images\VM22\CountryStoreIN_NetSales.png</v>
      </c>
      <c r="E40" t="str">
        <f t="shared" si="3"/>
        <v>CountryStoreIN_NetSales.png</v>
      </c>
      <c r="H40" t="str">
        <f t="shared" si="0"/>
        <v>CountryStoreIN</v>
      </c>
      <c r="J40" s="3" t="b">
        <v>0</v>
      </c>
      <c r="K40" s="10" cm="1">
        <f t="array" aca="1" ref="K40" ca="1">fileModifiedDate(D40, NOW())</f>
        <v>44899.283171296294</v>
      </c>
      <c r="L40" s="4">
        <f t="shared" ca="1" si="4"/>
        <v>44899.125</v>
      </c>
    </row>
    <row r="41" spans="3:12" outlineLevel="1" x14ac:dyDescent="0.25">
      <c r="C41" s="13" t="b">
        <f t="shared" ca="1" si="1"/>
        <v>1</v>
      </c>
      <c r="D41" s="16" t="str">
        <f t="shared" si="2"/>
        <v>D:\OneDrive-Sync\Christian Dior Couture\APAC Management - Reports - Reports\DClick\Images\VM22\SubCategoryID_NetSales.png</v>
      </c>
      <c r="E41" t="str">
        <f t="shared" si="3"/>
        <v>SubCategoryID_NetSales.png</v>
      </c>
      <c r="H41" t="str">
        <f t="shared" si="0"/>
        <v>SubCategoryID</v>
      </c>
      <c r="J41" s="3" t="b">
        <v>0</v>
      </c>
      <c r="K41" s="10" cm="1">
        <f t="array" aca="1" ref="K41" ca="1">fileModifiedDate(D41, NOW())</f>
        <v>44899.283900462964</v>
      </c>
      <c r="L41" s="4">
        <f t="shared" ca="1" si="4"/>
        <v>44899.125</v>
      </c>
    </row>
    <row r="42" spans="3:12" outlineLevel="1" x14ac:dyDescent="0.25">
      <c r="C42" s="13" t="b">
        <f t="shared" ca="1" si="1"/>
        <v>1</v>
      </c>
      <c r="D42" s="16" t="str">
        <f t="shared" si="2"/>
        <v>D:\OneDrive-Sync\Christian Dior Couture\APAC Management - Reports - Reports\DClick\Images\VM22\CountryStoreID_NetSales.png</v>
      </c>
      <c r="E42" t="str">
        <f t="shared" si="3"/>
        <v>CountryStoreID_NetSales.png</v>
      </c>
      <c r="H42" t="str">
        <f t="shared" si="0"/>
        <v>CountryStoreID</v>
      </c>
      <c r="J42" s="3" t="b">
        <v>0</v>
      </c>
      <c r="K42" s="10" cm="1">
        <f t="array" aca="1" ref="K42" ca="1">fileModifiedDate(D42, NOW())</f>
        <v>44899.284629629627</v>
      </c>
      <c r="L42" s="4">
        <f t="shared" ca="1" si="4"/>
        <v>44899.125</v>
      </c>
    </row>
    <row r="43" spans="3:12" outlineLevel="1" x14ac:dyDescent="0.25">
      <c r="C43" s="13" t="b">
        <f t="shared" ca="1" si="1"/>
        <v>1</v>
      </c>
      <c r="D43" s="16" t="str">
        <f t="shared" si="2"/>
        <v>D:\OneDrive-Sync\Christian Dior Couture\APAC Management - Reports - Reports\DClick\Images\VM22\SubCategoryPH_NetSales.png</v>
      </c>
      <c r="E43" t="str">
        <f t="shared" si="3"/>
        <v>SubCategoryPH_NetSales.png</v>
      </c>
      <c r="H43" t="str">
        <f t="shared" si="0"/>
        <v>SubCategoryPH</v>
      </c>
      <c r="J43" s="3" t="b">
        <v>0</v>
      </c>
      <c r="K43" s="10" cm="1">
        <f t="array" aca="1" ref="K43" ca="1">fileModifiedDate(D43, NOW())</f>
        <v>44899.285358796296</v>
      </c>
      <c r="L43" s="4">
        <f t="shared" ca="1" si="4"/>
        <v>44899.125</v>
      </c>
    </row>
    <row r="44" spans="3:12" outlineLevel="1" x14ac:dyDescent="0.25">
      <c r="C44" s="13" t="b">
        <f t="shared" ca="1" si="1"/>
        <v>1</v>
      </c>
      <c r="D44" s="16" t="str">
        <f t="shared" si="2"/>
        <v>D:\OneDrive-Sync\Christian Dior Couture\APAC Management - Reports - Reports\DClick\Images\VM22\CountryStorePH_NetSales.png</v>
      </c>
      <c r="E44" t="str">
        <f t="shared" si="3"/>
        <v>CountryStorePH_NetSales.png</v>
      </c>
      <c r="H44" t="str">
        <f t="shared" si="0"/>
        <v>CountryStorePH</v>
      </c>
      <c r="J44" s="3" t="b">
        <v>0</v>
      </c>
      <c r="K44" s="10" cm="1">
        <f t="array" aca="1" ref="K44" ca="1">fileModifiedDate(D44, NOW())</f>
        <v>44899.286076388889</v>
      </c>
      <c r="L44" s="4">
        <f t="shared" ca="1" si="4"/>
        <v>44899.125</v>
      </c>
    </row>
    <row r="45" spans="3:12" outlineLevel="1" x14ac:dyDescent="0.25">
      <c r="C45" s="13" t="b">
        <f t="shared" ca="1" si="1"/>
        <v>1</v>
      </c>
      <c r="D45" s="16" t="str">
        <f t="shared" si="2"/>
        <v>D:\OneDrive-Sync\Christian Dior Couture\APAC Management - Reports - Reports\DClick\Images\VM22\SubCategoryTW_NetSales.png</v>
      </c>
      <c r="E45" t="str">
        <f t="shared" si="3"/>
        <v>SubCategoryTW_NetSales.png</v>
      </c>
      <c r="H45" t="str">
        <f t="shared" si="0"/>
        <v>SubCategoryTW</v>
      </c>
      <c r="J45" s="3" t="b">
        <v>0</v>
      </c>
      <c r="K45" s="10" cm="1">
        <f t="array" aca="1" ref="K45" ca="1">fileModifiedDate(D45, NOW())</f>
        <v>44899.286805555559</v>
      </c>
      <c r="L45" s="4">
        <f t="shared" ca="1" si="4"/>
        <v>44899.125</v>
      </c>
    </row>
    <row r="46" spans="3:12" outlineLevel="1" x14ac:dyDescent="0.25">
      <c r="C46" s="13" t="b">
        <f t="shared" ca="1" si="1"/>
        <v>1</v>
      </c>
      <c r="D46" s="16" t="str">
        <f t="shared" si="2"/>
        <v>D:\OneDrive-Sync\Christian Dior Couture\APAC Management - Reports - Reports\DClick\Images\VM22\CountryStoreTW_NetSales.png</v>
      </c>
      <c r="E46" t="str">
        <f t="shared" si="3"/>
        <v>CountryStoreTW_NetSales.png</v>
      </c>
      <c r="H46" t="str">
        <f t="shared" si="0"/>
        <v>CountryStoreTW</v>
      </c>
      <c r="J46" s="3" t="b">
        <v>0</v>
      </c>
      <c r="K46" s="10" cm="1">
        <f t="array" aca="1" ref="K46" ca="1">fileModifiedDate(D46, NOW())</f>
        <v>44899.287499999999</v>
      </c>
      <c r="L46" s="4">
        <f t="shared" ca="1" si="4"/>
        <v>44899.125</v>
      </c>
    </row>
    <row r="47" spans="3:12" outlineLevel="1" x14ac:dyDescent="0.25">
      <c r="C47" s="13" t="b">
        <f t="shared" ca="1" si="1"/>
        <v>1</v>
      </c>
      <c r="D47" s="16" t="str">
        <f t="shared" si="2"/>
        <v>D:\OneDrive-Sync\Christian Dior Couture\APAC Management - Reports - Reports\DClick\Images\VM22\SubCategoryTH_NetSales.png</v>
      </c>
      <c r="E47" t="str">
        <f t="shared" si="3"/>
        <v>SubCategoryTH_NetSales.png</v>
      </c>
      <c r="H47" t="str">
        <f t="shared" si="0"/>
        <v>SubCategoryTH</v>
      </c>
      <c r="J47" s="3" t="b">
        <v>0</v>
      </c>
      <c r="K47" s="10" cm="1">
        <f t="array" aca="1" ref="K47" ca="1">fileModifiedDate(D47, NOW())</f>
        <v>44899.288217592592</v>
      </c>
      <c r="L47" s="4">
        <f t="shared" ca="1" si="4"/>
        <v>44899.125</v>
      </c>
    </row>
    <row r="48" spans="3:12" outlineLevel="1" x14ac:dyDescent="0.25">
      <c r="C48" s="13" t="b">
        <f t="shared" ca="1" si="1"/>
        <v>1</v>
      </c>
      <c r="D48" s="16" t="str">
        <f t="shared" si="2"/>
        <v>D:\OneDrive-Sync\Christian Dior Couture\APAC Management - Reports - Reports\DClick\Images\VM22\CountryStoreTH_NetSales.png</v>
      </c>
      <c r="E48" t="str">
        <f t="shared" si="3"/>
        <v>CountryStoreTH_NetSales.png</v>
      </c>
      <c r="H48" t="str">
        <f t="shared" si="0"/>
        <v>CountryStoreTH</v>
      </c>
      <c r="J48" s="3" t="b">
        <v>0</v>
      </c>
      <c r="K48" s="10" cm="1">
        <f t="array" aca="1" ref="K48" ca="1">fileModifiedDate(D48, NOW())</f>
        <v>44899.288923611108</v>
      </c>
      <c r="L48" s="4">
        <f t="shared" ca="1" si="4"/>
        <v>44899.125</v>
      </c>
    </row>
    <row r="49" spans="1:12" outlineLevel="1" x14ac:dyDescent="0.25">
      <c r="C49" s="13" t="b">
        <f t="shared" ca="1" si="1"/>
        <v>1</v>
      </c>
      <c r="D49" s="16" t="str">
        <f t="shared" si="2"/>
        <v>D:\OneDrive-Sync\Christian Dior Couture\APAC Management - Reports - Reports\DClick\Images\VM22\SubCategoryVN_NetSales.png</v>
      </c>
      <c r="E49" t="str">
        <f t="shared" si="3"/>
        <v>SubCategoryVN_NetSales.png</v>
      </c>
      <c r="H49" t="str">
        <f t="shared" si="0"/>
        <v>SubCategoryVN</v>
      </c>
      <c r="J49" s="3" t="b">
        <v>0</v>
      </c>
      <c r="K49" s="10" cm="1">
        <f t="array" aca="1" ref="K49" ca="1">fileModifiedDate(D49, NOW())</f>
        <v>44899.289664351854</v>
      </c>
      <c r="L49" s="4">
        <f t="shared" ca="1" si="4"/>
        <v>44899.125</v>
      </c>
    </row>
    <row r="50" spans="1:12" outlineLevel="1" x14ac:dyDescent="0.25">
      <c r="C50" s="13" t="b">
        <f t="shared" ca="1" si="1"/>
        <v>1</v>
      </c>
      <c r="D50" s="16" t="str">
        <f t="shared" si="2"/>
        <v>D:\OneDrive-Sync\Christian Dior Couture\APAC Management - Reports - Reports\DClick\Images\VM22\CountryStoreVN_NetSales.png</v>
      </c>
      <c r="E50" t="str">
        <f t="shared" si="3"/>
        <v>CountryStoreVN_NetSales.png</v>
      </c>
      <c r="H50" t="str">
        <f t="shared" si="0"/>
        <v>CountryStoreVN</v>
      </c>
      <c r="J50" s="3" t="b">
        <v>0</v>
      </c>
      <c r="K50" s="10" cm="1">
        <f t="array" aca="1" ref="K50" ca="1">fileModifiedDate(D50, NOW())</f>
        <v>44899.290370370371</v>
      </c>
      <c r="L50" s="4">
        <f t="shared" ca="1" si="4"/>
        <v>44899.125</v>
      </c>
    </row>
    <row r="52" spans="1:12" x14ac:dyDescent="0.25">
      <c r="A52" t="s">
        <v>15</v>
      </c>
      <c r="B52" t="s">
        <v>812</v>
      </c>
      <c r="C52" t="b">
        <f>IF(D52&gt;0,TRUE,FALSE)</f>
        <v>0</v>
      </c>
      <c r="H52" t="str">
        <f t="shared" ref="H52:H75" si="5">H27</f>
        <v>SubCategoryKR</v>
      </c>
    </row>
    <row r="53" spans="1:12" outlineLevel="1" x14ac:dyDescent="0.25">
      <c r="C53" t="b">
        <f t="shared" ref="C53:C75" si="6">IF(D53&gt;0,TRUE,FALSE)</f>
        <v>1</v>
      </c>
      <c r="D53">
        <v>870</v>
      </c>
      <c r="H53" t="str">
        <f t="shared" si="5"/>
        <v>CountryStoreKR</v>
      </c>
    </row>
    <row r="54" spans="1:12" outlineLevel="1" x14ac:dyDescent="0.25">
      <c r="C54" t="b">
        <f t="shared" si="6"/>
        <v>0</v>
      </c>
      <c r="H54" t="str">
        <f t="shared" si="5"/>
        <v>SubCategoryHKMO</v>
      </c>
    </row>
    <row r="55" spans="1:12" outlineLevel="1" x14ac:dyDescent="0.25">
      <c r="C55" t="b">
        <f t="shared" si="6"/>
        <v>1</v>
      </c>
      <c r="D55">
        <v>870</v>
      </c>
      <c r="H55" t="str">
        <f t="shared" si="5"/>
        <v>CountryStoreHKMO</v>
      </c>
    </row>
    <row r="56" spans="1:12" outlineLevel="1" x14ac:dyDescent="0.25">
      <c r="C56" t="b">
        <f t="shared" si="6"/>
        <v>0</v>
      </c>
      <c r="H56" t="str">
        <f t="shared" si="5"/>
        <v>SubCategoryAUNZ</v>
      </c>
    </row>
    <row r="57" spans="1:12" outlineLevel="1" x14ac:dyDescent="0.25">
      <c r="C57" t="b">
        <f t="shared" si="6"/>
        <v>1</v>
      </c>
      <c r="D57">
        <v>800</v>
      </c>
      <c r="H57" t="str">
        <f t="shared" si="5"/>
        <v>CountryStoreAUNZ</v>
      </c>
    </row>
    <row r="58" spans="1:12" outlineLevel="1" x14ac:dyDescent="0.25">
      <c r="C58" t="b">
        <f t="shared" si="6"/>
        <v>0</v>
      </c>
      <c r="H58" t="str">
        <f t="shared" si="5"/>
        <v>SubCategory</v>
      </c>
    </row>
    <row r="59" spans="1:12" outlineLevel="1" x14ac:dyDescent="0.25">
      <c r="C59" t="b">
        <f t="shared" si="6"/>
        <v>0</v>
      </c>
      <c r="H59" t="str">
        <f t="shared" si="5"/>
        <v>CountryStore</v>
      </c>
    </row>
    <row r="60" spans="1:12" outlineLevel="1" x14ac:dyDescent="0.25">
      <c r="C60" t="b">
        <f t="shared" si="6"/>
        <v>0</v>
      </c>
      <c r="H60" t="str">
        <f t="shared" si="5"/>
        <v>SubCategorySG</v>
      </c>
    </row>
    <row r="61" spans="1:12" outlineLevel="1" x14ac:dyDescent="0.25">
      <c r="C61" t="b">
        <f t="shared" si="6"/>
        <v>1</v>
      </c>
      <c r="D61">
        <v>600</v>
      </c>
      <c r="H61" t="str">
        <f t="shared" si="5"/>
        <v>CountryStoreSG</v>
      </c>
    </row>
    <row r="62" spans="1:12" outlineLevel="1" x14ac:dyDescent="0.25">
      <c r="C62" t="b">
        <f t="shared" si="6"/>
        <v>0</v>
      </c>
      <c r="H62" t="str">
        <f t="shared" si="5"/>
        <v>SubCategoryMY</v>
      </c>
    </row>
    <row r="63" spans="1:12" outlineLevel="1" x14ac:dyDescent="0.25">
      <c r="C63" t="b">
        <f t="shared" si="6"/>
        <v>1</v>
      </c>
      <c r="D63">
        <v>600</v>
      </c>
      <c r="H63" t="str">
        <f t="shared" si="5"/>
        <v>CountryStoreMY</v>
      </c>
    </row>
    <row r="64" spans="1:12" outlineLevel="1" x14ac:dyDescent="0.25">
      <c r="C64" t="b">
        <f t="shared" si="6"/>
        <v>0</v>
      </c>
      <c r="H64" t="str">
        <f t="shared" si="5"/>
        <v>SubCategoryIN</v>
      </c>
    </row>
    <row r="65" spans="1:8" outlineLevel="1" x14ac:dyDescent="0.25">
      <c r="C65" t="b">
        <f t="shared" si="6"/>
        <v>1</v>
      </c>
      <c r="D65">
        <v>600</v>
      </c>
      <c r="H65" t="str">
        <f t="shared" si="5"/>
        <v>CountryStoreIN</v>
      </c>
    </row>
    <row r="66" spans="1:8" outlineLevel="1" x14ac:dyDescent="0.25">
      <c r="C66" t="b">
        <f t="shared" si="6"/>
        <v>0</v>
      </c>
      <c r="H66" t="str">
        <f t="shared" si="5"/>
        <v>SubCategoryID</v>
      </c>
    </row>
    <row r="67" spans="1:8" outlineLevel="1" x14ac:dyDescent="0.25">
      <c r="C67" t="b">
        <f t="shared" si="6"/>
        <v>1</v>
      </c>
      <c r="D67">
        <v>600</v>
      </c>
      <c r="H67" t="str">
        <f t="shared" si="5"/>
        <v>CountryStoreID</v>
      </c>
    </row>
    <row r="68" spans="1:8" outlineLevel="1" x14ac:dyDescent="0.25">
      <c r="C68" t="b">
        <f t="shared" si="6"/>
        <v>0</v>
      </c>
      <c r="H68" t="str">
        <f t="shared" si="5"/>
        <v>SubCategoryPH</v>
      </c>
    </row>
    <row r="69" spans="1:8" outlineLevel="1" x14ac:dyDescent="0.25">
      <c r="C69" t="b">
        <f t="shared" si="6"/>
        <v>1</v>
      </c>
      <c r="D69">
        <v>600</v>
      </c>
      <c r="H69" t="str">
        <f t="shared" si="5"/>
        <v>CountryStorePH</v>
      </c>
    </row>
    <row r="70" spans="1:8" outlineLevel="1" x14ac:dyDescent="0.25">
      <c r="C70" t="b">
        <f t="shared" si="6"/>
        <v>0</v>
      </c>
      <c r="H70" t="str">
        <f t="shared" si="5"/>
        <v>SubCategoryTW</v>
      </c>
    </row>
    <row r="71" spans="1:8" outlineLevel="1" x14ac:dyDescent="0.25">
      <c r="C71" t="b">
        <f t="shared" si="6"/>
        <v>1</v>
      </c>
      <c r="D71">
        <v>600</v>
      </c>
      <c r="H71" t="str">
        <f t="shared" si="5"/>
        <v>CountryStoreTW</v>
      </c>
    </row>
    <row r="72" spans="1:8" outlineLevel="1" x14ac:dyDescent="0.25">
      <c r="C72" t="b">
        <f t="shared" si="6"/>
        <v>0</v>
      </c>
      <c r="H72" t="str">
        <f t="shared" si="5"/>
        <v>SubCategoryTH</v>
      </c>
    </row>
    <row r="73" spans="1:8" outlineLevel="1" x14ac:dyDescent="0.25">
      <c r="C73" t="b">
        <f t="shared" si="6"/>
        <v>1</v>
      </c>
      <c r="D73">
        <v>600</v>
      </c>
      <c r="H73" t="str">
        <f t="shared" si="5"/>
        <v>CountryStoreTH</v>
      </c>
    </row>
    <row r="74" spans="1:8" outlineLevel="1" x14ac:dyDescent="0.25">
      <c r="C74" t="b">
        <f t="shared" si="6"/>
        <v>0</v>
      </c>
      <c r="H74" t="str">
        <f t="shared" si="5"/>
        <v>SubCategoryVN</v>
      </c>
    </row>
    <row r="75" spans="1:8" outlineLevel="1" x14ac:dyDescent="0.25">
      <c r="C75" t="b">
        <f t="shared" si="6"/>
        <v>1</v>
      </c>
      <c r="D75">
        <v>600</v>
      </c>
      <c r="H75" t="str">
        <f t="shared" si="5"/>
        <v>CountryStoreVN</v>
      </c>
    </row>
    <row r="77" spans="1:8" s="17" customFormat="1" x14ac:dyDescent="0.25">
      <c r="C77" s="17" t="s">
        <v>836</v>
      </c>
      <c r="D77" s="17" t="s">
        <v>891</v>
      </c>
    </row>
    <row r="78" spans="1:8" x14ac:dyDescent="0.25">
      <c r="A78" t="s">
        <v>15</v>
      </c>
      <c r="B78" t="s">
        <v>838</v>
      </c>
      <c r="C78" t="b">
        <v>0</v>
      </c>
      <c r="D78" s="17" t="b">
        <v>0</v>
      </c>
      <c r="H78" s="12" t="str">
        <f t="shared" ref="H78:H101" si="7">H52</f>
        <v>SubCategoryKR</v>
      </c>
    </row>
    <row r="79" spans="1:8" outlineLevel="1" x14ac:dyDescent="0.25">
      <c r="C79" t="b">
        <v>0</v>
      </c>
      <c r="D79" s="17" t="b">
        <v>0</v>
      </c>
      <c r="H79" s="12" t="str">
        <f t="shared" si="7"/>
        <v>CountryStoreKR</v>
      </c>
    </row>
    <row r="80" spans="1:8" outlineLevel="1" x14ac:dyDescent="0.25">
      <c r="C80" t="b">
        <v>0</v>
      </c>
      <c r="D80" s="17" t="b">
        <v>1</v>
      </c>
      <c r="H80" t="str">
        <f t="shared" si="7"/>
        <v>SubCategoryHKMO</v>
      </c>
    </row>
    <row r="81" spans="3:8" outlineLevel="1" x14ac:dyDescent="0.25">
      <c r="C81" t="b">
        <v>0</v>
      </c>
      <c r="D81" s="17" t="b">
        <v>1</v>
      </c>
      <c r="H81" t="str">
        <f t="shared" si="7"/>
        <v>CountryStoreHKMO</v>
      </c>
    </row>
    <row r="82" spans="3:8" outlineLevel="1" x14ac:dyDescent="0.25">
      <c r="C82" t="b">
        <v>0</v>
      </c>
      <c r="D82" s="17" t="b">
        <v>1</v>
      </c>
      <c r="H82" t="str">
        <f t="shared" si="7"/>
        <v>SubCategoryAUNZ</v>
      </c>
    </row>
    <row r="83" spans="3:8" outlineLevel="1" x14ac:dyDescent="0.25">
      <c r="C83" t="b">
        <v>0</v>
      </c>
      <c r="D83" s="17" t="b">
        <v>1</v>
      </c>
      <c r="H83" t="str">
        <f t="shared" si="7"/>
        <v>CountryStoreAUNZ</v>
      </c>
    </row>
    <row r="84" spans="3:8" outlineLevel="1" x14ac:dyDescent="0.25">
      <c r="C84" s="18" t="b">
        <v>1</v>
      </c>
      <c r="D84" t="b">
        <v>1</v>
      </c>
      <c r="H84" t="str">
        <f t="shared" si="7"/>
        <v>SubCategory</v>
      </c>
    </row>
    <row r="85" spans="3:8" outlineLevel="1" x14ac:dyDescent="0.25">
      <c r="C85" s="18" t="b">
        <v>1</v>
      </c>
      <c r="D85" t="b">
        <v>1</v>
      </c>
      <c r="H85" t="str">
        <f t="shared" si="7"/>
        <v>CountryStore</v>
      </c>
    </row>
    <row r="86" spans="3:8" outlineLevel="1" x14ac:dyDescent="0.25">
      <c r="C86" t="b">
        <v>0</v>
      </c>
      <c r="D86" s="17" t="b">
        <v>0</v>
      </c>
      <c r="H86" t="str">
        <f t="shared" si="7"/>
        <v>SubCategorySG</v>
      </c>
    </row>
    <row r="87" spans="3:8" outlineLevel="1" x14ac:dyDescent="0.25">
      <c r="C87" t="b">
        <v>0</v>
      </c>
      <c r="D87" s="17" t="b">
        <v>0</v>
      </c>
      <c r="H87" t="str">
        <f t="shared" si="7"/>
        <v>CountryStoreSG</v>
      </c>
    </row>
    <row r="88" spans="3:8" outlineLevel="1" x14ac:dyDescent="0.25">
      <c r="C88" t="b">
        <v>0</v>
      </c>
      <c r="D88" s="17" t="b">
        <v>0</v>
      </c>
      <c r="H88" t="str">
        <f t="shared" si="7"/>
        <v>SubCategoryMY</v>
      </c>
    </row>
    <row r="89" spans="3:8" outlineLevel="1" x14ac:dyDescent="0.25">
      <c r="C89" t="b">
        <v>0</v>
      </c>
      <c r="D89" s="17" t="b">
        <v>0</v>
      </c>
      <c r="H89" t="str">
        <f t="shared" si="7"/>
        <v>CountryStoreMY</v>
      </c>
    </row>
    <row r="90" spans="3:8" outlineLevel="1" x14ac:dyDescent="0.25">
      <c r="C90" t="b">
        <v>0</v>
      </c>
      <c r="D90" s="17" t="b">
        <v>0</v>
      </c>
      <c r="H90" t="str">
        <f t="shared" si="7"/>
        <v>SubCategoryIN</v>
      </c>
    </row>
    <row r="91" spans="3:8" outlineLevel="1" x14ac:dyDescent="0.25">
      <c r="C91" t="b">
        <v>0</v>
      </c>
      <c r="D91" s="17" t="b">
        <v>0</v>
      </c>
      <c r="H91" t="str">
        <f t="shared" si="7"/>
        <v>CountryStoreIN</v>
      </c>
    </row>
    <row r="92" spans="3:8" outlineLevel="1" x14ac:dyDescent="0.25">
      <c r="C92" t="b">
        <v>0</v>
      </c>
      <c r="D92" s="17" t="b">
        <v>0</v>
      </c>
      <c r="H92" t="str">
        <f t="shared" si="7"/>
        <v>SubCategoryID</v>
      </c>
    </row>
    <row r="93" spans="3:8" outlineLevel="1" x14ac:dyDescent="0.25">
      <c r="C93" t="b">
        <v>0</v>
      </c>
      <c r="D93" s="17" t="b">
        <v>0</v>
      </c>
      <c r="H93" t="str">
        <f t="shared" si="7"/>
        <v>CountryStoreID</v>
      </c>
    </row>
    <row r="94" spans="3:8" outlineLevel="1" x14ac:dyDescent="0.25">
      <c r="C94" t="b">
        <v>0</v>
      </c>
      <c r="D94" s="17" t="b">
        <v>0</v>
      </c>
      <c r="H94" t="str">
        <f t="shared" si="7"/>
        <v>SubCategoryPH</v>
      </c>
    </row>
    <row r="95" spans="3:8" outlineLevel="1" x14ac:dyDescent="0.25">
      <c r="C95" t="b">
        <v>0</v>
      </c>
      <c r="D95" s="17" t="b">
        <v>0</v>
      </c>
      <c r="H95" t="str">
        <f t="shared" si="7"/>
        <v>CountryStorePH</v>
      </c>
    </row>
    <row r="96" spans="3:8" outlineLevel="1" x14ac:dyDescent="0.25">
      <c r="C96" t="b">
        <v>0</v>
      </c>
      <c r="D96" s="17" t="b">
        <v>0</v>
      </c>
      <c r="H96" t="str">
        <f t="shared" si="7"/>
        <v>SubCategoryTW</v>
      </c>
    </row>
    <row r="97" spans="1:11" outlineLevel="1" x14ac:dyDescent="0.25">
      <c r="C97" t="b">
        <v>0</v>
      </c>
      <c r="D97" s="17" t="b">
        <v>0</v>
      </c>
      <c r="H97" t="str">
        <f t="shared" si="7"/>
        <v>CountryStoreTW</v>
      </c>
    </row>
    <row r="98" spans="1:11" outlineLevel="1" x14ac:dyDescent="0.25">
      <c r="C98" t="b">
        <v>0</v>
      </c>
      <c r="D98" s="17" t="b">
        <v>0</v>
      </c>
      <c r="H98" t="str">
        <f t="shared" si="7"/>
        <v>SubCategoryTH</v>
      </c>
    </row>
    <row r="99" spans="1:11" outlineLevel="1" x14ac:dyDescent="0.25">
      <c r="C99" t="b">
        <v>0</v>
      </c>
      <c r="D99" s="17" t="b">
        <v>0</v>
      </c>
      <c r="H99" t="str">
        <f t="shared" si="7"/>
        <v>CountryStoreTH</v>
      </c>
    </row>
    <row r="100" spans="1:11" outlineLevel="1" x14ac:dyDescent="0.25">
      <c r="C100" t="b">
        <v>0</v>
      </c>
      <c r="D100" s="17" t="b">
        <v>0</v>
      </c>
      <c r="H100" s="12" t="str">
        <f t="shared" si="7"/>
        <v>SubCategoryVN</v>
      </c>
    </row>
    <row r="101" spans="1:11" outlineLevel="1" x14ac:dyDescent="0.25">
      <c r="C101" t="b">
        <v>0</v>
      </c>
      <c r="D101" s="17" t="b">
        <v>0</v>
      </c>
      <c r="H101" s="12" t="str">
        <f t="shared" si="7"/>
        <v>CountryStoreVN</v>
      </c>
    </row>
    <row r="103" spans="1:11" x14ac:dyDescent="0.25">
      <c r="A103" t="s">
        <v>15</v>
      </c>
      <c r="B103" s="3" t="s">
        <v>358</v>
      </c>
      <c r="C103" t="s">
        <v>360</v>
      </c>
      <c r="D103" s="16" t="s">
        <v>363</v>
      </c>
      <c r="E103" s="3" t="s">
        <v>432</v>
      </c>
      <c r="H103" t="s">
        <v>362</v>
      </c>
    </row>
    <row r="104" spans="1:11" x14ac:dyDescent="0.25">
      <c r="C104" t="s">
        <v>253</v>
      </c>
      <c r="D104" s="16" t="s">
        <v>361</v>
      </c>
    </row>
    <row r="105" spans="1:11" x14ac:dyDescent="0.25">
      <c r="C105" t="s">
        <v>365</v>
      </c>
      <c r="D105" s="16" t="s">
        <v>363</v>
      </c>
    </row>
    <row r="106" spans="1:11" x14ac:dyDescent="0.25">
      <c r="C106" s="3" t="s">
        <v>367</v>
      </c>
      <c r="D106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6" t="s">
        <v>700</v>
      </c>
      <c r="H106" t="s">
        <v>699</v>
      </c>
      <c r="K106" s="3" t="s">
        <v>840</v>
      </c>
    </row>
    <row r="107" spans="1:11" x14ac:dyDescent="0.25">
      <c r="C107" t="s">
        <v>532</v>
      </c>
      <c r="D107" s="16" t="s">
        <v>698</v>
      </c>
      <c r="E107" s="6"/>
    </row>
    <row r="108" spans="1:11" x14ac:dyDescent="0.25">
      <c r="C108" t="s">
        <v>533</v>
      </c>
      <c r="D108" s="16" t="s">
        <v>536</v>
      </c>
      <c r="E108" s="6"/>
    </row>
    <row r="110" spans="1:11" x14ac:dyDescent="0.25">
      <c r="A110" t="s">
        <v>15</v>
      </c>
      <c r="B110" t="s">
        <v>9</v>
      </c>
      <c r="C110" t="s">
        <v>93</v>
      </c>
      <c r="D110" t="s">
        <v>23</v>
      </c>
      <c r="E110" s="3" t="s">
        <v>433</v>
      </c>
    </row>
    <row r="111" spans="1:11" s="17" customFormat="1" x14ac:dyDescent="0.25">
      <c r="C111" s="17" t="s">
        <v>892</v>
      </c>
      <c r="D111" s="17" t="s">
        <v>766</v>
      </c>
      <c r="E111" s="18"/>
    </row>
    <row r="113" spans="1:5" x14ac:dyDescent="0.25">
      <c r="A113" t="s">
        <v>15</v>
      </c>
      <c r="B113" t="s">
        <v>405</v>
      </c>
      <c r="C113" t="s">
        <v>406</v>
      </c>
      <c r="E113" s="3" t="s">
        <v>436</v>
      </c>
    </row>
    <row r="114" spans="1:5" x14ac:dyDescent="0.25">
      <c r="E114" s="3"/>
    </row>
    <row r="115" spans="1:5" x14ac:dyDescent="0.25">
      <c r="A115" t="s">
        <v>16</v>
      </c>
      <c r="B115" s="3" t="s">
        <v>25</v>
      </c>
      <c r="C115" t="s">
        <v>757</v>
      </c>
      <c r="E115" t="s">
        <v>148</v>
      </c>
    </row>
    <row r="116" spans="1:5" x14ac:dyDescent="0.25">
      <c r="B116" s="3"/>
      <c r="C116" t="s">
        <v>435</v>
      </c>
      <c r="D116" s="3"/>
    </row>
    <row r="117" spans="1:5" x14ac:dyDescent="0.25">
      <c r="C117" t="s">
        <v>95</v>
      </c>
    </row>
    <row r="118" spans="1:5" x14ac:dyDescent="0.25">
      <c r="B118" s="3"/>
      <c r="C118" t="s">
        <v>760</v>
      </c>
      <c r="E118" t="s">
        <v>371</v>
      </c>
    </row>
    <row r="119" spans="1:5" x14ac:dyDescent="0.25">
      <c r="A119" t="s">
        <v>16</v>
      </c>
      <c r="B119" s="3" t="s">
        <v>667</v>
      </c>
      <c r="C119" t="s">
        <v>824</v>
      </c>
    </row>
    <row r="121" spans="1:5" x14ac:dyDescent="0.25">
      <c r="A121" t="s">
        <v>16</v>
      </c>
      <c r="B121" s="3" t="s">
        <v>95</v>
      </c>
      <c r="C121" t="s">
        <v>94</v>
      </c>
    </row>
    <row r="122" spans="1:5" x14ac:dyDescent="0.25">
      <c r="C122" t="s">
        <v>688</v>
      </c>
    </row>
    <row r="123" spans="1:5" x14ac:dyDescent="0.25">
      <c r="C123" t="s">
        <v>339</v>
      </c>
      <c r="E123" t="s">
        <v>104</v>
      </c>
    </row>
    <row r="124" spans="1:5" x14ac:dyDescent="0.25">
      <c r="C124" t="s">
        <v>114</v>
      </c>
    </row>
    <row r="125" spans="1:5" x14ac:dyDescent="0.25">
      <c r="A125" t="s">
        <v>16</v>
      </c>
      <c r="B125" t="s">
        <v>114</v>
      </c>
      <c r="C125" t="s">
        <v>448</v>
      </c>
      <c r="E125" t="s">
        <v>115</v>
      </c>
    </row>
    <row r="126" spans="1:5" s="17" customFormat="1" x14ac:dyDescent="0.25">
      <c r="C126" s="17" t="s">
        <v>893</v>
      </c>
    </row>
    <row r="127" spans="1:5" s="17" customFormat="1" x14ac:dyDescent="0.25">
      <c r="C127" s="17" t="s">
        <v>122</v>
      </c>
    </row>
    <row r="128" spans="1:5" s="17" customFormat="1" x14ac:dyDescent="0.25">
      <c r="C128" s="17" t="s">
        <v>57</v>
      </c>
    </row>
    <row r="130" spans="1:12" x14ac:dyDescent="0.25">
      <c r="A130" t="s">
        <v>16</v>
      </c>
      <c r="B130" t="s">
        <v>759</v>
      </c>
      <c r="C130" t="s">
        <v>761</v>
      </c>
    </row>
    <row r="131" spans="1:12" x14ac:dyDescent="0.25">
      <c r="A131" t="s">
        <v>16</v>
      </c>
      <c r="B131" s="3" t="s">
        <v>32</v>
      </c>
      <c r="C131" t="s">
        <v>721</v>
      </c>
    </row>
    <row r="132" spans="1:12" x14ac:dyDescent="0.25">
      <c r="B132" s="3"/>
      <c r="C132" t="s">
        <v>118</v>
      </c>
    </row>
    <row r="133" spans="1:12" x14ac:dyDescent="0.25">
      <c r="C133" t="s">
        <v>837</v>
      </c>
    </row>
    <row r="134" spans="1:12" x14ac:dyDescent="0.25">
      <c r="C134" t="s">
        <v>839</v>
      </c>
    </row>
    <row r="136" spans="1:12" x14ac:dyDescent="0.25">
      <c r="A136" t="s">
        <v>16</v>
      </c>
      <c r="B136" t="s">
        <v>837</v>
      </c>
      <c r="C136" t="s">
        <v>56</v>
      </c>
    </row>
    <row r="137" spans="1:12" x14ac:dyDescent="0.25">
      <c r="C137" t="s">
        <v>377</v>
      </c>
    </row>
    <row r="138" spans="1:12" x14ac:dyDescent="0.25">
      <c r="C138" t="s">
        <v>401</v>
      </c>
      <c r="E138" t="s">
        <v>722</v>
      </c>
      <c r="L138" t="s">
        <v>401</v>
      </c>
    </row>
    <row r="139" spans="1:12" x14ac:dyDescent="0.25">
      <c r="A139" s="17" t="s">
        <v>16</v>
      </c>
      <c r="B139" s="17" t="s">
        <v>894</v>
      </c>
      <c r="C139" t="s">
        <v>815</v>
      </c>
      <c r="E139" t="s">
        <v>811</v>
      </c>
    </row>
    <row r="140" spans="1:12" x14ac:dyDescent="0.25">
      <c r="A140" t="s">
        <v>16</v>
      </c>
      <c r="B140" t="s">
        <v>836</v>
      </c>
      <c r="C140" t="s">
        <v>58</v>
      </c>
    </row>
    <row r="141" spans="1:12" x14ac:dyDescent="0.25">
      <c r="C141" t="s">
        <v>377</v>
      </c>
    </row>
    <row r="142" spans="1:12" x14ac:dyDescent="0.25">
      <c r="C142" t="s">
        <v>402</v>
      </c>
    </row>
    <row r="146" spans="1:11" x14ac:dyDescent="0.25">
      <c r="A146" t="s">
        <v>16</v>
      </c>
      <c r="B146" t="s">
        <v>823</v>
      </c>
      <c r="C146" t="s">
        <v>815</v>
      </c>
      <c r="E146" t="s">
        <v>811</v>
      </c>
    </row>
    <row r="148" spans="1:11" x14ac:dyDescent="0.25">
      <c r="A148" t="s">
        <v>16</v>
      </c>
      <c r="B148" t="s">
        <v>813</v>
      </c>
      <c r="C148" t="s">
        <v>816</v>
      </c>
    </row>
    <row r="149" spans="1:11" x14ac:dyDescent="0.25">
      <c r="C149" t="s">
        <v>820</v>
      </c>
      <c r="E149" t="s">
        <v>814</v>
      </c>
      <c r="K149" t="s">
        <v>821</v>
      </c>
    </row>
    <row r="151" spans="1:11" x14ac:dyDescent="0.25">
      <c r="A151" t="s">
        <v>16</v>
      </c>
      <c r="B151" t="s">
        <v>818</v>
      </c>
      <c r="C151" t="s">
        <v>819</v>
      </c>
      <c r="K151" s="23"/>
    </row>
    <row r="152" spans="1:11" x14ac:dyDescent="0.25">
      <c r="K152" s="23"/>
    </row>
    <row r="154" spans="1:11" x14ac:dyDescent="0.25">
      <c r="A154" t="s">
        <v>16</v>
      </c>
      <c r="B154" t="s">
        <v>118</v>
      </c>
      <c r="C154" t="s">
        <v>399</v>
      </c>
      <c r="D154" t="s">
        <v>29</v>
      </c>
      <c r="E154" t="s">
        <v>117</v>
      </c>
    </row>
    <row r="155" spans="1:11" x14ac:dyDescent="0.25">
      <c r="C155" t="s">
        <v>441</v>
      </c>
    </row>
    <row r="156" spans="1:11" x14ac:dyDescent="0.25">
      <c r="A156" t="s">
        <v>16</v>
      </c>
      <c r="B156" t="s">
        <v>441</v>
      </c>
      <c r="C156" t="s">
        <v>442</v>
      </c>
    </row>
    <row r="157" spans="1:11" x14ac:dyDescent="0.25">
      <c r="A157" t="s">
        <v>16</v>
      </c>
      <c r="B157" t="s">
        <v>122</v>
      </c>
      <c r="C157" t="s">
        <v>348</v>
      </c>
      <c r="E157" t="s">
        <v>126</v>
      </c>
    </row>
    <row r="158" spans="1:11" x14ac:dyDescent="0.25">
      <c r="C158" t="s">
        <v>349</v>
      </c>
      <c r="E158" t="s">
        <v>127</v>
      </c>
    </row>
    <row r="159" spans="1:11" x14ac:dyDescent="0.25">
      <c r="A159" t="s">
        <v>16</v>
      </c>
      <c r="B159" t="s">
        <v>124</v>
      </c>
      <c r="C159" t="s">
        <v>350</v>
      </c>
      <c r="E159" t="s">
        <v>128</v>
      </c>
    </row>
    <row r="160" spans="1:11" x14ac:dyDescent="0.25">
      <c r="C160" t="s">
        <v>2</v>
      </c>
    </row>
    <row r="161" spans="1:5" x14ac:dyDescent="0.25">
      <c r="C161" t="s">
        <v>129</v>
      </c>
    </row>
    <row r="162" spans="1:5" x14ac:dyDescent="0.25">
      <c r="C162" t="s">
        <v>120</v>
      </c>
      <c r="E162" t="s">
        <v>131</v>
      </c>
    </row>
    <row r="163" spans="1:5" x14ac:dyDescent="0.25">
      <c r="C163" t="s">
        <v>121</v>
      </c>
      <c r="E163" t="s">
        <v>132</v>
      </c>
    </row>
    <row r="164" spans="1:5" x14ac:dyDescent="0.25">
      <c r="C164" t="s">
        <v>351</v>
      </c>
      <c r="E164" t="s">
        <v>133</v>
      </c>
    </row>
    <row r="165" spans="1:5" x14ac:dyDescent="0.25">
      <c r="A165" t="s">
        <v>16</v>
      </c>
      <c r="B165" t="s">
        <v>134</v>
      </c>
      <c r="C165" t="s">
        <v>27</v>
      </c>
    </row>
    <row r="167" spans="1:5" x14ac:dyDescent="0.25">
      <c r="A167" t="s">
        <v>16</v>
      </c>
      <c r="B167" t="s">
        <v>57</v>
      </c>
      <c r="C167" t="s">
        <v>61</v>
      </c>
      <c r="E167" t="s">
        <v>99</v>
      </c>
    </row>
    <row r="168" spans="1:5" x14ac:dyDescent="0.25">
      <c r="A168" t="s">
        <v>16</v>
      </c>
      <c r="B168" t="s">
        <v>56</v>
      </c>
      <c r="C168" t="s">
        <v>60</v>
      </c>
      <c r="E168" t="s">
        <v>100</v>
      </c>
    </row>
    <row r="169" spans="1:5" x14ac:dyDescent="0.25">
      <c r="A169" t="s">
        <v>16</v>
      </c>
      <c r="B169" t="s">
        <v>58</v>
      </c>
      <c r="C169" t="s">
        <v>59</v>
      </c>
      <c r="E169" t="s">
        <v>101</v>
      </c>
    </row>
    <row r="170" spans="1:5" s="23" customFormat="1" x14ac:dyDescent="0.25">
      <c r="A170" s="23" t="s">
        <v>16</v>
      </c>
      <c r="B170" s="23" t="s">
        <v>899</v>
      </c>
      <c r="C170" s="23" t="s">
        <v>447</v>
      </c>
    </row>
    <row r="171" spans="1:5" x14ac:dyDescent="0.25">
      <c r="A171" t="s">
        <v>16</v>
      </c>
      <c r="B171" t="s">
        <v>63</v>
      </c>
      <c r="C171" t="s">
        <v>342</v>
      </c>
      <c r="E171" t="s">
        <v>102</v>
      </c>
    </row>
    <row r="172" spans="1:5" s="23" customFormat="1" x14ac:dyDescent="0.25">
      <c r="A172" s="23" t="s">
        <v>16</v>
      </c>
      <c r="B172" s="23" t="s">
        <v>898</v>
      </c>
      <c r="C172" s="23" t="s">
        <v>895</v>
      </c>
    </row>
    <row r="173" spans="1:5" s="23" customFormat="1" x14ac:dyDescent="0.25">
      <c r="A173" s="23" t="s">
        <v>16</v>
      </c>
      <c r="B173" s="23" t="s">
        <v>897</v>
      </c>
      <c r="C173" s="23" t="s">
        <v>896</v>
      </c>
    </row>
    <row r="175" spans="1:5" x14ac:dyDescent="0.25">
      <c r="A175" t="s">
        <v>16</v>
      </c>
      <c r="B175" t="s">
        <v>377</v>
      </c>
      <c r="C175" t="s">
        <v>340</v>
      </c>
      <c r="E175" t="s">
        <v>143</v>
      </c>
    </row>
    <row r="176" spans="1:5" x14ac:dyDescent="0.25">
      <c r="C176" t="s">
        <v>447</v>
      </c>
    </row>
    <row r="177" spans="1:5" x14ac:dyDescent="0.25">
      <c r="C177" t="s">
        <v>63</v>
      </c>
      <c r="E177" t="s">
        <v>144</v>
      </c>
    </row>
    <row r="178" spans="1:5" x14ac:dyDescent="0.25">
      <c r="C178" t="s">
        <v>17</v>
      </c>
      <c r="E178" t="s">
        <v>439</v>
      </c>
    </row>
    <row r="179" spans="1:5" x14ac:dyDescent="0.25">
      <c r="A179" t="s">
        <v>16</v>
      </c>
      <c r="B179" t="s">
        <v>17</v>
      </c>
      <c r="C179" t="s">
        <v>443</v>
      </c>
    </row>
    <row r="180" spans="1:5" x14ac:dyDescent="0.25">
      <c r="C180" t="s">
        <v>3</v>
      </c>
      <c r="E180" t="s">
        <v>97</v>
      </c>
    </row>
    <row r="181" spans="1:5" x14ac:dyDescent="0.25">
      <c r="C181" t="s">
        <v>444</v>
      </c>
      <c r="E181" t="s">
        <v>355</v>
      </c>
    </row>
    <row r="182" spans="1:5" x14ac:dyDescent="0.25">
      <c r="C182" t="s">
        <v>4</v>
      </c>
      <c r="E182" t="s">
        <v>96</v>
      </c>
    </row>
    <row r="183" spans="1:5" x14ac:dyDescent="0.25">
      <c r="C183" t="s">
        <v>445</v>
      </c>
    </row>
    <row r="184" spans="1:5" x14ac:dyDescent="0.25">
      <c r="C184" t="s">
        <v>5</v>
      </c>
    </row>
    <row r="185" spans="1:5" x14ac:dyDescent="0.25">
      <c r="C185" t="s">
        <v>446</v>
      </c>
    </row>
    <row r="186" spans="1:5" x14ac:dyDescent="0.25">
      <c r="C186" t="s">
        <v>6</v>
      </c>
    </row>
    <row r="187" spans="1:5" x14ac:dyDescent="0.25">
      <c r="C187" t="s">
        <v>24</v>
      </c>
      <c r="E187" t="s">
        <v>146</v>
      </c>
    </row>
    <row r="188" spans="1:5" x14ac:dyDescent="0.25">
      <c r="C188" t="s">
        <v>341</v>
      </c>
      <c r="E188" t="s">
        <v>145</v>
      </c>
    </row>
    <row r="189" spans="1:5" x14ac:dyDescent="0.25">
      <c r="C189" t="s">
        <v>65</v>
      </c>
      <c r="E189" t="s">
        <v>137</v>
      </c>
    </row>
    <row r="190" spans="1:5" x14ac:dyDescent="0.25">
      <c r="A190" t="s">
        <v>16</v>
      </c>
      <c r="B190" t="s">
        <v>378</v>
      </c>
      <c r="C190" t="s">
        <v>382</v>
      </c>
    </row>
    <row r="191" spans="1:5" x14ac:dyDescent="0.25">
      <c r="C191" t="s">
        <v>3</v>
      </c>
      <c r="E191" t="s">
        <v>97</v>
      </c>
    </row>
    <row r="192" spans="1:5" x14ac:dyDescent="0.25">
      <c r="C192" t="s">
        <v>383</v>
      </c>
      <c r="E192" t="s">
        <v>355</v>
      </c>
    </row>
    <row r="193" spans="3:7" x14ac:dyDescent="0.25">
      <c r="C193" t="s">
        <v>379</v>
      </c>
      <c r="E193" t="s">
        <v>380</v>
      </c>
      <c r="G193" t="s">
        <v>381</v>
      </c>
    </row>
    <row r="194" spans="3:7" x14ac:dyDescent="0.25">
      <c r="C194" t="s">
        <v>384</v>
      </c>
    </row>
    <row r="195" spans="3:7" x14ac:dyDescent="0.25">
      <c r="C195" t="s">
        <v>5</v>
      </c>
    </row>
    <row r="196" spans="3:7" x14ac:dyDescent="0.25">
      <c r="C196" t="s">
        <v>385</v>
      </c>
    </row>
    <row r="197" spans="3:7" x14ac:dyDescent="0.25">
      <c r="C197" t="s">
        <v>6</v>
      </c>
    </row>
    <row r="198" spans="3:7" x14ac:dyDescent="0.25">
      <c r="C198" t="s">
        <v>24</v>
      </c>
      <c r="E198" t="s">
        <v>146</v>
      </c>
    </row>
    <row r="199" spans="3:7" x14ac:dyDescent="0.25">
      <c r="C199" t="s">
        <v>341</v>
      </c>
      <c r="E199" t="s">
        <v>386</v>
      </c>
    </row>
    <row r="200" spans="3:7" x14ac:dyDescent="0.25">
      <c r="C200" t="s">
        <v>65</v>
      </c>
      <c r="E200" t="s">
        <v>137</v>
      </c>
    </row>
  </sheetData>
  <hyperlinks>
    <hyperlink ref="C121" r:id="rId1" xr:uid="{A50784DC-577C-4401-B728-2F20F8D6DFDC}"/>
    <hyperlink ref="D154" r:id="rId2" display="url:URL_Dclick_Pages" xr:uid="{925ED37E-95E6-45DB-ACD4-A250FC286878}"/>
    <hyperlink ref="C154" r:id="rId3" display="url:URL_Dclick_Pages" xr:uid="{D783F5D8-F881-45B9-80C8-783C96204275}"/>
    <hyperlink ref="H2" r:id="rId4" xr:uid="{DD38F014-272D-4A4C-A5F0-B49E3B06E0EF}"/>
    <hyperlink ref="C126" r:id="rId5" display="url:DCLICK" xr:uid="{7DDA8E98-89AC-463B-A3C2-34C6E9BC65E2}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D462-5806-4A95-BE74-CC2A9A49323F}">
  <sheetPr codeName="Sheet15"/>
  <dimension ref="A1:P44"/>
  <sheetViews>
    <sheetView zoomScale="90" zoomScaleNormal="90" workbookViewId="0">
      <selection activeCell="C7" sqref="C7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6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x14ac:dyDescent="0.25">
      <c r="A2" s="17" t="s">
        <v>15</v>
      </c>
      <c r="B2" s="18" t="s">
        <v>358</v>
      </c>
      <c r="C2" s="18" t="s">
        <v>360</v>
      </c>
      <c r="D2" s="16" t="s">
        <v>363</v>
      </c>
      <c r="E2" s="18" t="s">
        <v>432</v>
      </c>
      <c r="F2" s="17"/>
      <c r="G2" s="17"/>
      <c r="H2" s="17" t="s">
        <v>362</v>
      </c>
      <c r="I2" s="17"/>
      <c r="J2" s="17"/>
      <c r="K2" s="17"/>
      <c r="L2" s="17"/>
      <c r="M2" s="17"/>
      <c r="N2" s="17"/>
      <c r="O2" s="17"/>
    </row>
    <row r="3" spans="1:16" x14ac:dyDescent="0.25">
      <c r="A3" s="17"/>
      <c r="B3" s="17"/>
      <c r="C3" s="18" t="s">
        <v>253</v>
      </c>
      <c r="D3" s="16" t="s">
        <v>361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6" x14ac:dyDescent="0.25">
      <c r="A4" s="17"/>
      <c r="B4" s="17"/>
      <c r="C4" s="18" t="s">
        <v>367</v>
      </c>
      <c r="D4" s="16" t="s">
        <v>729</v>
      </c>
      <c r="E4" s="17" t="s">
        <v>700</v>
      </c>
      <c r="F4" s="17"/>
      <c r="G4" s="17"/>
      <c r="H4" s="17" t="s">
        <v>699</v>
      </c>
      <c r="I4" s="17"/>
      <c r="J4" s="17"/>
      <c r="K4" s="17"/>
      <c r="L4" s="17"/>
      <c r="M4" s="17"/>
      <c r="N4" s="17"/>
      <c r="O4" s="17"/>
    </row>
    <row r="6" spans="1:16" x14ac:dyDescent="0.25">
      <c r="A6" s="17" t="s">
        <v>16</v>
      </c>
      <c r="B6" s="18" t="s">
        <v>66</v>
      </c>
      <c r="C6" s="17" t="s">
        <v>469</v>
      </c>
      <c r="D6" s="17"/>
      <c r="E6" s="17" t="s">
        <v>136</v>
      </c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6" outlineLevel="1" x14ac:dyDescent="0.25">
      <c r="A7" s="17"/>
      <c r="B7" s="17"/>
      <c r="C7" s="17" t="s">
        <v>470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6" outlineLevel="1" x14ac:dyDescent="0.25">
      <c r="A8" s="17"/>
      <c r="B8" s="17"/>
      <c r="C8" s="17" t="s">
        <v>471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6" outlineLevel="1" x14ac:dyDescent="0.25">
      <c r="C9" s="17" t="s">
        <v>472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6" outlineLevel="1" x14ac:dyDescent="0.25">
      <c r="C10" s="17" t="s">
        <v>76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6" outlineLevel="1" x14ac:dyDescent="0.25">
      <c r="C11" s="17" t="s">
        <v>77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6" outlineLevel="1" x14ac:dyDescent="0.25">
      <c r="C12" s="17" t="s">
        <v>78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1:16" outlineLevel="1" x14ac:dyDescent="0.25">
      <c r="C13" s="17" t="s">
        <v>85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6" outlineLevel="1" x14ac:dyDescent="0.25">
      <c r="C14" s="17" t="s">
        <v>564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1:16" outlineLevel="1" x14ac:dyDescent="0.25">
      <c r="C15" s="17" t="s">
        <v>565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1:16" outlineLevel="1" x14ac:dyDescent="0.25">
      <c r="C16" s="17" t="s">
        <v>80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</row>
    <row r="17" spans="1:15" outlineLevel="1" x14ac:dyDescent="0.25">
      <c r="C17" s="17" t="s">
        <v>87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 outlineLevel="1" x14ac:dyDescent="0.25">
      <c r="C18" s="17" t="s">
        <v>79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 outlineLevel="1" x14ac:dyDescent="0.25">
      <c r="C19" s="17" t="s">
        <v>86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</row>
    <row r="20" spans="1:15" outlineLevel="1" x14ac:dyDescent="0.25">
      <c r="C20" s="17" t="s">
        <v>82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</row>
    <row r="21" spans="1:15" outlineLevel="1" x14ac:dyDescent="0.25">
      <c r="C21" s="17" t="s">
        <v>89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</row>
    <row r="22" spans="1:15" outlineLevel="1" x14ac:dyDescent="0.25">
      <c r="C22" s="17" t="s">
        <v>569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</row>
    <row r="23" spans="1:15" outlineLevel="1" x14ac:dyDescent="0.25">
      <c r="C23" s="17" t="s">
        <v>568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outlineLevel="1" x14ac:dyDescent="0.25">
      <c r="C24" s="17" t="s">
        <v>573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</row>
    <row r="25" spans="1:15" outlineLevel="1" x14ac:dyDescent="0.25">
      <c r="A25" s="17"/>
      <c r="B25" s="17"/>
      <c r="C25" s="17" t="s">
        <v>572</v>
      </c>
      <c r="D25" s="17"/>
      <c r="E25" s="17"/>
      <c r="J25" s="3"/>
      <c r="K25" s="10"/>
      <c r="L25" s="4"/>
    </row>
    <row r="26" spans="1:15" outlineLevel="1" x14ac:dyDescent="0.25">
      <c r="A26" s="17"/>
      <c r="B26" s="17"/>
      <c r="C26" s="17" t="s">
        <v>577</v>
      </c>
      <c r="D26" s="17"/>
      <c r="E26" s="17"/>
      <c r="J26" s="3"/>
      <c r="K26" s="10"/>
      <c r="L26" s="4"/>
    </row>
    <row r="27" spans="1:15" outlineLevel="1" x14ac:dyDescent="0.25">
      <c r="A27" s="17"/>
      <c r="B27" s="17"/>
      <c r="C27" s="17" t="s">
        <v>576</v>
      </c>
      <c r="D27" s="17"/>
      <c r="E27" s="17"/>
    </row>
    <row r="28" spans="1:15" outlineLevel="1" x14ac:dyDescent="0.25">
      <c r="A28" s="17"/>
      <c r="B28" s="17"/>
      <c r="C28" s="17" t="s">
        <v>81</v>
      </c>
      <c r="D28" s="17"/>
      <c r="E28" s="17"/>
    </row>
    <row r="29" spans="1:15" outlineLevel="1" x14ac:dyDescent="0.25">
      <c r="A29" s="17"/>
      <c r="B29" s="17"/>
      <c r="C29" s="17" t="s">
        <v>88</v>
      </c>
      <c r="D29" s="17"/>
      <c r="E29" s="17"/>
    </row>
    <row r="30" spans="1:15" outlineLevel="1" x14ac:dyDescent="0.25">
      <c r="A30" s="17"/>
      <c r="B30" s="17"/>
      <c r="C30" s="17" t="s">
        <v>83</v>
      </c>
      <c r="D30" s="17"/>
      <c r="E30" s="17"/>
    </row>
    <row r="31" spans="1:15" outlineLevel="1" x14ac:dyDescent="0.25">
      <c r="A31" s="17"/>
      <c r="B31" s="17"/>
      <c r="C31" s="17" t="s">
        <v>90</v>
      </c>
      <c r="D31" s="17"/>
      <c r="E31" s="17"/>
    </row>
    <row r="33" spans="1:11" x14ac:dyDescent="0.25">
      <c r="A33" s="17" t="s">
        <v>16</v>
      </c>
      <c r="B33" s="17" t="s">
        <v>67</v>
      </c>
      <c r="C33" s="17" t="s">
        <v>68</v>
      </c>
      <c r="D33" s="17"/>
      <c r="E33" s="17"/>
    </row>
    <row r="34" spans="1:11" x14ac:dyDescent="0.25">
      <c r="A34" s="17"/>
      <c r="B34" s="17"/>
      <c r="C34" s="17" t="s">
        <v>69</v>
      </c>
      <c r="D34" s="17"/>
      <c r="E34" s="17"/>
    </row>
    <row r="36" spans="1:11" s="17" customFormat="1" x14ac:dyDescent="0.25">
      <c r="A36" s="17" t="s">
        <v>16</v>
      </c>
      <c r="B36" s="18" t="s">
        <v>25</v>
      </c>
      <c r="C36" s="17" t="s">
        <v>862</v>
      </c>
    </row>
    <row r="37" spans="1:11" x14ac:dyDescent="0.25">
      <c r="A37" s="17"/>
      <c r="B37" s="18"/>
      <c r="C37" s="17" t="s">
        <v>147</v>
      </c>
      <c r="D37" s="17"/>
      <c r="E37" s="17"/>
      <c r="F37" s="17"/>
      <c r="G37" s="17"/>
      <c r="H37" s="17"/>
      <c r="I37" s="17"/>
      <c r="J37" s="17"/>
      <c r="K37" s="17"/>
    </row>
    <row r="38" spans="1:11" x14ac:dyDescent="0.25">
      <c r="A38" s="17"/>
      <c r="B38" s="18"/>
      <c r="C38" s="17" t="s">
        <v>707</v>
      </c>
      <c r="D38" s="17"/>
      <c r="E38" s="17" t="s">
        <v>437</v>
      </c>
      <c r="F38" s="17"/>
      <c r="G38" s="17"/>
      <c r="H38" s="17"/>
      <c r="I38" s="17"/>
      <c r="J38" s="17"/>
      <c r="K38" s="17"/>
    </row>
    <row r="39" spans="1:11" x14ac:dyDescent="0.25">
      <c r="A39" s="17" t="s">
        <v>16</v>
      </c>
      <c r="B39" s="18" t="s">
        <v>147</v>
      </c>
      <c r="C39" s="17" t="s">
        <v>686</v>
      </c>
      <c r="D39" s="17"/>
      <c r="E39" s="17" t="s">
        <v>71</v>
      </c>
      <c r="F39" s="17"/>
      <c r="G39" s="17"/>
      <c r="H39" s="17"/>
      <c r="I39" s="17"/>
      <c r="J39" s="17"/>
      <c r="K39" s="19"/>
    </row>
    <row r="41" spans="1:11" x14ac:dyDescent="0.25">
      <c r="A41" t="s">
        <v>16</v>
      </c>
      <c r="B41" t="s">
        <v>813</v>
      </c>
      <c r="C41" t="s">
        <v>816</v>
      </c>
    </row>
    <row r="42" spans="1:11" x14ac:dyDescent="0.25">
      <c r="C42" t="s">
        <v>820</v>
      </c>
      <c r="E42" t="s">
        <v>814</v>
      </c>
    </row>
    <row r="44" spans="1:11" x14ac:dyDescent="0.25">
      <c r="A44" t="s">
        <v>16</v>
      </c>
      <c r="B44" t="s">
        <v>818</v>
      </c>
      <c r="C44" t="s">
        <v>819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C257-872E-4AE6-8BFB-4763E4EEF5A7}">
  <sheetPr codeName="Sheet13"/>
  <dimension ref="A1:O146"/>
  <sheetViews>
    <sheetView zoomScale="90" zoomScaleNormal="90" workbookViewId="0">
      <selection activeCell="H82" sqref="H82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5" x14ac:dyDescent="0.25">
      <c r="A2" t="s">
        <v>15</v>
      </c>
      <c r="B2" t="s">
        <v>28</v>
      </c>
      <c r="C2" t="s">
        <v>43</v>
      </c>
      <c r="D2" t="s">
        <v>474</v>
      </c>
      <c r="E2" t="s">
        <v>92</v>
      </c>
    </row>
    <row r="3" spans="1:15" outlineLevel="1" x14ac:dyDescent="0.25">
      <c r="C3" t="s">
        <v>42</v>
      </c>
      <c r="D3" t="s">
        <v>475</v>
      </c>
      <c r="E3" t="s">
        <v>92</v>
      </c>
    </row>
    <row r="4" spans="1:15" outlineLevel="1" x14ac:dyDescent="0.25">
      <c r="C4" t="s">
        <v>45</v>
      </c>
      <c r="D4" t="s">
        <v>476</v>
      </c>
      <c r="E4" t="s">
        <v>92</v>
      </c>
    </row>
    <row r="5" spans="1:15" outlineLevel="1" x14ac:dyDescent="0.25">
      <c r="C5" t="s">
        <v>47</v>
      </c>
      <c r="D5" t="s">
        <v>477</v>
      </c>
      <c r="E5" t="s">
        <v>92</v>
      </c>
    </row>
    <row r="6" spans="1:15" outlineLevel="1" x14ac:dyDescent="0.25">
      <c r="C6" t="s">
        <v>49</v>
      </c>
      <c r="D6" t="s">
        <v>478</v>
      </c>
      <c r="E6" t="s">
        <v>92</v>
      </c>
    </row>
    <row r="7" spans="1:15" outlineLevel="1" x14ac:dyDescent="0.25">
      <c r="C7" t="s">
        <v>50</v>
      </c>
      <c r="D7" t="s">
        <v>479</v>
      </c>
      <c r="E7" t="s">
        <v>92</v>
      </c>
    </row>
    <row r="8" spans="1:15" outlineLevel="1" x14ac:dyDescent="0.25">
      <c r="C8" t="s">
        <v>51</v>
      </c>
      <c r="D8" t="s">
        <v>480</v>
      </c>
      <c r="E8" t="s">
        <v>92</v>
      </c>
    </row>
    <row r="9" spans="1:15" outlineLevel="1" x14ac:dyDescent="0.25">
      <c r="C9" t="s">
        <v>562</v>
      </c>
      <c r="D9" t="s">
        <v>563</v>
      </c>
      <c r="E9" t="s">
        <v>92</v>
      </c>
    </row>
    <row r="10" spans="1:15" outlineLevel="1" x14ac:dyDescent="0.25">
      <c r="C10" t="s">
        <v>55</v>
      </c>
      <c r="D10" t="s">
        <v>465</v>
      </c>
      <c r="E10" t="s">
        <v>92</v>
      </c>
    </row>
    <row r="11" spans="1:15" outlineLevel="1" x14ac:dyDescent="0.25">
      <c r="C11" t="s">
        <v>567</v>
      </c>
      <c r="D11" t="s">
        <v>566</v>
      </c>
      <c r="E11" t="s">
        <v>92</v>
      </c>
    </row>
    <row r="12" spans="1:15" outlineLevel="1" x14ac:dyDescent="0.25">
      <c r="C12" t="s">
        <v>571</v>
      </c>
      <c r="D12" t="s">
        <v>570</v>
      </c>
      <c r="E12" t="s">
        <v>92</v>
      </c>
    </row>
    <row r="13" spans="1:15" outlineLevel="1" x14ac:dyDescent="0.25">
      <c r="C13" t="s">
        <v>575</v>
      </c>
      <c r="D13" t="s">
        <v>574</v>
      </c>
      <c r="E13" t="s">
        <v>92</v>
      </c>
    </row>
    <row r="14" spans="1:15" x14ac:dyDescent="0.25">
      <c r="H14" t="s">
        <v>809</v>
      </c>
      <c r="J14" t="s">
        <v>810</v>
      </c>
      <c r="K14" t="s">
        <v>808</v>
      </c>
      <c r="L14" t="s">
        <v>822</v>
      </c>
    </row>
    <row r="15" spans="1:15" x14ac:dyDescent="0.25">
      <c r="A15" t="s">
        <v>15</v>
      </c>
      <c r="B15" t="s">
        <v>758</v>
      </c>
      <c r="C15" s="13" t="b">
        <f ca="1">AND(IF(K15,K15&gt;L15,FALSE),NOT(J15))</f>
        <v>1</v>
      </c>
      <c r="D15" s="16" t="str">
        <f>$O$17&amp;H15&amp;"_Units.png"</f>
        <v>D:\OneDrive-Sync\Christian Dior Couture\APAC Management - Reports - Reports\DClick\Images\VM22\wBags_Units.png</v>
      </c>
      <c r="E15" t="str">
        <f>RIGHT(D15,LEN(D15)-LEN($O$17))</f>
        <v>wBags_Units.png</v>
      </c>
      <c r="H15" t="str">
        <f>C2</f>
        <v>wBags</v>
      </c>
      <c r="J15" t="b">
        <v>0</v>
      </c>
      <c r="K15" s="10" cm="1">
        <f t="array" aca="1" ref="K15" ca="1">fileModifiedDate(D15, NOW())</f>
        <v>44899.291747685187</v>
      </c>
      <c r="L15" s="4">
        <f ca="1">IF(NOW()&gt;TODAY()+TIME(3,0,0),TODAY()+TIME(3,0,0),TODAY()-1+TIME(3,0,0))</f>
        <v>44899.125</v>
      </c>
      <c r="M15" t="s">
        <v>762</v>
      </c>
    </row>
    <row r="16" spans="1:15" outlineLevel="1" x14ac:dyDescent="0.25">
      <c r="C16" s="13" t="b">
        <f t="shared" ref="C16:C26" ca="1" si="0">AND(IF(K16,K16&gt;L16,FALSE),NOT(J16))</f>
        <v>1</v>
      </c>
      <c r="D16" s="16" t="str">
        <f t="shared" ref="D16:D26" si="1">$O$17&amp;H16&amp;"_Units.png"</f>
        <v>D:\OneDrive-Sync\Christian Dior Couture\APAC Management - Reports - Reports\DClick\Images\VM22\wRTW_Units.png</v>
      </c>
      <c r="E16" t="str">
        <f t="shared" ref="E16:E26" si="2">RIGHT(D16,LEN(D16)-LEN($O$17))</f>
        <v>wRTW_Units.png</v>
      </c>
      <c r="H16" t="str">
        <f t="shared" ref="H16:H26" si="3">C3</f>
        <v>wRTW</v>
      </c>
      <c r="J16" t="b">
        <v>0</v>
      </c>
      <c r="K16" s="10" cm="1">
        <f t="array" aca="1" ref="K16" ca="1">fileModifiedDate(D16, NOW())</f>
        <v>44899.293009259258</v>
      </c>
      <c r="L16" s="4">
        <f ca="1">L15</f>
        <v>44899.125</v>
      </c>
      <c r="O16" t="s">
        <v>841</v>
      </c>
    </row>
    <row r="17" spans="1:15" outlineLevel="1" x14ac:dyDescent="0.25">
      <c r="C17" s="13" t="b">
        <f t="shared" ca="1" si="0"/>
        <v>1</v>
      </c>
      <c r="D17" s="16" t="str">
        <f t="shared" si="1"/>
        <v>D:\OneDrive-Sync\Christian Dior Couture\APAC Management - Reports - Reports\DClick\Images\VM22\wShoes_Units.png</v>
      </c>
      <c r="E17" t="str">
        <f t="shared" si="2"/>
        <v>wShoes_Units.png</v>
      </c>
      <c r="H17" t="str">
        <f t="shared" si="3"/>
        <v>wShoes</v>
      </c>
      <c r="J17" t="b">
        <v>0</v>
      </c>
      <c r="K17" s="10" cm="1">
        <f t="array" aca="1" ref="K17" ca="1">fileModifiedDate(D17, NOW())</f>
        <v>44899.294236111113</v>
      </c>
      <c r="L17" s="4">
        <f ca="1">L16</f>
        <v>44899.125</v>
      </c>
      <c r="O17" t="str">
        <f>D57</f>
        <v>D:\OneDrive-Sync\Christian Dior Couture\APAC Management - Reports - Reports\DClick\Images\VM22\</v>
      </c>
    </row>
    <row r="18" spans="1:15" outlineLevel="1" x14ac:dyDescent="0.25">
      <c r="C18" s="13" t="b">
        <f t="shared" ca="1" si="0"/>
        <v>1</v>
      </c>
      <c r="D18" s="16" t="str">
        <f t="shared" si="1"/>
        <v>D:\OneDrive-Sync\Christian Dior Couture\APAC Management - Reports - Reports\DClick\Images\VM22\wAccessories_Units.png</v>
      </c>
      <c r="E18" t="str">
        <f t="shared" si="2"/>
        <v>wAccessories_Units.png</v>
      </c>
      <c r="H18" t="str">
        <f t="shared" si="3"/>
        <v>wAccessories</v>
      </c>
      <c r="J18" t="b">
        <v>0</v>
      </c>
      <c r="K18" s="10" cm="1">
        <f t="array" aca="1" ref="K18" ca="1">fileModifiedDate(D18, NOW())</f>
        <v>44899.295497685183</v>
      </c>
      <c r="L18" s="4">
        <f t="shared" ref="L18:L26" ca="1" si="4">L17</f>
        <v>44899.125</v>
      </c>
    </row>
    <row r="19" spans="1:15" outlineLevel="1" x14ac:dyDescent="0.25">
      <c r="C19" s="13" t="b">
        <f t="shared" ca="1" si="0"/>
        <v>1</v>
      </c>
      <c r="D19" s="16" t="str">
        <f t="shared" si="1"/>
        <v>D:\OneDrive-Sync\Christian Dior Couture\APAC Management - Reports - Reports\DClick\Images\VM22\JewelleryAndWatches_Units.png</v>
      </c>
      <c r="E19" t="str">
        <f t="shared" si="2"/>
        <v>JewelleryAndWatches_Units.png</v>
      </c>
      <c r="H19" t="str">
        <f t="shared" si="3"/>
        <v>JewelleryAndWatches</v>
      </c>
      <c r="J19" t="b">
        <v>0</v>
      </c>
      <c r="K19" s="10" cm="1">
        <f t="array" aca="1" ref="K19" ca="1">fileModifiedDate(D19, NOW())</f>
        <v>44899.296724537038</v>
      </c>
      <c r="L19" s="4">
        <f t="shared" ca="1" si="4"/>
        <v>44899.125</v>
      </c>
      <c r="O19" t="s">
        <v>844</v>
      </c>
    </row>
    <row r="20" spans="1:15" outlineLevel="1" x14ac:dyDescent="0.25">
      <c r="C20" s="13" t="b">
        <f t="shared" ca="1" si="0"/>
        <v>1</v>
      </c>
      <c r="D20" s="16" t="str">
        <f t="shared" si="1"/>
        <v>D:\OneDrive-Sync\Christian Dior Couture\APAC Management - Reports - Reports\DClick\Images\VM22\Mens_Units.png</v>
      </c>
      <c r="E20" t="str">
        <f t="shared" si="2"/>
        <v>Mens_Units.png</v>
      </c>
      <c r="H20" t="str">
        <f t="shared" si="3"/>
        <v>Mens</v>
      </c>
      <c r="J20" t="b">
        <v>0</v>
      </c>
      <c r="K20" s="10" cm="1">
        <f t="array" aca="1" ref="K20" ca="1">fileModifiedDate(D20, NOW())</f>
        <v>44899.297986111109</v>
      </c>
      <c r="L20" s="4">
        <f t="shared" ca="1" si="4"/>
        <v>44899.125</v>
      </c>
    </row>
    <row r="21" spans="1:15" outlineLevel="1" x14ac:dyDescent="0.25">
      <c r="C21" s="13" t="b">
        <f t="shared" ca="1" si="0"/>
        <v>1</v>
      </c>
      <c r="D21" s="16" t="str">
        <f t="shared" si="1"/>
        <v>D:\OneDrive-Sync\Christian Dior Couture\APAC Management - Reports - Reports\DClick\Images\VM22\Baby_Units.png</v>
      </c>
      <c r="E21" t="str">
        <f t="shared" si="2"/>
        <v>Baby_Units.png</v>
      </c>
      <c r="H21" t="str">
        <f t="shared" si="3"/>
        <v>Baby</v>
      </c>
      <c r="J21" t="b">
        <v>0</v>
      </c>
      <c r="K21" s="10" cm="1">
        <f t="array" aca="1" ref="K21" ca="1">fileModifiedDate(D21, NOW())</f>
        <v>44899.299201388887</v>
      </c>
      <c r="L21" s="4">
        <f t="shared" ca="1" si="4"/>
        <v>44899.125</v>
      </c>
    </row>
    <row r="22" spans="1:15" outlineLevel="1" x14ac:dyDescent="0.25">
      <c r="C22" s="13" t="b">
        <f t="shared" ca="1" si="0"/>
        <v>1</v>
      </c>
      <c r="D22" s="16" t="str">
        <f t="shared" si="1"/>
        <v>D:\OneDrive-Sync\Christian Dior Couture\APAC Management - Reports - Reports\DClick\Images\VM22\wSLG_Units.png</v>
      </c>
      <c r="E22" t="str">
        <f t="shared" si="2"/>
        <v>wSLG_Units.png</v>
      </c>
      <c r="H22" t="str">
        <f t="shared" si="3"/>
        <v>wSLG</v>
      </c>
      <c r="J22" t="b">
        <v>0</v>
      </c>
      <c r="K22" s="10" cm="1">
        <f t="array" aca="1" ref="K22" ca="1">fileModifiedDate(D22, NOW())</f>
        <v>44899.300474537034</v>
      </c>
      <c r="L22" s="4">
        <f t="shared" ca="1" si="4"/>
        <v>44899.125</v>
      </c>
    </row>
    <row r="23" spans="1:15" outlineLevel="1" x14ac:dyDescent="0.25">
      <c r="C23" s="13" t="b">
        <f t="shared" ca="1" si="0"/>
        <v>1</v>
      </c>
      <c r="D23" s="16" t="str">
        <f t="shared" si="1"/>
        <v>D:\OneDrive-Sync\Christian Dior Couture\APAC Management - Reports - Reports\DClick\Images\VM22\ALL_Units.png</v>
      </c>
      <c r="E23" t="str">
        <f t="shared" si="2"/>
        <v>ALL_Units.png</v>
      </c>
      <c r="H23" t="str">
        <f t="shared" si="3"/>
        <v>ALL</v>
      </c>
      <c r="J23" t="b">
        <v>0</v>
      </c>
      <c r="K23" s="10" cm="1">
        <f t="array" aca="1" ref="K23" ca="1">fileModifiedDate(D23, NOW())</f>
        <v>44899.301701388889</v>
      </c>
      <c r="L23" s="4">
        <f t="shared" ca="1" si="4"/>
        <v>44899.125</v>
      </c>
    </row>
    <row r="24" spans="1:15" outlineLevel="1" x14ac:dyDescent="0.25">
      <c r="C24" s="13" t="b">
        <f t="shared" ca="1" si="0"/>
        <v>1</v>
      </c>
      <c r="D24" s="16" t="str">
        <f t="shared" si="1"/>
        <v>D:\OneDrive-Sync\Christian Dior Couture\APAC Management - Reports - Reports\DClick\Images\VM22\mBags_mRTW_Units.png</v>
      </c>
      <c r="E24" t="str">
        <f t="shared" si="2"/>
        <v>mBags_mRTW_Units.png</v>
      </c>
      <c r="H24" t="str">
        <f t="shared" si="3"/>
        <v>mBags_mRTW</v>
      </c>
      <c r="J24" t="b">
        <v>0</v>
      </c>
      <c r="K24" s="10" cm="1">
        <f t="array" aca="1" ref="K24" ca="1">fileModifiedDate(D24, NOW())</f>
        <v>44899.302986111114</v>
      </c>
      <c r="L24" s="4">
        <f t="shared" ca="1" si="4"/>
        <v>44899.125</v>
      </c>
    </row>
    <row r="25" spans="1:15" outlineLevel="1" x14ac:dyDescent="0.25">
      <c r="C25" s="13" t="b">
        <f t="shared" ca="1" si="0"/>
        <v>1</v>
      </c>
      <c r="D25" s="16" t="str">
        <f t="shared" si="1"/>
        <v>D:\OneDrive-Sync\Christian Dior Couture\APAC Management - Reports - Reports\DClick\Images\VM22\mAcc_mShoes_Units.png</v>
      </c>
      <c r="E25" t="str">
        <f t="shared" si="2"/>
        <v>mAcc_mShoes_Units.png</v>
      </c>
      <c r="H25" t="str">
        <f t="shared" si="3"/>
        <v>mAcc_mShoes</v>
      </c>
      <c r="J25" t="b">
        <v>0</v>
      </c>
      <c r="K25" s="10" cm="1">
        <f t="array" aca="1" ref="K25" ca="1">fileModifiedDate(D25, NOW())</f>
        <v>44899.304282407407</v>
      </c>
      <c r="L25" s="4">
        <f t="shared" ca="1" si="4"/>
        <v>44899.125</v>
      </c>
    </row>
    <row r="26" spans="1:15" outlineLevel="1" x14ac:dyDescent="0.25">
      <c r="C26" s="13" t="b">
        <f t="shared" ca="1" si="0"/>
        <v>1</v>
      </c>
      <c r="D26" s="16" t="str">
        <f t="shared" si="1"/>
        <v>D:\OneDrive-Sync\Christian Dior Couture\APAC Management - Reports - Reports\DClick\Images\VM22\mSLG_mSpecial_Units.png</v>
      </c>
      <c r="E26" t="str">
        <f t="shared" si="2"/>
        <v>mSLG_mSpecial_Units.png</v>
      </c>
      <c r="H26" t="str">
        <f t="shared" si="3"/>
        <v>mSLG_mSpecial</v>
      </c>
      <c r="J26" t="b">
        <v>0</v>
      </c>
      <c r="K26" s="10" cm="1">
        <f t="array" aca="1" ref="K26" ca="1">fileModifiedDate(D26, NOW())</f>
        <v>44899.305543981478</v>
      </c>
      <c r="L26" s="4">
        <f t="shared" ca="1" si="4"/>
        <v>44899.125</v>
      </c>
    </row>
    <row r="28" spans="1:15" x14ac:dyDescent="0.25">
      <c r="A28" t="s">
        <v>15</v>
      </c>
      <c r="B28" t="s">
        <v>812</v>
      </c>
      <c r="C28" t="b">
        <f>IF(D28&gt;0,TRUE,FALSE)</f>
        <v>0</v>
      </c>
      <c r="H28" t="str">
        <f t="shared" ref="H28:H39" si="5">H15</f>
        <v>wBags</v>
      </c>
    </row>
    <row r="29" spans="1:15" outlineLevel="1" x14ac:dyDescent="0.25">
      <c r="C29" t="b">
        <f t="shared" ref="C29:C39" si="6">IF(D29&gt;0,TRUE,FALSE)</f>
        <v>0</v>
      </c>
      <c r="H29" t="str">
        <f t="shared" si="5"/>
        <v>wRTW</v>
      </c>
    </row>
    <row r="30" spans="1:15" outlineLevel="1" x14ac:dyDescent="0.25">
      <c r="C30" t="b">
        <f t="shared" si="6"/>
        <v>0</v>
      </c>
      <c r="H30" t="str">
        <f t="shared" si="5"/>
        <v>wShoes</v>
      </c>
    </row>
    <row r="31" spans="1:15" outlineLevel="1" x14ac:dyDescent="0.25">
      <c r="C31" t="b">
        <f t="shared" si="6"/>
        <v>0</v>
      </c>
      <c r="H31" t="str">
        <f t="shared" si="5"/>
        <v>wAccessories</v>
      </c>
    </row>
    <row r="32" spans="1:15" outlineLevel="1" x14ac:dyDescent="0.25">
      <c r="C32" t="b">
        <f t="shared" si="6"/>
        <v>0</v>
      </c>
      <c r="H32" t="str">
        <f t="shared" si="5"/>
        <v>JewelleryAndWatches</v>
      </c>
    </row>
    <row r="33" spans="1:8" outlineLevel="1" x14ac:dyDescent="0.25">
      <c r="C33" t="b">
        <f t="shared" si="6"/>
        <v>0</v>
      </c>
      <c r="H33" t="str">
        <f t="shared" si="5"/>
        <v>Mens</v>
      </c>
    </row>
    <row r="34" spans="1:8" outlineLevel="1" x14ac:dyDescent="0.25">
      <c r="C34" t="b">
        <f t="shared" si="6"/>
        <v>0</v>
      </c>
      <c r="H34" t="str">
        <f t="shared" si="5"/>
        <v>Baby</v>
      </c>
    </row>
    <row r="35" spans="1:8" outlineLevel="1" x14ac:dyDescent="0.25">
      <c r="C35" t="b">
        <f t="shared" si="6"/>
        <v>0</v>
      </c>
      <c r="H35" t="str">
        <f t="shared" si="5"/>
        <v>wSLG</v>
      </c>
    </row>
    <row r="36" spans="1:8" outlineLevel="1" x14ac:dyDescent="0.25">
      <c r="C36" t="b">
        <f t="shared" si="6"/>
        <v>0</v>
      </c>
      <c r="H36" t="str">
        <f t="shared" si="5"/>
        <v>ALL</v>
      </c>
    </row>
    <row r="37" spans="1:8" outlineLevel="1" x14ac:dyDescent="0.25">
      <c r="C37" t="b">
        <f t="shared" si="6"/>
        <v>0</v>
      </c>
      <c r="H37" t="str">
        <f t="shared" si="5"/>
        <v>mBags_mRTW</v>
      </c>
    </row>
    <row r="38" spans="1:8" outlineLevel="1" x14ac:dyDescent="0.25">
      <c r="C38" t="b">
        <f t="shared" si="6"/>
        <v>0</v>
      </c>
      <c r="H38" t="str">
        <f t="shared" si="5"/>
        <v>mAcc_mShoes</v>
      </c>
    </row>
    <row r="39" spans="1:8" outlineLevel="1" x14ac:dyDescent="0.25">
      <c r="C39" t="b">
        <f t="shared" si="6"/>
        <v>0</v>
      </c>
      <c r="H39" t="str">
        <f t="shared" si="5"/>
        <v>mSLG_mSpecial</v>
      </c>
    </row>
    <row r="41" spans="1:8" x14ac:dyDescent="0.25">
      <c r="A41" t="s">
        <v>15</v>
      </c>
      <c r="B41" t="s">
        <v>838</v>
      </c>
      <c r="C41" s="3" t="b">
        <v>1</v>
      </c>
      <c r="H41" s="12" t="str">
        <f t="shared" ref="H41:H52" si="7">H28</f>
        <v>wBags</v>
      </c>
    </row>
    <row r="42" spans="1:8" outlineLevel="1" x14ac:dyDescent="0.25">
      <c r="C42" s="3" t="b">
        <v>1</v>
      </c>
      <c r="H42" s="12" t="str">
        <f t="shared" si="7"/>
        <v>wRTW</v>
      </c>
    </row>
    <row r="43" spans="1:8" outlineLevel="1" x14ac:dyDescent="0.25">
      <c r="C43" s="3" t="b">
        <v>1</v>
      </c>
      <c r="H43" t="str">
        <f t="shared" si="7"/>
        <v>wShoes</v>
      </c>
    </row>
    <row r="44" spans="1:8" outlineLevel="1" x14ac:dyDescent="0.25">
      <c r="C44" s="3" t="b">
        <v>1</v>
      </c>
      <c r="H44" t="str">
        <f t="shared" si="7"/>
        <v>wAccessories</v>
      </c>
    </row>
    <row r="45" spans="1:8" outlineLevel="1" x14ac:dyDescent="0.25">
      <c r="C45" s="3" t="b">
        <v>1</v>
      </c>
      <c r="H45" t="str">
        <f t="shared" si="7"/>
        <v>JewelleryAndWatches</v>
      </c>
    </row>
    <row r="46" spans="1:8" outlineLevel="1" x14ac:dyDescent="0.25">
      <c r="C46" s="3" t="b">
        <v>1</v>
      </c>
      <c r="H46" t="str">
        <f t="shared" si="7"/>
        <v>Mens</v>
      </c>
    </row>
    <row r="47" spans="1:8" outlineLevel="1" x14ac:dyDescent="0.25">
      <c r="C47" s="3" t="b">
        <v>1</v>
      </c>
      <c r="H47" t="str">
        <f t="shared" si="7"/>
        <v>Baby</v>
      </c>
    </row>
    <row r="48" spans="1:8" outlineLevel="1" x14ac:dyDescent="0.25">
      <c r="C48" s="3" t="b">
        <v>1</v>
      </c>
      <c r="H48" t="str">
        <f t="shared" si="7"/>
        <v>wSLG</v>
      </c>
    </row>
    <row r="49" spans="1:11" outlineLevel="1" x14ac:dyDescent="0.25">
      <c r="C49" s="3" t="b">
        <v>1</v>
      </c>
      <c r="H49" t="str">
        <f t="shared" si="7"/>
        <v>ALL</v>
      </c>
    </row>
    <row r="50" spans="1:11" outlineLevel="1" x14ac:dyDescent="0.25">
      <c r="C50" s="3" t="b">
        <v>1</v>
      </c>
      <c r="H50" t="str">
        <f t="shared" si="7"/>
        <v>mBags_mRTW</v>
      </c>
    </row>
    <row r="51" spans="1:11" outlineLevel="1" x14ac:dyDescent="0.25">
      <c r="C51" s="3" t="b">
        <v>1</v>
      </c>
      <c r="H51" t="str">
        <f t="shared" si="7"/>
        <v>mAcc_mShoes</v>
      </c>
    </row>
    <row r="52" spans="1:11" outlineLevel="1" x14ac:dyDescent="0.25">
      <c r="C52" s="3" t="b">
        <v>1</v>
      </c>
      <c r="H52" t="str">
        <f t="shared" si="7"/>
        <v>mSLG_mSpecial</v>
      </c>
    </row>
    <row r="54" spans="1:11" x14ac:dyDescent="0.25">
      <c r="A54" t="s">
        <v>15</v>
      </c>
      <c r="B54" s="3" t="s">
        <v>358</v>
      </c>
      <c r="C54" t="s">
        <v>360</v>
      </c>
      <c r="D54" s="16" t="s">
        <v>363</v>
      </c>
      <c r="E54" s="3" t="s">
        <v>432</v>
      </c>
      <c r="H54" t="s">
        <v>362</v>
      </c>
    </row>
    <row r="55" spans="1:11" x14ac:dyDescent="0.25">
      <c r="C55" t="s">
        <v>253</v>
      </c>
      <c r="D55" s="16" t="s">
        <v>361</v>
      </c>
    </row>
    <row r="56" spans="1:11" x14ac:dyDescent="0.25">
      <c r="C56" t="s">
        <v>365</v>
      </c>
      <c r="D56" s="16" t="s">
        <v>363</v>
      </c>
    </row>
    <row r="57" spans="1:11" x14ac:dyDescent="0.25">
      <c r="C57" s="3" t="s">
        <v>367</v>
      </c>
      <c r="D57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57" t="s">
        <v>700</v>
      </c>
      <c r="H57" t="s">
        <v>699</v>
      </c>
      <c r="K57" s="3" t="s">
        <v>840</v>
      </c>
    </row>
    <row r="58" spans="1:11" x14ac:dyDescent="0.25">
      <c r="C58" t="s">
        <v>532</v>
      </c>
      <c r="D58" s="16" t="s">
        <v>698</v>
      </c>
      <c r="E58" s="6"/>
    </row>
    <row r="59" spans="1:11" x14ac:dyDescent="0.25">
      <c r="C59" t="s">
        <v>533</v>
      </c>
      <c r="D59" s="16" t="s">
        <v>536</v>
      </c>
      <c r="E59" s="6"/>
    </row>
    <row r="61" spans="1:11" x14ac:dyDescent="0.25">
      <c r="A61" t="s">
        <v>15</v>
      </c>
      <c r="B61" t="s">
        <v>9</v>
      </c>
      <c r="C61" t="s">
        <v>93</v>
      </c>
      <c r="D61" t="s">
        <v>23</v>
      </c>
      <c r="E61" s="3" t="s">
        <v>433</v>
      </c>
    </row>
    <row r="63" spans="1:11" x14ac:dyDescent="0.25">
      <c r="A63" t="s">
        <v>15</v>
      </c>
      <c r="B63" t="s">
        <v>405</v>
      </c>
      <c r="C63" t="s">
        <v>406</v>
      </c>
      <c r="E63" s="3" t="s">
        <v>436</v>
      </c>
    </row>
    <row r="64" spans="1:11" x14ac:dyDescent="0.25">
      <c r="E64" s="3"/>
    </row>
    <row r="65" spans="1:5" x14ac:dyDescent="0.25">
      <c r="A65" t="s">
        <v>16</v>
      </c>
      <c r="B65" s="3" t="s">
        <v>25</v>
      </c>
      <c r="C65" t="s">
        <v>861</v>
      </c>
      <c r="E65" t="s">
        <v>148</v>
      </c>
    </row>
    <row r="66" spans="1:5" x14ac:dyDescent="0.25">
      <c r="B66" s="3"/>
      <c r="C66" t="s">
        <v>435</v>
      </c>
      <c r="D66" s="3"/>
    </row>
    <row r="67" spans="1:5" x14ac:dyDescent="0.25">
      <c r="C67" t="s">
        <v>95</v>
      </c>
    </row>
    <row r="68" spans="1:5" x14ac:dyDescent="0.25">
      <c r="B68" s="3"/>
      <c r="C68" t="s">
        <v>760</v>
      </c>
      <c r="E68" t="s">
        <v>371</v>
      </c>
    </row>
    <row r="69" spans="1:5" x14ac:dyDescent="0.25">
      <c r="A69" t="s">
        <v>16</v>
      </c>
      <c r="B69" s="3" t="s">
        <v>667</v>
      </c>
      <c r="C69" t="s">
        <v>824</v>
      </c>
    </row>
    <row r="71" spans="1:5" x14ac:dyDescent="0.25">
      <c r="A71" t="s">
        <v>16</v>
      </c>
      <c r="B71" s="3" t="s">
        <v>95</v>
      </c>
      <c r="C71" t="s">
        <v>94</v>
      </c>
    </row>
    <row r="72" spans="1:5" x14ac:dyDescent="0.25">
      <c r="C72" t="s">
        <v>688</v>
      </c>
    </row>
    <row r="73" spans="1:5" x14ac:dyDescent="0.25">
      <c r="C73" t="s">
        <v>339</v>
      </c>
      <c r="E73" t="s">
        <v>104</v>
      </c>
    </row>
    <row r="74" spans="1:5" x14ac:dyDescent="0.25">
      <c r="C74" t="s">
        <v>114</v>
      </c>
    </row>
    <row r="75" spans="1:5" x14ac:dyDescent="0.25">
      <c r="A75" t="s">
        <v>16</v>
      </c>
      <c r="B75" t="s">
        <v>114</v>
      </c>
      <c r="C75" t="s">
        <v>448</v>
      </c>
      <c r="E75" t="s">
        <v>115</v>
      </c>
    </row>
    <row r="77" spans="1:5" x14ac:dyDescent="0.25">
      <c r="A77" t="s">
        <v>16</v>
      </c>
      <c r="B77" t="s">
        <v>759</v>
      </c>
      <c r="C77" t="s">
        <v>761</v>
      </c>
    </row>
    <row r="78" spans="1:5" x14ac:dyDescent="0.25">
      <c r="A78" t="s">
        <v>16</v>
      </c>
      <c r="B78" s="3" t="s">
        <v>32</v>
      </c>
      <c r="C78" t="s">
        <v>721</v>
      </c>
    </row>
    <row r="79" spans="1:5" x14ac:dyDescent="0.25">
      <c r="B79" s="3"/>
      <c r="C79" t="s">
        <v>118</v>
      </c>
    </row>
    <row r="80" spans="1:5" x14ac:dyDescent="0.25">
      <c r="C80" t="s">
        <v>122</v>
      </c>
    </row>
    <row r="81" spans="1:12" x14ac:dyDescent="0.25">
      <c r="C81" t="s">
        <v>57</v>
      </c>
    </row>
    <row r="82" spans="1:12" x14ac:dyDescent="0.25">
      <c r="C82" t="s">
        <v>837</v>
      </c>
    </row>
    <row r="83" spans="1:12" x14ac:dyDescent="0.25">
      <c r="C83" t="s">
        <v>839</v>
      </c>
    </row>
    <row r="85" spans="1:12" x14ac:dyDescent="0.25">
      <c r="A85" t="s">
        <v>16</v>
      </c>
      <c r="B85" t="s">
        <v>837</v>
      </c>
      <c r="C85" t="s">
        <v>56</v>
      </c>
    </row>
    <row r="86" spans="1:12" x14ac:dyDescent="0.25">
      <c r="C86" t="s">
        <v>377</v>
      </c>
    </row>
    <row r="87" spans="1:12" x14ac:dyDescent="0.25">
      <c r="C87" t="s">
        <v>401</v>
      </c>
      <c r="E87" t="s">
        <v>722</v>
      </c>
      <c r="L87" t="s">
        <v>401</v>
      </c>
    </row>
    <row r="88" spans="1:12" x14ac:dyDescent="0.25">
      <c r="C88" t="s">
        <v>815</v>
      </c>
      <c r="E88" t="s">
        <v>811</v>
      </c>
    </row>
    <row r="89" spans="1:12" x14ac:dyDescent="0.25">
      <c r="A89" t="s">
        <v>16</v>
      </c>
      <c r="B89" t="s">
        <v>836</v>
      </c>
      <c r="C89" t="s">
        <v>58</v>
      </c>
    </row>
    <row r="90" spans="1:12" x14ac:dyDescent="0.25">
      <c r="C90" t="s">
        <v>377</v>
      </c>
    </row>
    <row r="91" spans="1:12" x14ac:dyDescent="0.25">
      <c r="C91" t="s">
        <v>402</v>
      </c>
    </row>
    <row r="95" spans="1:12" x14ac:dyDescent="0.25">
      <c r="A95" t="s">
        <v>16</v>
      </c>
      <c r="B95" t="s">
        <v>823</v>
      </c>
      <c r="C95" t="s">
        <v>815</v>
      </c>
      <c r="E95" t="s">
        <v>811</v>
      </c>
    </row>
    <row r="97" spans="1:11" x14ac:dyDescent="0.25">
      <c r="A97" t="s">
        <v>16</v>
      </c>
      <c r="B97" t="s">
        <v>813</v>
      </c>
      <c r="C97" t="s">
        <v>816</v>
      </c>
    </row>
    <row r="98" spans="1:11" x14ac:dyDescent="0.25">
      <c r="C98" t="s">
        <v>820</v>
      </c>
      <c r="E98" t="s">
        <v>814</v>
      </c>
      <c r="K98" t="s">
        <v>821</v>
      </c>
    </row>
    <row r="100" spans="1:11" x14ac:dyDescent="0.25">
      <c r="A100" t="s">
        <v>16</v>
      </c>
      <c r="B100" t="s">
        <v>818</v>
      </c>
      <c r="C100" t="s">
        <v>819</v>
      </c>
    </row>
    <row r="103" spans="1:11" x14ac:dyDescent="0.25">
      <c r="A103" t="s">
        <v>16</v>
      </c>
      <c r="B103" t="s">
        <v>118</v>
      </c>
      <c r="C103" t="s">
        <v>399</v>
      </c>
      <c r="D103" t="s">
        <v>29</v>
      </c>
      <c r="E103" t="s">
        <v>117</v>
      </c>
    </row>
    <row r="104" spans="1:11" x14ac:dyDescent="0.25">
      <c r="C104" t="s">
        <v>441</v>
      </c>
    </row>
    <row r="105" spans="1:11" x14ac:dyDescent="0.25">
      <c r="A105" t="s">
        <v>16</v>
      </c>
      <c r="B105" t="s">
        <v>441</v>
      </c>
      <c r="C105" t="s">
        <v>442</v>
      </c>
    </row>
    <row r="106" spans="1:11" x14ac:dyDescent="0.25">
      <c r="A106" t="s">
        <v>16</v>
      </c>
      <c r="B106" t="s">
        <v>122</v>
      </c>
      <c r="C106" t="s">
        <v>348</v>
      </c>
      <c r="E106" t="s">
        <v>126</v>
      </c>
    </row>
    <row r="107" spans="1:11" x14ac:dyDescent="0.25">
      <c r="C107" t="s">
        <v>349</v>
      </c>
      <c r="E107" t="s">
        <v>127</v>
      </c>
    </row>
    <row r="108" spans="1:11" x14ac:dyDescent="0.25">
      <c r="A108" t="s">
        <v>16</v>
      </c>
      <c r="B108" t="s">
        <v>124</v>
      </c>
      <c r="C108" t="s">
        <v>350</v>
      </c>
      <c r="E108" t="s">
        <v>128</v>
      </c>
    </row>
    <row r="109" spans="1:11" x14ac:dyDescent="0.25">
      <c r="C109" t="s">
        <v>2</v>
      </c>
    </row>
    <row r="110" spans="1:11" x14ac:dyDescent="0.25">
      <c r="C110" t="s">
        <v>129</v>
      </c>
    </row>
    <row r="111" spans="1:11" x14ac:dyDescent="0.25">
      <c r="C111" t="s">
        <v>120</v>
      </c>
      <c r="E111" t="s">
        <v>131</v>
      </c>
    </row>
    <row r="112" spans="1:11" x14ac:dyDescent="0.25">
      <c r="C112" t="s">
        <v>121</v>
      </c>
      <c r="E112" t="s">
        <v>132</v>
      </c>
    </row>
    <row r="113" spans="1:5" x14ac:dyDescent="0.25">
      <c r="C113" t="s">
        <v>351</v>
      </c>
      <c r="E113" t="s">
        <v>133</v>
      </c>
    </row>
    <row r="114" spans="1:5" x14ac:dyDescent="0.25">
      <c r="A114" t="s">
        <v>16</v>
      </c>
      <c r="B114" t="s">
        <v>134</v>
      </c>
      <c r="C114" t="s">
        <v>27</v>
      </c>
    </row>
    <row r="116" spans="1:5" x14ac:dyDescent="0.25">
      <c r="A116" t="s">
        <v>16</v>
      </c>
      <c r="B116" t="s">
        <v>57</v>
      </c>
      <c r="C116" t="s">
        <v>61</v>
      </c>
      <c r="E116" t="s">
        <v>99</v>
      </c>
    </row>
    <row r="117" spans="1:5" x14ac:dyDescent="0.25">
      <c r="A117" t="s">
        <v>16</v>
      </c>
      <c r="B117" t="s">
        <v>56</v>
      </c>
      <c r="C117" t="s">
        <v>60</v>
      </c>
      <c r="E117" t="s">
        <v>100</v>
      </c>
    </row>
    <row r="118" spans="1:5" x14ac:dyDescent="0.25">
      <c r="A118" t="s">
        <v>16</v>
      </c>
      <c r="B118" t="s">
        <v>58</v>
      </c>
      <c r="C118" t="s">
        <v>59</v>
      </c>
      <c r="E118" t="s">
        <v>101</v>
      </c>
    </row>
    <row r="119" spans="1:5" x14ac:dyDescent="0.25">
      <c r="A119" t="s">
        <v>16</v>
      </c>
      <c r="B119" t="s">
        <v>63</v>
      </c>
      <c r="C119" t="s">
        <v>342</v>
      </c>
      <c r="E119" t="s">
        <v>102</v>
      </c>
    </row>
    <row r="121" spans="1:5" x14ac:dyDescent="0.25">
      <c r="A121" t="s">
        <v>16</v>
      </c>
      <c r="B121" t="s">
        <v>377</v>
      </c>
      <c r="C121" t="s">
        <v>340</v>
      </c>
      <c r="E121" t="s">
        <v>143</v>
      </c>
    </row>
    <row r="122" spans="1:5" x14ac:dyDescent="0.25">
      <c r="C122" t="s">
        <v>447</v>
      </c>
    </row>
    <row r="123" spans="1:5" x14ac:dyDescent="0.25">
      <c r="C123" t="s">
        <v>63</v>
      </c>
      <c r="E123" t="s">
        <v>144</v>
      </c>
    </row>
    <row r="124" spans="1:5" x14ac:dyDescent="0.25">
      <c r="C124" t="s">
        <v>17</v>
      </c>
      <c r="E124" t="s">
        <v>439</v>
      </c>
    </row>
    <row r="125" spans="1:5" x14ac:dyDescent="0.25">
      <c r="A125" t="s">
        <v>16</v>
      </c>
      <c r="B125" t="s">
        <v>17</v>
      </c>
      <c r="C125" t="s">
        <v>443</v>
      </c>
    </row>
    <row r="126" spans="1:5" x14ac:dyDescent="0.25">
      <c r="C126" t="s">
        <v>3</v>
      </c>
      <c r="E126" t="s">
        <v>97</v>
      </c>
    </row>
    <row r="127" spans="1:5" x14ac:dyDescent="0.25">
      <c r="C127" t="s">
        <v>444</v>
      </c>
      <c r="E127" t="s">
        <v>355</v>
      </c>
    </row>
    <row r="128" spans="1:5" x14ac:dyDescent="0.25">
      <c r="C128" t="s">
        <v>4</v>
      </c>
      <c r="E128" t="s">
        <v>96</v>
      </c>
    </row>
    <row r="129" spans="1:7" x14ac:dyDescent="0.25">
      <c r="C129" t="s">
        <v>445</v>
      </c>
    </row>
    <row r="130" spans="1:7" x14ac:dyDescent="0.25">
      <c r="C130" t="s">
        <v>5</v>
      </c>
    </row>
    <row r="131" spans="1:7" x14ac:dyDescent="0.25">
      <c r="C131" t="s">
        <v>446</v>
      </c>
    </row>
    <row r="132" spans="1:7" x14ac:dyDescent="0.25">
      <c r="C132" t="s">
        <v>6</v>
      </c>
    </row>
    <row r="133" spans="1:7" x14ac:dyDescent="0.25">
      <c r="C133" t="s">
        <v>24</v>
      </c>
      <c r="E133" t="s">
        <v>146</v>
      </c>
    </row>
    <row r="134" spans="1:7" x14ac:dyDescent="0.25">
      <c r="C134" t="s">
        <v>341</v>
      </c>
      <c r="E134" t="s">
        <v>145</v>
      </c>
    </row>
    <row r="135" spans="1:7" x14ac:dyDescent="0.25">
      <c r="C135" t="s">
        <v>65</v>
      </c>
      <c r="E135" t="s">
        <v>137</v>
      </c>
    </row>
    <row r="136" spans="1:7" x14ac:dyDescent="0.25">
      <c r="A136" t="s">
        <v>16</v>
      </c>
      <c r="B136" t="s">
        <v>378</v>
      </c>
      <c r="C136" t="s">
        <v>382</v>
      </c>
    </row>
    <row r="137" spans="1:7" x14ac:dyDescent="0.25">
      <c r="C137" t="s">
        <v>3</v>
      </c>
      <c r="E137" t="s">
        <v>97</v>
      </c>
    </row>
    <row r="138" spans="1:7" x14ac:dyDescent="0.25">
      <c r="C138" t="s">
        <v>383</v>
      </c>
      <c r="E138" t="s">
        <v>355</v>
      </c>
    </row>
    <row r="139" spans="1:7" x14ac:dyDescent="0.25">
      <c r="C139" t="s">
        <v>379</v>
      </c>
      <c r="E139" t="s">
        <v>380</v>
      </c>
      <c r="G139" t="s">
        <v>381</v>
      </c>
    </row>
    <row r="140" spans="1:7" x14ac:dyDescent="0.25">
      <c r="C140" t="s">
        <v>384</v>
      </c>
    </row>
    <row r="141" spans="1:7" x14ac:dyDescent="0.25">
      <c r="C141" t="s">
        <v>5</v>
      </c>
    </row>
    <row r="142" spans="1:7" x14ac:dyDescent="0.25">
      <c r="C142" t="s">
        <v>385</v>
      </c>
    </row>
    <row r="143" spans="1:7" x14ac:dyDescent="0.25">
      <c r="C143" t="s">
        <v>6</v>
      </c>
    </row>
    <row r="144" spans="1:7" x14ac:dyDescent="0.25">
      <c r="C144" t="s">
        <v>24</v>
      </c>
      <c r="E144" t="s">
        <v>146</v>
      </c>
    </row>
    <row r="145" spans="3:5" x14ac:dyDescent="0.25">
      <c r="C145" t="s">
        <v>341</v>
      </c>
      <c r="E145" t="s">
        <v>386</v>
      </c>
    </row>
    <row r="146" spans="3:5" x14ac:dyDescent="0.25">
      <c r="C146" t="s">
        <v>65</v>
      </c>
      <c r="E146" t="s">
        <v>137</v>
      </c>
    </row>
  </sheetData>
  <hyperlinks>
    <hyperlink ref="C71" r:id="rId1" xr:uid="{6566E12D-0F99-4A9F-B88A-ED7947C8FB3C}"/>
    <hyperlink ref="D103" r:id="rId2" display="url:URL_Dclick_Pages" xr:uid="{377C9F40-AE2A-440B-89CB-A96A2D48D34F}"/>
    <hyperlink ref="C103" r:id="rId3" display="url:URL_Dclick_Pages" xr:uid="{44665EC6-7060-4A5C-8D26-318F0AFC2038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61C34-B6C5-4692-9B6A-57A8BD6CEC00}">
  <sheetPr codeName="Sheet14"/>
  <dimension ref="A1:O242"/>
  <sheetViews>
    <sheetView topLeftCell="A44" zoomScale="90" zoomScaleNormal="90" workbookViewId="0">
      <selection activeCell="C73" sqref="C73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s="3" t="s">
        <v>791</v>
      </c>
      <c r="D2" t="s">
        <v>828</v>
      </c>
      <c r="E2" t="s">
        <v>92</v>
      </c>
    </row>
    <row r="3" spans="1:5" hidden="1" outlineLevel="1" x14ac:dyDescent="0.25">
      <c r="C3" t="s">
        <v>765</v>
      </c>
      <c r="D3" t="s">
        <v>766</v>
      </c>
      <c r="E3" t="s">
        <v>92</v>
      </c>
    </row>
    <row r="4" spans="1:5" hidden="1" outlineLevel="1" x14ac:dyDescent="0.25">
      <c r="C4" s="3" t="s">
        <v>789</v>
      </c>
      <c r="D4" t="s">
        <v>826</v>
      </c>
      <c r="E4" t="s">
        <v>92</v>
      </c>
    </row>
    <row r="5" spans="1:5" hidden="1" outlineLevel="1" x14ac:dyDescent="0.25">
      <c r="C5" t="s">
        <v>764</v>
      </c>
      <c r="D5" t="s">
        <v>763</v>
      </c>
      <c r="E5" t="s">
        <v>92</v>
      </c>
    </row>
    <row r="6" spans="1:5" hidden="1" outlineLevel="1" x14ac:dyDescent="0.25">
      <c r="C6" s="3" t="s">
        <v>788</v>
      </c>
      <c r="D6" t="s">
        <v>825</v>
      </c>
      <c r="E6" t="s">
        <v>92</v>
      </c>
    </row>
    <row r="7" spans="1:5" hidden="1" outlineLevel="1" x14ac:dyDescent="0.25">
      <c r="C7" t="s">
        <v>768</v>
      </c>
      <c r="D7" t="s">
        <v>767</v>
      </c>
      <c r="E7" t="s">
        <v>92</v>
      </c>
    </row>
    <row r="8" spans="1:5" hidden="1" outlineLevel="1" x14ac:dyDescent="0.25">
      <c r="C8" s="14" t="s">
        <v>467</v>
      </c>
      <c r="D8" t="s">
        <v>468</v>
      </c>
      <c r="E8" t="s">
        <v>92</v>
      </c>
    </row>
    <row r="9" spans="1:5" hidden="1" outlineLevel="1" x14ac:dyDescent="0.25">
      <c r="C9" s="14" t="s">
        <v>466</v>
      </c>
      <c r="D9" t="s">
        <v>465</v>
      </c>
      <c r="E9" t="s">
        <v>92</v>
      </c>
    </row>
    <row r="10" spans="1:5" hidden="1" outlineLevel="1" x14ac:dyDescent="0.25">
      <c r="C10" s="3" t="s">
        <v>793</v>
      </c>
      <c r="D10" t="s">
        <v>827</v>
      </c>
      <c r="E10" t="s">
        <v>92</v>
      </c>
    </row>
    <row r="11" spans="1:5" hidden="1" outlineLevel="1" x14ac:dyDescent="0.25">
      <c r="C11" t="s">
        <v>770</v>
      </c>
      <c r="D11" t="s">
        <v>769</v>
      </c>
      <c r="E11" t="s">
        <v>92</v>
      </c>
    </row>
    <row r="12" spans="1:5" hidden="1" outlineLevel="1" x14ac:dyDescent="0.25">
      <c r="C12" s="3" t="s">
        <v>794</v>
      </c>
      <c r="D12" t="s">
        <v>830</v>
      </c>
      <c r="E12" t="s">
        <v>92</v>
      </c>
    </row>
    <row r="13" spans="1:5" hidden="1" outlineLevel="1" x14ac:dyDescent="0.25">
      <c r="C13" t="s">
        <v>772</v>
      </c>
      <c r="D13" t="s">
        <v>771</v>
      </c>
      <c r="E13" t="s">
        <v>92</v>
      </c>
    </row>
    <row r="14" spans="1:5" hidden="1" outlineLevel="1" x14ac:dyDescent="0.25">
      <c r="C14" s="3" t="s">
        <v>795</v>
      </c>
      <c r="D14" t="s">
        <v>831</v>
      </c>
      <c r="E14" t="s">
        <v>92</v>
      </c>
    </row>
    <row r="15" spans="1:5" hidden="1" outlineLevel="1" x14ac:dyDescent="0.25">
      <c r="C15" t="s">
        <v>776</v>
      </c>
      <c r="D15" t="s">
        <v>775</v>
      </c>
      <c r="E15" t="s">
        <v>92</v>
      </c>
    </row>
    <row r="16" spans="1:5" hidden="1" outlineLevel="1" x14ac:dyDescent="0.25">
      <c r="C16" s="3" t="s">
        <v>796</v>
      </c>
      <c r="D16" t="s">
        <v>832</v>
      </c>
      <c r="E16" t="s">
        <v>92</v>
      </c>
    </row>
    <row r="17" spans="3:5" hidden="1" outlineLevel="1" x14ac:dyDescent="0.25">
      <c r="C17" t="s">
        <v>774</v>
      </c>
      <c r="D17" t="s">
        <v>773</v>
      </c>
      <c r="E17" t="s">
        <v>92</v>
      </c>
    </row>
    <row r="18" spans="3:5" hidden="1" outlineLevel="1" x14ac:dyDescent="0.25">
      <c r="C18" s="3" t="s">
        <v>797</v>
      </c>
      <c r="D18" t="s">
        <v>833</v>
      </c>
      <c r="E18" t="s">
        <v>92</v>
      </c>
    </row>
    <row r="19" spans="3:5" hidden="1" outlineLevel="1" x14ac:dyDescent="0.25">
      <c r="C19" t="s">
        <v>784</v>
      </c>
      <c r="D19" t="s">
        <v>783</v>
      </c>
      <c r="E19" t="s">
        <v>92</v>
      </c>
    </row>
    <row r="20" spans="3:5" hidden="1" outlineLevel="1" x14ac:dyDescent="0.25">
      <c r="C20" s="3" t="s">
        <v>798</v>
      </c>
      <c r="D20" t="s">
        <v>834</v>
      </c>
      <c r="E20" t="s">
        <v>92</v>
      </c>
    </row>
    <row r="21" spans="3:5" hidden="1" outlineLevel="1" x14ac:dyDescent="0.25">
      <c r="C21" t="s">
        <v>782</v>
      </c>
      <c r="D21" t="s">
        <v>781</v>
      </c>
      <c r="E21" t="s">
        <v>92</v>
      </c>
    </row>
    <row r="22" spans="3:5" hidden="1" outlineLevel="1" x14ac:dyDescent="0.25">
      <c r="C22" s="3" t="s">
        <v>799</v>
      </c>
      <c r="D22" t="s">
        <v>829</v>
      </c>
      <c r="E22" t="s">
        <v>92</v>
      </c>
    </row>
    <row r="23" spans="3:5" hidden="1" outlineLevel="1" x14ac:dyDescent="0.25">
      <c r="C23" t="s">
        <v>780</v>
      </c>
      <c r="D23" t="s">
        <v>779</v>
      </c>
      <c r="E23" t="s">
        <v>92</v>
      </c>
    </row>
    <row r="24" spans="3:5" hidden="1" outlineLevel="1" x14ac:dyDescent="0.25">
      <c r="C24" s="3" t="s">
        <v>800</v>
      </c>
      <c r="D24" t="s">
        <v>835</v>
      </c>
      <c r="E24" t="s">
        <v>92</v>
      </c>
    </row>
    <row r="25" spans="3:5" hidden="1" outlineLevel="1" x14ac:dyDescent="0.25">
      <c r="C25" t="s">
        <v>778</v>
      </c>
      <c r="D25" t="s">
        <v>777</v>
      </c>
      <c r="E25" t="s">
        <v>92</v>
      </c>
    </row>
    <row r="26" spans="3:5" hidden="1" outlineLevel="1" x14ac:dyDescent="0.25">
      <c r="C26" t="s">
        <v>43</v>
      </c>
      <c r="D26" t="s">
        <v>474</v>
      </c>
      <c r="E26" t="s">
        <v>92</v>
      </c>
    </row>
    <row r="27" spans="3:5" hidden="1" outlineLevel="1" x14ac:dyDescent="0.25">
      <c r="C27" t="s">
        <v>42</v>
      </c>
      <c r="D27" t="s">
        <v>475</v>
      </c>
      <c r="E27" t="s">
        <v>92</v>
      </c>
    </row>
    <row r="28" spans="3:5" hidden="1" outlineLevel="1" x14ac:dyDescent="0.25">
      <c r="C28" t="s">
        <v>45</v>
      </c>
      <c r="D28" t="s">
        <v>476</v>
      </c>
      <c r="E28" t="s">
        <v>92</v>
      </c>
    </row>
    <row r="29" spans="3:5" hidden="1" outlineLevel="1" x14ac:dyDescent="0.25">
      <c r="C29" t="s">
        <v>47</v>
      </c>
      <c r="D29" t="s">
        <v>477</v>
      </c>
      <c r="E29" t="s">
        <v>92</v>
      </c>
    </row>
    <row r="30" spans="3:5" hidden="1" outlineLevel="1" x14ac:dyDescent="0.25">
      <c r="C30" t="s">
        <v>49</v>
      </c>
      <c r="D30" t="s">
        <v>478</v>
      </c>
      <c r="E30" t="s">
        <v>92</v>
      </c>
    </row>
    <row r="31" spans="3:5" hidden="1" outlineLevel="1" x14ac:dyDescent="0.25">
      <c r="C31" t="s">
        <v>50</v>
      </c>
      <c r="D31" t="s">
        <v>479</v>
      </c>
      <c r="E31" t="s">
        <v>92</v>
      </c>
    </row>
    <row r="32" spans="3:5" hidden="1" outlineLevel="1" x14ac:dyDescent="0.25">
      <c r="C32" t="s">
        <v>51</v>
      </c>
      <c r="D32" t="s">
        <v>480</v>
      </c>
      <c r="E32" t="s">
        <v>92</v>
      </c>
    </row>
    <row r="33" spans="1:15" hidden="1" outlineLevel="1" x14ac:dyDescent="0.25">
      <c r="C33" t="s">
        <v>562</v>
      </c>
      <c r="D33" t="s">
        <v>563</v>
      </c>
      <c r="E33" t="s">
        <v>92</v>
      </c>
    </row>
    <row r="34" spans="1:15" hidden="1" outlineLevel="1" x14ac:dyDescent="0.25">
      <c r="C34" t="s">
        <v>55</v>
      </c>
      <c r="D34" t="s">
        <v>465</v>
      </c>
      <c r="E34" t="s">
        <v>92</v>
      </c>
    </row>
    <row r="35" spans="1:15" hidden="1" outlineLevel="1" x14ac:dyDescent="0.25">
      <c r="C35" t="s">
        <v>567</v>
      </c>
      <c r="D35" t="s">
        <v>566</v>
      </c>
      <c r="E35" t="s">
        <v>92</v>
      </c>
    </row>
    <row r="36" spans="1:15" hidden="1" outlineLevel="1" x14ac:dyDescent="0.25">
      <c r="C36" t="s">
        <v>571</v>
      </c>
      <c r="D36" t="s">
        <v>570</v>
      </c>
      <c r="E36" t="s">
        <v>92</v>
      </c>
    </row>
    <row r="37" spans="1:15" hidden="1" outlineLevel="1" x14ac:dyDescent="0.25">
      <c r="C37" t="s">
        <v>575</v>
      </c>
      <c r="D37" t="s">
        <v>574</v>
      </c>
      <c r="E37" t="s">
        <v>92</v>
      </c>
    </row>
    <row r="38" spans="1:15" collapsed="1" x14ac:dyDescent="0.25">
      <c r="H38" t="s">
        <v>809</v>
      </c>
      <c r="J38" t="s">
        <v>810</v>
      </c>
      <c r="K38" t="s">
        <v>808</v>
      </c>
      <c r="L38" t="s">
        <v>822</v>
      </c>
    </row>
    <row r="39" spans="1:15" x14ac:dyDescent="0.25">
      <c r="A39" t="s">
        <v>15</v>
      </c>
      <c r="B39" t="s">
        <v>758</v>
      </c>
      <c r="C39" s="13" t="b">
        <f ca="1">AND(IF(K39,K39&gt;L39,FALSE),NOT(J39))</f>
        <v>0</v>
      </c>
      <c r="D39" t="str">
        <f>$O$41&amp;H39&amp;"_NetSales.png"</f>
        <v>D:\OneDrive-Sync\Christian Dior Couture\APAC Management - Reports - Reports\DClick\Images\VM24\SubCategoryKR_NetSales.png</v>
      </c>
      <c r="E39" t="str">
        <f>RIGHT(D39,LEN(D39)-LEN($O$41))</f>
        <v>SubCategoryKR_NetSales.png</v>
      </c>
      <c r="H39" t="str">
        <f>C2</f>
        <v>SubCategoryKR</v>
      </c>
      <c r="J39" t="b">
        <v>0</v>
      </c>
      <c r="K39" s="10" t="b" cm="1">
        <f t="array" aca="1" ref="K39" ca="1">fileModifiedDate(D39, NOW())</f>
        <v>0</v>
      </c>
      <c r="L39" s="4">
        <f ca="1">IF(NOW()&gt;TODAY()+TIME(3,0,0),TODAY()+TIME(3,0,0),TODAY()-1+TIME(3,0,0))</f>
        <v>44899.125</v>
      </c>
      <c r="M39" t="s">
        <v>762</v>
      </c>
    </row>
    <row r="40" spans="1:15" outlineLevel="1" x14ac:dyDescent="0.25">
      <c r="C40" s="13" t="b">
        <f t="shared" ref="C40:C74" ca="1" si="0">AND(IF(K40,K40&gt;L40,FALSE),NOT(J40))</f>
        <v>0</v>
      </c>
      <c r="D40" t="str">
        <f t="shared" ref="D40:D74" si="1">$O$41&amp;H40&amp;"_NetSales.png"</f>
        <v>D:\OneDrive-Sync\Christian Dior Couture\APAC Management - Reports - Reports\DClick\Images\VM24\CountryStoreKR_NetSales.png</v>
      </c>
      <c r="E40" t="str">
        <f t="shared" ref="E40:E74" si="2">RIGHT(D40,LEN(D40)-LEN($O$41))</f>
        <v>CountryStoreKR_NetSales.png</v>
      </c>
      <c r="H40" t="str">
        <f t="shared" ref="H40:H74" si="3">C3</f>
        <v>CountryStoreKR</v>
      </c>
      <c r="J40" t="b">
        <v>0</v>
      </c>
      <c r="K40" s="10" t="b" cm="1">
        <f t="array" aca="1" ref="K40" ca="1">fileModifiedDate(D40, NOW())</f>
        <v>0</v>
      </c>
      <c r="L40" s="4">
        <f ca="1">L39</f>
        <v>44899.125</v>
      </c>
      <c r="O40" t="s">
        <v>841</v>
      </c>
    </row>
    <row r="41" spans="1:15" outlineLevel="1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Reports\DClick\Images\VM24\SubCategoryHKMO_NetSales.png</v>
      </c>
      <c r="E41" t="str">
        <f t="shared" si="2"/>
        <v>SubCategoryHKMO_NetSales.png</v>
      </c>
      <c r="H41" t="str">
        <f t="shared" si="3"/>
        <v>SubCategoryHKMO</v>
      </c>
      <c r="J41" t="b">
        <v>0</v>
      </c>
      <c r="K41" s="10" t="b" cm="1">
        <f t="array" aca="1" ref="K41" ca="1">fileModifiedDate(D41, NOW())</f>
        <v>0</v>
      </c>
      <c r="L41" s="4">
        <f ca="1">L40</f>
        <v>44899.125</v>
      </c>
      <c r="O41" t="str">
        <f>D153</f>
        <v>D:\OneDrive-Sync\Christian Dior Couture\APAC Management - Reports - Reports\DClick\Images\VM24\</v>
      </c>
    </row>
    <row r="42" spans="1:15" outlineLevel="1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Reports\DClick\Images\VM24\CountryStoreHKMO_NetSales.png</v>
      </c>
      <c r="E42" t="str">
        <f t="shared" si="2"/>
        <v>CountryStoreHKMO_NetSales.png</v>
      </c>
      <c r="H42" t="str">
        <f t="shared" si="3"/>
        <v>CountryStoreHKMO</v>
      </c>
      <c r="J42" t="b">
        <v>0</v>
      </c>
      <c r="K42" s="10" t="b" cm="1">
        <f t="array" aca="1" ref="K42" ca="1">fileModifiedDate(D42, NOW())</f>
        <v>0</v>
      </c>
      <c r="L42" s="4">
        <f t="shared" ref="L42:L74" ca="1" si="4">L41</f>
        <v>44899.125</v>
      </c>
    </row>
    <row r="43" spans="1:15" outlineLevel="1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Reports\DClick\Images\VM24\SubCategoryAUNZ_NetSales.png</v>
      </c>
      <c r="E43" t="str">
        <f t="shared" si="2"/>
        <v>SubCategoryAUNZ_NetSales.png</v>
      </c>
      <c r="H43" t="str">
        <f t="shared" si="3"/>
        <v>SubCategoryAUNZ</v>
      </c>
      <c r="J43" t="b">
        <v>0</v>
      </c>
      <c r="K43" s="10" t="b" cm="1">
        <f t="array" aca="1" ref="K43" ca="1">fileModifiedDate(D43, NOW())</f>
        <v>0</v>
      </c>
      <c r="L43" s="4">
        <f t="shared" ca="1" si="4"/>
        <v>44899.125</v>
      </c>
      <c r="O43" t="s">
        <v>844</v>
      </c>
    </row>
    <row r="44" spans="1:15" outlineLevel="1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Reports\DClick\Images\VM24\CountryStoreAUNZ_NetSales.png</v>
      </c>
      <c r="E44" t="str">
        <f t="shared" si="2"/>
        <v>CountryStoreAUNZ_NetSales.png</v>
      </c>
      <c r="H44" t="str">
        <f t="shared" si="3"/>
        <v>CountryStoreAUNZ</v>
      </c>
      <c r="J44" t="b">
        <v>0</v>
      </c>
      <c r="K44" s="10" t="b" cm="1">
        <f t="array" aca="1" ref="K44" ca="1">fileModifiedDate(D44, NOW())</f>
        <v>0</v>
      </c>
      <c r="L44" s="4">
        <f t="shared" ca="1" si="4"/>
        <v>44899.125</v>
      </c>
    </row>
    <row r="45" spans="1:15" outlineLevel="1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Reports\DClick\Images\VM24\SubCategory_NetSales.png</v>
      </c>
      <c r="E45" t="str">
        <f t="shared" si="2"/>
        <v>SubCategory_NetSales.png</v>
      </c>
      <c r="H45" t="str">
        <f t="shared" si="3"/>
        <v>SubCategory</v>
      </c>
      <c r="J45" t="b">
        <v>0</v>
      </c>
      <c r="K45" s="10" t="b" cm="1">
        <f t="array" aca="1" ref="K45" ca="1">fileModifiedDate(D45, NOW())</f>
        <v>0</v>
      </c>
      <c r="L45" s="4">
        <f t="shared" ca="1" si="4"/>
        <v>44899.125</v>
      </c>
    </row>
    <row r="46" spans="1:15" outlineLevel="1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Reports\DClick\Images\VM24\CountryStore_NetSales.png</v>
      </c>
      <c r="E46" t="str">
        <f t="shared" si="2"/>
        <v>CountryStore_NetSales.png</v>
      </c>
      <c r="H46" t="str">
        <f t="shared" si="3"/>
        <v>CountryStore</v>
      </c>
      <c r="J46" t="b">
        <v>0</v>
      </c>
      <c r="K46" s="10" t="b" cm="1">
        <f t="array" aca="1" ref="K46" ca="1">fileModifiedDate(D46, NOW())</f>
        <v>0</v>
      </c>
      <c r="L46" s="4">
        <f t="shared" ca="1" si="4"/>
        <v>44899.125</v>
      </c>
    </row>
    <row r="47" spans="1:15" outlineLevel="1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Reports\DClick\Images\VM24\SubCategorySG_NetSales.png</v>
      </c>
      <c r="E47" t="str">
        <f t="shared" si="2"/>
        <v>SubCategorySG_NetSales.png</v>
      </c>
      <c r="H47" t="str">
        <f t="shared" si="3"/>
        <v>SubCategorySG</v>
      </c>
      <c r="J47" t="b">
        <v>0</v>
      </c>
      <c r="K47" s="10" t="b" cm="1">
        <f t="array" aca="1" ref="K47" ca="1">fileModifiedDate(D47, NOW())</f>
        <v>0</v>
      </c>
      <c r="L47" s="4">
        <f t="shared" ca="1" si="4"/>
        <v>44899.125</v>
      </c>
    </row>
    <row r="48" spans="1:15" outlineLevel="1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Reports\DClick\Images\VM24\CountryStoreSG_NetSales.png</v>
      </c>
      <c r="E48" t="str">
        <f t="shared" si="2"/>
        <v>CountryStoreSG_NetSales.png</v>
      </c>
      <c r="H48" t="str">
        <f t="shared" si="3"/>
        <v>CountryStoreSG</v>
      </c>
      <c r="J48" t="b">
        <v>0</v>
      </c>
      <c r="K48" s="10" t="b" cm="1">
        <f t="array" aca="1" ref="K48" ca="1">fileModifiedDate(D48, NOW())</f>
        <v>0</v>
      </c>
      <c r="L48" s="4">
        <f t="shared" ca="1" si="4"/>
        <v>44899.125</v>
      </c>
    </row>
    <row r="49" spans="3:12" outlineLevel="1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Reports\DClick\Images\VM24\SubCategoryMY_NetSales.png</v>
      </c>
      <c r="E49" t="str">
        <f t="shared" si="2"/>
        <v>SubCategoryMY_NetSales.png</v>
      </c>
      <c r="H49" t="str">
        <f t="shared" si="3"/>
        <v>SubCategoryMY</v>
      </c>
      <c r="J49" t="b">
        <v>0</v>
      </c>
      <c r="K49" s="10" t="b" cm="1">
        <f t="array" aca="1" ref="K49" ca="1">fileModifiedDate(D49, NOW())</f>
        <v>0</v>
      </c>
      <c r="L49" s="4">
        <f t="shared" ca="1" si="4"/>
        <v>44899.125</v>
      </c>
    </row>
    <row r="50" spans="3:12" outlineLevel="1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Reports\DClick\Images\VM24\CountryStoreMY_NetSales.png</v>
      </c>
      <c r="E50" t="str">
        <f t="shared" si="2"/>
        <v>CountryStoreMY_NetSales.png</v>
      </c>
      <c r="H50" t="str">
        <f t="shared" si="3"/>
        <v>CountryStoreMY</v>
      </c>
      <c r="J50" t="b">
        <v>0</v>
      </c>
      <c r="K50" s="10" t="b" cm="1">
        <f t="array" aca="1" ref="K50" ca="1">fileModifiedDate(D50, NOW())</f>
        <v>0</v>
      </c>
      <c r="L50" s="4">
        <f t="shared" ca="1" si="4"/>
        <v>44899.125</v>
      </c>
    </row>
    <row r="51" spans="3:12" outlineLevel="1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Reports\DClick\Images\VM24\SubCategoryIN_NetSales.png</v>
      </c>
      <c r="E51" t="str">
        <f t="shared" si="2"/>
        <v>SubCategoryIN_NetSales.png</v>
      </c>
      <c r="H51" t="str">
        <f t="shared" si="3"/>
        <v>SubCategoryIN</v>
      </c>
      <c r="J51" t="b">
        <v>0</v>
      </c>
      <c r="K51" s="10" t="b" cm="1">
        <f t="array" aca="1" ref="K51" ca="1">fileModifiedDate(D51, NOW())</f>
        <v>0</v>
      </c>
      <c r="L51" s="4">
        <f t="shared" ca="1" si="4"/>
        <v>44899.125</v>
      </c>
    </row>
    <row r="52" spans="3:12" outlineLevel="1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Reports\DClick\Images\VM24\CountryStoreIN_NetSales.png</v>
      </c>
      <c r="E52" t="str">
        <f t="shared" si="2"/>
        <v>CountryStoreIN_NetSales.png</v>
      </c>
      <c r="H52" t="str">
        <f t="shared" si="3"/>
        <v>CountryStoreIN</v>
      </c>
      <c r="J52" s="3" t="b">
        <v>0</v>
      </c>
      <c r="K52" s="10" t="b" cm="1">
        <f t="array" aca="1" ref="K52" ca="1">fileModifiedDate(D52, NOW())</f>
        <v>0</v>
      </c>
      <c r="L52" s="4">
        <f t="shared" ca="1" si="4"/>
        <v>44899.125</v>
      </c>
    </row>
    <row r="53" spans="3:12" outlineLevel="1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Reports\DClick\Images\VM24\SubCategoryID_NetSales.png</v>
      </c>
      <c r="E53" t="str">
        <f t="shared" si="2"/>
        <v>SubCategoryID_NetSales.png</v>
      </c>
      <c r="H53" t="str">
        <f t="shared" si="3"/>
        <v>SubCategoryID</v>
      </c>
      <c r="J53" s="3" t="b">
        <v>0</v>
      </c>
      <c r="K53" s="10" t="b" cm="1">
        <f t="array" aca="1" ref="K53" ca="1">fileModifiedDate(D53, NOW())</f>
        <v>0</v>
      </c>
      <c r="L53" s="4">
        <f t="shared" ca="1" si="4"/>
        <v>44899.125</v>
      </c>
    </row>
    <row r="54" spans="3:12" outlineLevel="1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Reports\DClick\Images\VM24\CountryStoreID_NetSales.png</v>
      </c>
      <c r="E54" t="str">
        <f t="shared" si="2"/>
        <v>CountryStoreID_NetSales.png</v>
      </c>
      <c r="H54" t="str">
        <f t="shared" si="3"/>
        <v>CountryStoreID</v>
      </c>
      <c r="J54" s="3" t="b">
        <v>0</v>
      </c>
      <c r="K54" s="10" t="b" cm="1">
        <f t="array" aca="1" ref="K54" ca="1">fileModifiedDate(D54, NOW())</f>
        <v>0</v>
      </c>
      <c r="L54" s="4">
        <f t="shared" ca="1" si="4"/>
        <v>44899.125</v>
      </c>
    </row>
    <row r="55" spans="3:12" outlineLevel="1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Reports\DClick\Images\VM24\SubCategoryPH_NetSales.png</v>
      </c>
      <c r="E55" t="str">
        <f t="shared" si="2"/>
        <v>SubCategoryPH_NetSales.png</v>
      </c>
      <c r="H55" t="str">
        <f t="shared" si="3"/>
        <v>SubCategoryPH</v>
      </c>
      <c r="J55" s="3" t="b">
        <v>0</v>
      </c>
      <c r="K55" s="10" t="b" cm="1">
        <f t="array" aca="1" ref="K55" ca="1">fileModifiedDate(D55, NOW())</f>
        <v>0</v>
      </c>
      <c r="L55" s="4">
        <f t="shared" ca="1" si="4"/>
        <v>44899.125</v>
      </c>
    </row>
    <row r="56" spans="3:12" outlineLevel="1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Reports\DClick\Images\VM24\CountryStorePH_NetSales.png</v>
      </c>
      <c r="E56" t="str">
        <f t="shared" si="2"/>
        <v>CountryStorePH_NetSales.png</v>
      </c>
      <c r="H56" t="str">
        <f t="shared" si="3"/>
        <v>CountryStorePH</v>
      </c>
      <c r="J56" s="3" t="b">
        <v>0</v>
      </c>
      <c r="K56" s="10" t="b" cm="1">
        <f t="array" aca="1" ref="K56" ca="1">fileModifiedDate(D56, NOW())</f>
        <v>0</v>
      </c>
      <c r="L56" s="4">
        <f t="shared" ca="1" si="4"/>
        <v>44899.125</v>
      </c>
    </row>
    <row r="57" spans="3:12" outlineLevel="1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Reports\DClick\Images\VM24\SubCategoryTW_NetSales.png</v>
      </c>
      <c r="E57" t="str">
        <f t="shared" si="2"/>
        <v>SubCategoryTW_NetSales.png</v>
      </c>
      <c r="H57" t="str">
        <f t="shared" si="3"/>
        <v>SubCategoryTW</v>
      </c>
      <c r="J57" s="3" t="b">
        <v>0</v>
      </c>
      <c r="K57" s="10" t="b" cm="1">
        <f t="array" aca="1" ref="K57" ca="1">fileModifiedDate(D57, NOW())</f>
        <v>0</v>
      </c>
      <c r="L57" s="4">
        <f t="shared" ca="1" si="4"/>
        <v>44899.125</v>
      </c>
    </row>
    <row r="58" spans="3:12" outlineLevel="1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Reports\DClick\Images\VM24\CountryStoreTW_NetSales.png</v>
      </c>
      <c r="E58" t="str">
        <f t="shared" si="2"/>
        <v>CountryStoreTW_NetSales.png</v>
      </c>
      <c r="H58" t="str">
        <f t="shared" si="3"/>
        <v>CountryStoreTW</v>
      </c>
      <c r="J58" s="3" t="b">
        <v>0</v>
      </c>
      <c r="K58" s="10" t="b" cm="1">
        <f t="array" aca="1" ref="K58" ca="1">fileModifiedDate(D58, NOW())</f>
        <v>0</v>
      </c>
      <c r="L58" s="4">
        <f t="shared" ca="1" si="4"/>
        <v>44899.125</v>
      </c>
    </row>
    <row r="59" spans="3:12" outlineLevel="1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Reports\DClick\Images\VM24\SubCategoryTH_NetSales.png</v>
      </c>
      <c r="E59" t="str">
        <f t="shared" si="2"/>
        <v>SubCategoryTH_NetSales.png</v>
      </c>
      <c r="H59" t="str">
        <f t="shared" si="3"/>
        <v>SubCategoryTH</v>
      </c>
      <c r="J59" s="3" t="b">
        <v>0</v>
      </c>
      <c r="K59" s="10" t="b" cm="1">
        <f t="array" aca="1" ref="K59" ca="1">fileModifiedDate(D59, NOW())</f>
        <v>0</v>
      </c>
      <c r="L59" s="4">
        <f t="shared" ca="1" si="4"/>
        <v>44899.125</v>
      </c>
    </row>
    <row r="60" spans="3:12" outlineLevel="1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Reports\DClick\Images\VM24\CountryStoreTH_NetSales.png</v>
      </c>
      <c r="E60" t="str">
        <f t="shared" si="2"/>
        <v>CountryStoreTH_NetSales.png</v>
      </c>
      <c r="H60" t="str">
        <f t="shared" si="3"/>
        <v>CountryStoreTH</v>
      </c>
      <c r="J60" s="3" t="b">
        <v>0</v>
      </c>
      <c r="K60" s="10" t="b" cm="1">
        <f t="array" aca="1" ref="K60" ca="1">fileModifiedDate(D60, NOW())</f>
        <v>0</v>
      </c>
      <c r="L60" s="4">
        <f t="shared" ca="1" si="4"/>
        <v>44899.125</v>
      </c>
    </row>
    <row r="61" spans="3:12" outlineLevel="1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Reports\DClick\Images\VM24\SubCategoryVN_NetSales.png</v>
      </c>
      <c r="E61" t="str">
        <f t="shared" si="2"/>
        <v>SubCategoryVN_NetSales.png</v>
      </c>
      <c r="H61" t="str">
        <f t="shared" si="3"/>
        <v>SubCategoryVN</v>
      </c>
      <c r="J61" s="3" t="b">
        <v>0</v>
      </c>
      <c r="K61" s="10" t="b" cm="1">
        <f t="array" aca="1" ref="K61" ca="1">fileModifiedDate(D61, NOW())</f>
        <v>0</v>
      </c>
      <c r="L61" s="4">
        <f t="shared" ca="1" si="4"/>
        <v>44899.125</v>
      </c>
    </row>
    <row r="62" spans="3:12" outlineLevel="1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Reports\DClick\Images\VM24\CountryStoreVN_NetSales.png</v>
      </c>
      <c r="E62" t="str">
        <f t="shared" si="2"/>
        <v>CountryStoreVN_NetSales.png</v>
      </c>
      <c r="H62" t="str">
        <f t="shared" si="3"/>
        <v>CountryStoreVN</v>
      </c>
      <c r="J62" s="3" t="b">
        <v>0</v>
      </c>
      <c r="K62" s="10" t="b" cm="1">
        <f t="array" aca="1" ref="K62" ca="1">fileModifiedDate(D62, NOW())</f>
        <v>0</v>
      </c>
      <c r="L62" s="4">
        <f t="shared" ca="1" si="4"/>
        <v>44899.125</v>
      </c>
    </row>
    <row r="63" spans="3:12" outlineLevel="1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Reports\DClick\Images\VM24\wBags_NetSales.png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cm="1">
        <f t="array" aca="1" ref="K63" ca="1">fileModifiedDate(D63, NOW())</f>
        <v>44892.973553240743</v>
      </c>
      <c r="L63" s="4">
        <f t="shared" ca="1" si="4"/>
        <v>44899.125</v>
      </c>
    </row>
    <row r="64" spans="3:12" outlineLevel="1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Reports\DClick\Images\VM24\wRTW_NetSales.png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cm="1">
        <f t="array" aca="1" ref="K64" ca="1">fileModifiedDate(D64, NOW())</f>
        <v>44892.974872685183</v>
      </c>
      <c r="L64" s="4">
        <f t="shared" ca="1" si="4"/>
        <v>44899.125</v>
      </c>
    </row>
    <row r="65" spans="1:12" outlineLevel="1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Reports\DClick\Images\VM24\wShoes_NetSales.png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fileModifiedDate(D65, NOW())</f>
        <v>0</v>
      </c>
      <c r="L65" s="4">
        <f t="shared" ca="1" si="4"/>
        <v>44899.125</v>
      </c>
    </row>
    <row r="66" spans="1:12" outlineLevel="1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Reports\DClick\Images\VM24\wAccessories_NetSales.png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fileModifiedDate(D66, NOW())</f>
        <v>0</v>
      </c>
      <c r="L66" s="4">
        <f t="shared" ca="1" si="4"/>
        <v>44899.125</v>
      </c>
    </row>
    <row r="67" spans="1:12" outlineLevel="1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Reports\DClick\Images\VM24\JewelleryAndWatches_NetSales.png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fileModifiedDate(D67, NOW())</f>
        <v>0</v>
      </c>
      <c r="L67" s="4">
        <f t="shared" ca="1" si="4"/>
        <v>44899.125</v>
      </c>
    </row>
    <row r="68" spans="1:12" outlineLevel="1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Reports\DClick\Images\VM24\Mens_NetSales.png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fileModifiedDate(D68, NOW())</f>
        <v>0</v>
      </c>
      <c r="L68" s="4">
        <f t="shared" ca="1" si="4"/>
        <v>44899.125</v>
      </c>
    </row>
    <row r="69" spans="1:12" outlineLevel="1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Reports\DClick\Images\VM24\Baby_NetSales.png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fileModifiedDate(D69, NOW())</f>
        <v>0</v>
      </c>
      <c r="L69" s="4">
        <f t="shared" ca="1" si="4"/>
        <v>44899.125</v>
      </c>
    </row>
    <row r="70" spans="1:12" outlineLevel="1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Reports\DClick\Images\VM24\wSLG_NetSales.png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fileModifiedDate(D70, NOW())</f>
        <v>0</v>
      </c>
      <c r="L70" s="4">
        <f t="shared" ca="1" si="4"/>
        <v>44899.125</v>
      </c>
    </row>
    <row r="71" spans="1:12" outlineLevel="1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Reports\DClick\Images\VM24\ALL_NetSales.png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fileModifiedDate(D71, NOW())</f>
        <v>0</v>
      </c>
      <c r="L71" s="4">
        <f t="shared" ca="1" si="4"/>
        <v>44899.125</v>
      </c>
    </row>
    <row r="72" spans="1:12" outlineLevel="1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Reports\DClick\Images\VM24\mBags_mRTW_NetSales.png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fileModifiedDate(D72, NOW())</f>
        <v>0</v>
      </c>
      <c r="L72" s="4">
        <f t="shared" ca="1" si="4"/>
        <v>44899.125</v>
      </c>
    </row>
    <row r="73" spans="1:12" outlineLevel="1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Reports\DClick\Images\VM24\mAcc_mShoes_NetSales.png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fileModifiedDate(D73, NOW())</f>
        <v>0</v>
      </c>
      <c r="L73" s="4">
        <f t="shared" ca="1" si="4"/>
        <v>44899.125</v>
      </c>
    </row>
    <row r="74" spans="1:12" outlineLevel="1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Reports\DClick\Images\VM24\mSLG_mSpecial_NetSales.png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fileModifiedDate(D74, NOW())</f>
        <v>0</v>
      </c>
      <c r="L74" s="4">
        <f t="shared" ca="1" si="4"/>
        <v>44899.125</v>
      </c>
    </row>
    <row r="76" spans="1:12" x14ac:dyDescent="0.25">
      <c r="A76" t="s">
        <v>15</v>
      </c>
      <c r="B76" t="s">
        <v>812</v>
      </c>
      <c r="C76" t="b">
        <f>IF(D76&gt;0,TRUE,FALSE)</f>
        <v>0</v>
      </c>
      <c r="H76" t="str">
        <f t="shared" ref="H76:H111" si="5">H39</f>
        <v>SubCategoryKR</v>
      </c>
    </row>
    <row r="77" spans="1:12" outlineLevel="1" x14ac:dyDescent="0.25">
      <c r="C77" t="b">
        <f t="shared" ref="C77:C111" si="6">IF(D77&gt;0,TRUE,FALSE)</f>
        <v>1</v>
      </c>
      <c r="D77">
        <v>870</v>
      </c>
      <c r="H77" t="str">
        <f t="shared" si="5"/>
        <v>CountryStoreKR</v>
      </c>
    </row>
    <row r="78" spans="1:12" outlineLevel="1" x14ac:dyDescent="0.25">
      <c r="C78" t="b">
        <f t="shared" si="6"/>
        <v>0</v>
      </c>
      <c r="H78" t="str">
        <f t="shared" si="5"/>
        <v>SubCategoryHKMO</v>
      </c>
    </row>
    <row r="79" spans="1:12" outlineLevel="1" x14ac:dyDescent="0.25">
      <c r="C79" t="b">
        <f t="shared" si="6"/>
        <v>1</v>
      </c>
      <c r="D79">
        <v>870</v>
      </c>
      <c r="H79" t="str">
        <f t="shared" si="5"/>
        <v>CountryStoreHKMO</v>
      </c>
    </row>
    <row r="80" spans="1:12" outlineLevel="1" x14ac:dyDescent="0.25">
      <c r="C80" t="b">
        <f t="shared" si="6"/>
        <v>0</v>
      </c>
      <c r="H80" t="str">
        <f t="shared" si="5"/>
        <v>SubCategoryAUNZ</v>
      </c>
    </row>
    <row r="81" spans="3:8" outlineLevel="1" x14ac:dyDescent="0.25">
      <c r="C81" t="b">
        <f t="shared" si="6"/>
        <v>1</v>
      </c>
      <c r="D81">
        <v>800</v>
      </c>
      <c r="H81" t="str">
        <f t="shared" si="5"/>
        <v>CountryStoreAUNZ</v>
      </c>
    </row>
    <row r="82" spans="3:8" outlineLevel="1" x14ac:dyDescent="0.25">
      <c r="C82" t="b">
        <f t="shared" si="6"/>
        <v>0</v>
      </c>
      <c r="H82" t="str">
        <f t="shared" si="5"/>
        <v>SubCategory</v>
      </c>
    </row>
    <row r="83" spans="3:8" outlineLevel="1" x14ac:dyDescent="0.25">
      <c r="C83" t="b">
        <f t="shared" si="6"/>
        <v>0</v>
      </c>
      <c r="H83" t="str">
        <f t="shared" si="5"/>
        <v>CountryStore</v>
      </c>
    </row>
    <row r="84" spans="3:8" outlineLevel="1" x14ac:dyDescent="0.25">
      <c r="C84" t="b">
        <f t="shared" si="6"/>
        <v>0</v>
      </c>
      <c r="H84" t="str">
        <f t="shared" si="5"/>
        <v>SubCategorySG</v>
      </c>
    </row>
    <row r="85" spans="3:8" outlineLevel="1" x14ac:dyDescent="0.25">
      <c r="C85" t="b">
        <f t="shared" si="6"/>
        <v>1</v>
      </c>
      <c r="D85">
        <v>600</v>
      </c>
      <c r="H85" t="str">
        <f t="shared" si="5"/>
        <v>CountryStoreSG</v>
      </c>
    </row>
    <row r="86" spans="3:8" outlineLevel="1" x14ac:dyDescent="0.25">
      <c r="C86" t="b">
        <f t="shared" si="6"/>
        <v>0</v>
      </c>
      <c r="H86" t="str">
        <f t="shared" si="5"/>
        <v>SubCategoryMY</v>
      </c>
    </row>
    <row r="87" spans="3:8" outlineLevel="1" x14ac:dyDescent="0.25">
      <c r="C87" t="b">
        <f t="shared" si="6"/>
        <v>1</v>
      </c>
      <c r="D87">
        <v>600</v>
      </c>
      <c r="H87" t="str">
        <f t="shared" si="5"/>
        <v>CountryStoreMY</v>
      </c>
    </row>
    <row r="88" spans="3:8" outlineLevel="1" x14ac:dyDescent="0.25">
      <c r="C88" t="b">
        <f t="shared" si="6"/>
        <v>0</v>
      </c>
      <c r="H88" t="str">
        <f t="shared" si="5"/>
        <v>SubCategoryIN</v>
      </c>
    </row>
    <row r="89" spans="3:8" outlineLevel="1" x14ac:dyDescent="0.25">
      <c r="C89" t="b">
        <f t="shared" si="6"/>
        <v>1</v>
      </c>
      <c r="D89">
        <v>600</v>
      </c>
      <c r="H89" t="str">
        <f t="shared" si="5"/>
        <v>CountryStoreIN</v>
      </c>
    </row>
    <row r="90" spans="3:8" outlineLevel="1" x14ac:dyDescent="0.25">
      <c r="C90" t="b">
        <f t="shared" si="6"/>
        <v>0</v>
      </c>
      <c r="H90" t="str">
        <f t="shared" si="5"/>
        <v>SubCategoryID</v>
      </c>
    </row>
    <row r="91" spans="3:8" outlineLevel="1" x14ac:dyDescent="0.25">
      <c r="C91" t="b">
        <f t="shared" si="6"/>
        <v>1</v>
      </c>
      <c r="D91">
        <v>600</v>
      </c>
      <c r="H91" t="str">
        <f t="shared" si="5"/>
        <v>CountryStoreID</v>
      </c>
    </row>
    <row r="92" spans="3:8" outlineLevel="1" x14ac:dyDescent="0.25">
      <c r="C92" t="b">
        <f t="shared" si="6"/>
        <v>0</v>
      </c>
      <c r="H92" t="str">
        <f t="shared" si="5"/>
        <v>SubCategoryPH</v>
      </c>
    </row>
    <row r="93" spans="3:8" outlineLevel="1" x14ac:dyDescent="0.25">
      <c r="C93" t="b">
        <f t="shared" si="6"/>
        <v>1</v>
      </c>
      <c r="D93">
        <v>600</v>
      </c>
      <c r="H93" t="str">
        <f t="shared" si="5"/>
        <v>CountryStorePH</v>
      </c>
    </row>
    <row r="94" spans="3:8" outlineLevel="1" x14ac:dyDescent="0.25">
      <c r="C94" t="b">
        <f t="shared" si="6"/>
        <v>0</v>
      </c>
      <c r="H94" t="str">
        <f t="shared" si="5"/>
        <v>SubCategoryTW</v>
      </c>
    </row>
    <row r="95" spans="3:8" outlineLevel="1" x14ac:dyDescent="0.25">
      <c r="C95" t="b">
        <f t="shared" si="6"/>
        <v>1</v>
      </c>
      <c r="D95">
        <v>600</v>
      </c>
      <c r="H95" t="str">
        <f t="shared" si="5"/>
        <v>CountryStoreTW</v>
      </c>
    </row>
    <row r="96" spans="3:8" outlineLevel="1" x14ac:dyDescent="0.25">
      <c r="C96" t="b">
        <f t="shared" si="6"/>
        <v>0</v>
      </c>
      <c r="H96" t="str">
        <f t="shared" si="5"/>
        <v>SubCategoryTH</v>
      </c>
    </row>
    <row r="97" spans="3:8" outlineLevel="1" x14ac:dyDescent="0.25">
      <c r="C97" t="b">
        <f t="shared" si="6"/>
        <v>1</v>
      </c>
      <c r="D97">
        <v>600</v>
      </c>
      <c r="H97" t="str">
        <f t="shared" si="5"/>
        <v>CountryStoreTH</v>
      </c>
    </row>
    <row r="98" spans="3:8" outlineLevel="1" x14ac:dyDescent="0.25">
      <c r="C98" t="b">
        <f t="shared" si="6"/>
        <v>0</v>
      </c>
      <c r="H98" t="str">
        <f t="shared" si="5"/>
        <v>SubCategoryVN</v>
      </c>
    </row>
    <row r="99" spans="3:8" outlineLevel="1" x14ac:dyDescent="0.25">
      <c r="C99" t="b">
        <f t="shared" si="6"/>
        <v>1</v>
      </c>
      <c r="D99">
        <v>600</v>
      </c>
      <c r="H99" t="str">
        <f t="shared" si="5"/>
        <v>CountryStoreVN</v>
      </c>
    </row>
    <row r="100" spans="3:8" outlineLevel="1" x14ac:dyDescent="0.25">
      <c r="C100" t="b">
        <f t="shared" si="6"/>
        <v>0</v>
      </c>
      <c r="H100" t="str">
        <f t="shared" si="5"/>
        <v>wBags</v>
      </c>
    </row>
    <row r="101" spans="3:8" outlineLevel="1" x14ac:dyDescent="0.25">
      <c r="C101" t="b">
        <f t="shared" si="6"/>
        <v>0</v>
      </c>
      <c r="H101" t="str">
        <f t="shared" si="5"/>
        <v>wRTW</v>
      </c>
    </row>
    <row r="102" spans="3:8" outlineLevel="1" x14ac:dyDescent="0.25">
      <c r="C102" t="b">
        <f t="shared" si="6"/>
        <v>0</v>
      </c>
      <c r="H102" t="str">
        <f t="shared" si="5"/>
        <v>wShoes</v>
      </c>
    </row>
    <row r="103" spans="3:8" outlineLevel="1" x14ac:dyDescent="0.25">
      <c r="C103" t="b">
        <f t="shared" si="6"/>
        <v>0</v>
      </c>
      <c r="H103" t="str">
        <f t="shared" si="5"/>
        <v>wAccessories</v>
      </c>
    </row>
    <row r="104" spans="3:8" outlineLevel="1" x14ac:dyDescent="0.25">
      <c r="C104" t="b">
        <f t="shared" si="6"/>
        <v>0</v>
      </c>
      <c r="H104" t="str">
        <f t="shared" si="5"/>
        <v>JewelleryAndWatches</v>
      </c>
    </row>
    <row r="105" spans="3:8" outlineLevel="1" x14ac:dyDescent="0.25">
      <c r="C105" t="b">
        <f t="shared" si="6"/>
        <v>0</v>
      </c>
      <c r="H105" t="str">
        <f t="shared" si="5"/>
        <v>Mens</v>
      </c>
    </row>
    <row r="106" spans="3:8" outlineLevel="1" x14ac:dyDescent="0.25">
      <c r="C106" t="b">
        <f t="shared" si="6"/>
        <v>0</v>
      </c>
      <c r="H106" t="str">
        <f t="shared" si="5"/>
        <v>Baby</v>
      </c>
    </row>
    <row r="107" spans="3:8" outlineLevel="1" x14ac:dyDescent="0.25">
      <c r="C107" t="b">
        <f t="shared" si="6"/>
        <v>0</v>
      </c>
      <c r="H107" t="str">
        <f t="shared" si="5"/>
        <v>wSLG</v>
      </c>
    </row>
    <row r="108" spans="3:8" outlineLevel="1" x14ac:dyDescent="0.25">
      <c r="C108" t="b">
        <f t="shared" si="6"/>
        <v>0</v>
      </c>
      <c r="H108" t="str">
        <f t="shared" si="5"/>
        <v>ALL</v>
      </c>
    </row>
    <row r="109" spans="3:8" outlineLevel="1" x14ac:dyDescent="0.25">
      <c r="C109" t="b">
        <f t="shared" si="6"/>
        <v>0</v>
      </c>
      <c r="H109" t="str">
        <f t="shared" si="5"/>
        <v>mBags_mRTW</v>
      </c>
    </row>
    <row r="110" spans="3:8" outlineLevel="1" x14ac:dyDescent="0.25">
      <c r="C110" t="b">
        <f t="shared" si="6"/>
        <v>0</v>
      </c>
      <c r="H110" t="str">
        <f t="shared" si="5"/>
        <v>mAcc_mShoes</v>
      </c>
    </row>
    <row r="111" spans="3:8" outlineLevel="1" x14ac:dyDescent="0.25">
      <c r="C111" t="b">
        <f t="shared" si="6"/>
        <v>0</v>
      </c>
      <c r="H111" t="str">
        <f t="shared" si="5"/>
        <v>mSLG_mSpecial</v>
      </c>
    </row>
    <row r="113" spans="1:8" x14ac:dyDescent="0.25">
      <c r="A113" t="s">
        <v>15</v>
      </c>
      <c r="B113" t="s">
        <v>838</v>
      </c>
      <c r="C113" t="b">
        <v>0</v>
      </c>
      <c r="H113" s="12" t="str">
        <f>H76</f>
        <v>SubCategoryKR</v>
      </c>
    </row>
    <row r="114" spans="1:8" outlineLevel="1" x14ac:dyDescent="0.25">
      <c r="C114" t="b">
        <v>0</v>
      </c>
      <c r="H114" s="12" t="str">
        <f t="shared" ref="H114:H148" si="7">H77</f>
        <v>CountryStoreKR</v>
      </c>
    </row>
    <row r="115" spans="1:8" outlineLevel="1" x14ac:dyDescent="0.25">
      <c r="C115" t="b">
        <v>0</v>
      </c>
      <c r="H115" t="str">
        <f t="shared" si="7"/>
        <v>SubCategoryHKMO</v>
      </c>
    </row>
    <row r="116" spans="1:8" outlineLevel="1" x14ac:dyDescent="0.25">
      <c r="C116" t="b">
        <v>0</v>
      </c>
      <c r="H116" t="str">
        <f t="shared" si="7"/>
        <v>CountryStoreHKMO</v>
      </c>
    </row>
    <row r="117" spans="1:8" outlineLevel="1" x14ac:dyDescent="0.25">
      <c r="C117" t="b">
        <v>0</v>
      </c>
      <c r="H117" t="str">
        <f t="shared" si="7"/>
        <v>SubCategoryAUNZ</v>
      </c>
    </row>
    <row r="118" spans="1:8" outlineLevel="1" x14ac:dyDescent="0.25">
      <c r="C118" t="b">
        <v>0</v>
      </c>
      <c r="H118" t="str">
        <f t="shared" si="7"/>
        <v>CountryStoreAUNZ</v>
      </c>
    </row>
    <row r="119" spans="1:8" outlineLevel="1" x14ac:dyDescent="0.25">
      <c r="C119" t="b">
        <v>0</v>
      </c>
      <c r="H119" t="str">
        <f t="shared" si="7"/>
        <v>SubCategory</v>
      </c>
    </row>
    <row r="120" spans="1:8" outlineLevel="1" x14ac:dyDescent="0.25">
      <c r="C120" t="b">
        <v>0</v>
      </c>
      <c r="H120" t="str">
        <f t="shared" si="7"/>
        <v>CountryStore</v>
      </c>
    </row>
    <row r="121" spans="1:8" outlineLevel="1" x14ac:dyDescent="0.25">
      <c r="C121" t="b">
        <v>0</v>
      </c>
      <c r="H121" t="str">
        <f t="shared" si="7"/>
        <v>SubCategorySG</v>
      </c>
    </row>
    <row r="122" spans="1:8" outlineLevel="1" x14ac:dyDescent="0.25">
      <c r="C122" t="b">
        <v>0</v>
      </c>
      <c r="H122" t="str">
        <f t="shared" si="7"/>
        <v>CountryStoreSG</v>
      </c>
    </row>
    <row r="123" spans="1:8" outlineLevel="1" x14ac:dyDescent="0.25">
      <c r="C123" t="b">
        <v>0</v>
      </c>
      <c r="H123" t="str">
        <f t="shared" si="7"/>
        <v>SubCategoryMY</v>
      </c>
    </row>
    <row r="124" spans="1:8" outlineLevel="1" x14ac:dyDescent="0.25">
      <c r="C124" t="b">
        <v>0</v>
      </c>
      <c r="H124" t="str">
        <f t="shared" si="7"/>
        <v>CountryStoreMY</v>
      </c>
    </row>
    <row r="125" spans="1:8" outlineLevel="1" x14ac:dyDescent="0.25">
      <c r="C125" t="b">
        <v>0</v>
      </c>
      <c r="H125" t="str">
        <f t="shared" si="7"/>
        <v>SubCategoryIN</v>
      </c>
    </row>
    <row r="126" spans="1:8" outlineLevel="1" x14ac:dyDescent="0.25">
      <c r="C126" t="b">
        <v>0</v>
      </c>
      <c r="H126" t="str">
        <f t="shared" si="7"/>
        <v>CountryStoreIN</v>
      </c>
    </row>
    <row r="127" spans="1:8" outlineLevel="1" x14ac:dyDescent="0.25">
      <c r="C127" t="b">
        <v>0</v>
      </c>
      <c r="H127" t="str">
        <f t="shared" si="7"/>
        <v>SubCategoryID</v>
      </c>
    </row>
    <row r="128" spans="1:8" outlineLevel="1" x14ac:dyDescent="0.25">
      <c r="C128" t="b">
        <v>0</v>
      </c>
      <c r="H128" t="str">
        <f t="shared" si="7"/>
        <v>CountryStoreID</v>
      </c>
    </row>
    <row r="129" spans="3:8" outlineLevel="1" x14ac:dyDescent="0.25">
      <c r="C129" t="b">
        <v>0</v>
      </c>
      <c r="H129" t="str">
        <f t="shared" si="7"/>
        <v>SubCategoryPH</v>
      </c>
    </row>
    <row r="130" spans="3:8" outlineLevel="1" x14ac:dyDescent="0.25">
      <c r="C130" t="b">
        <v>0</v>
      </c>
      <c r="H130" t="str">
        <f t="shared" si="7"/>
        <v>CountryStorePH</v>
      </c>
    </row>
    <row r="131" spans="3:8" outlineLevel="1" x14ac:dyDescent="0.25">
      <c r="C131" t="b">
        <v>0</v>
      </c>
      <c r="H131" t="str">
        <f t="shared" si="7"/>
        <v>SubCategoryTW</v>
      </c>
    </row>
    <row r="132" spans="3:8" outlineLevel="1" x14ac:dyDescent="0.25">
      <c r="C132" t="b">
        <v>0</v>
      </c>
      <c r="H132" t="str">
        <f t="shared" si="7"/>
        <v>CountryStoreTW</v>
      </c>
    </row>
    <row r="133" spans="3:8" outlineLevel="1" x14ac:dyDescent="0.25">
      <c r="C133" t="b">
        <v>0</v>
      </c>
      <c r="H133" t="str">
        <f t="shared" si="7"/>
        <v>SubCategoryTH</v>
      </c>
    </row>
    <row r="134" spans="3:8" outlineLevel="1" x14ac:dyDescent="0.25">
      <c r="C134" t="b">
        <v>0</v>
      </c>
      <c r="H134" t="str">
        <f t="shared" si="7"/>
        <v>CountryStoreTH</v>
      </c>
    </row>
    <row r="135" spans="3:8" outlineLevel="1" x14ac:dyDescent="0.25">
      <c r="C135" t="b">
        <v>0</v>
      </c>
      <c r="H135" s="12" t="str">
        <f t="shared" si="7"/>
        <v>SubCategoryVN</v>
      </c>
    </row>
    <row r="136" spans="3:8" outlineLevel="1" x14ac:dyDescent="0.25">
      <c r="C136" t="b">
        <v>0</v>
      </c>
      <c r="H136" s="12" t="str">
        <f t="shared" si="7"/>
        <v>CountryStoreVN</v>
      </c>
    </row>
    <row r="137" spans="3:8" outlineLevel="1" x14ac:dyDescent="0.25">
      <c r="C137" s="3" t="b">
        <v>1</v>
      </c>
      <c r="H137" s="3" t="str">
        <f t="shared" si="7"/>
        <v>wBags</v>
      </c>
    </row>
    <row r="138" spans="3:8" outlineLevel="1" x14ac:dyDescent="0.25">
      <c r="C138" s="3" t="b">
        <v>1</v>
      </c>
      <c r="H138" s="3" t="str">
        <f t="shared" si="7"/>
        <v>wRTW</v>
      </c>
    </row>
    <row r="139" spans="3:8" outlineLevel="1" x14ac:dyDescent="0.25">
      <c r="C139" s="3" t="b">
        <v>1</v>
      </c>
      <c r="H139" s="3" t="str">
        <f t="shared" si="7"/>
        <v>wShoes</v>
      </c>
    </row>
    <row r="140" spans="3:8" outlineLevel="1" x14ac:dyDescent="0.25">
      <c r="C140" s="3" t="b">
        <v>1</v>
      </c>
      <c r="H140" s="3" t="str">
        <f t="shared" si="7"/>
        <v>wAccessories</v>
      </c>
    </row>
    <row r="141" spans="3:8" outlineLevel="1" x14ac:dyDescent="0.25">
      <c r="C141" s="3" t="b">
        <v>1</v>
      </c>
      <c r="H141" s="3" t="str">
        <f t="shared" si="7"/>
        <v>JewelleryAndWatches</v>
      </c>
    </row>
    <row r="142" spans="3:8" outlineLevel="1" x14ac:dyDescent="0.25">
      <c r="C142" s="3" t="b">
        <v>1</v>
      </c>
      <c r="H142" s="3" t="str">
        <f t="shared" si="7"/>
        <v>Mens</v>
      </c>
    </row>
    <row r="143" spans="3:8" outlineLevel="1" x14ac:dyDescent="0.25">
      <c r="C143" s="3" t="b">
        <v>1</v>
      </c>
      <c r="H143" s="3" t="str">
        <f t="shared" si="7"/>
        <v>Baby</v>
      </c>
    </row>
    <row r="144" spans="3:8" outlineLevel="1" x14ac:dyDescent="0.25">
      <c r="C144" s="3" t="b">
        <v>1</v>
      </c>
      <c r="H144" s="3" t="str">
        <f t="shared" si="7"/>
        <v>wSLG</v>
      </c>
    </row>
    <row r="145" spans="1:11" outlineLevel="1" x14ac:dyDescent="0.25">
      <c r="C145" s="3" t="b">
        <v>1</v>
      </c>
      <c r="H145" s="3" t="str">
        <f t="shared" si="7"/>
        <v>ALL</v>
      </c>
    </row>
    <row r="146" spans="1:11" outlineLevel="1" x14ac:dyDescent="0.25">
      <c r="C146" s="3" t="b">
        <v>1</v>
      </c>
      <c r="H146" s="3" t="str">
        <f t="shared" si="7"/>
        <v>mBags_mRTW</v>
      </c>
    </row>
    <row r="147" spans="1:11" outlineLevel="1" x14ac:dyDescent="0.25">
      <c r="C147" s="3" t="b">
        <v>1</v>
      </c>
      <c r="H147" s="3" t="str">
        <f t="shared" si="7"/>
        <v>mAcc_mShoes</v>
      </c>
    </row>
    <row r="148" spans="1:11" outlineLevel="1" x14ac:dyDescent="0.25">
      <c r="C148" s="3" t="b">
        <v>1</v>
      </c>
      <c r="H148" s="3" t="str">
        <f t="shared" si="7"/>
        <v>mSLG_mSpecial</v>
      </c>
    </row>
    <row r="150" spans="1:11" x14ac:dyDescent="0.25">
      <c r="A150" t="s">
        <v>15</v>
      </c>
      <c r="B150" s="3" t="s">
        <v>358</v>
      </c>
      <c r="C150" t="s">
        <v>360</v>
      </c>
      <c r="D150" t="s">
        <v>363</v>
      </c>
      <c r="E150" s="3" t="s">
        <v>432</v>
      </c>
      <c r="H150" t="s">
        <v>362</v>
      </c>
    </row>
    <row r="151" spans="1:11" x14ac:dyDescent="0.25">
      <c r="C151" t="s">
        <v>253</v>
      </c>
      <c r="D151" t="s">
        <v>361</v>
      </c>
    </row>
    <row r="152" spans="1:11" x14ac:dyDescent="0.25">
      <c r="C152" t="s">
        <v>365</v>
      </c>
      <c r="D152" t="s">
        <v>363</v>
      </c>
    </row>
    <row r="153" spans="1:11" x14ac:dyDescent="0.25">
      <c r="C153" s="3" t="s">
        <v>367</v>
      </c>
      <c r="D153" s="3" t="s">
        <v>842</v>
      </c>
      <c r="E153" t="s">
        <v>700</v>
      </c>
      <c r="H153" t="s">
        <v>699</v>
      </c>
      <c r="K153" s="3" t="s">
        <v>840</v>
      </c>
    </row>
    <row r="154" spans="1:11" x14ac:dyDescent="0.25">
      <c r="C154" t="s">
        <v>532</v>
      </c>
      <c r="D154" t="s">
        <v>698</v>
      </c>
      <c r="E154" s="6"/>
    </row>
    <row r="155" spans="1:11" x14ac:dyDescent="0.25">
      <c r="C155" t="s">
        <v>533</v>
      </c>
      <c r="D155" t="s">
        <v>536</v>
      </c>
      <c r="E155" s="6"/>
    </row>
    <row r="157" spans="1:11" x14ac:dyDescent="0.25">
      <c r="A157" t="s">
        <v>15</v>
      </c>
      <c r="B157" t="s">
        <v>9</v>
      </c>
      <c r="C157" t="s">
        <v>93</v>
      </c>
      <c r="D157" t="s">
        <v>23</v>
      </c>
      <c r="E157" s="3" t="s">
        <v>433</v>
      </c>
    </row>
    <row r="159" spans="1:11" x14ac:dyDescent="0.25">
      <c r="A159" t="s">
        <v>15</v>
      </c>
      <c r="B159" t="s">
        <v>405</v>
      </c>
      <c r="C159" t="s">
        <v>406</v>
      </c>
      <c r="E159" s="3" t="s">
        <v>436</v>
      </c>
    </row>
    <row r="160" spans="1:11" x14ac:dyDescent="0.25">
      <c r="E160" s="3"/>
    </row>
    <row r="161" spans="1:5" x14ac:dyDescent="0.25">
      <c r="A161" t="s">
        <v>16</v>
      </c>
      <c r="B161" s="3" t="s">
        <v>25</v>
      </c>
      <c r="C161" t="s">
        <v>757</v>
      </c>
      <c r="E161" t="s">
        <v>148</v>
      </c>
    </row>
    <row r="162" spans="1:5" x14ac:dyDescent="0.25">
      <c r="B162" s="3"/>
      <c r="C162" t="s">
        <v>435</v>
      </c>
      <c r="D162" s="3"/>
    </row>
    <row r="163" spans="1:5" x14ac:dyDescent="0.25">
      <c r="C163" t="s">
        <v>95</v>
      </c>
    </row>
    <row r="164" spans="1:5" x14ac:dyDescent="0.25">
      <c r="B164" s="3"/>
      <c r="C164" t="s">
        <v>760</v>
      </c>
      <c r="E164" t="s">
        <v>371</v>
      </c>
    </row>
    <row r="165" spans="1:5" x14ac:dyDescent="0.25">
      <c r="A165" t="s">
        <v>16</v>
      </c>
      <c r="B165" s="3" t="s">
        <v>667</v>
      </c>
      <c r="C165" t="s">
        <v>824</v>
      </c>
    </row>
    <row r="167" spans="1:5" x14ac:dyDescent="0.25">
      <c r="A167" t="s">
        <v>16</v>
      </c>
      <c r="B167" s="3" t="s">
        <v>95</v>
      </c>
      <c r="C167" t="s">
        <v>94</v>
      </c>
    </row>
    <row r="168" spans="1:5" x14ac:dyDescent="0.25">
      <c r="C168" t="s">
        <v>688</v>
      </c>
    </row>
    <row r="169" spans="1:5" x14ac:dyDescent="0.25">
      <c r="C169" t="s">
        <v>339</v>
      </c>
      <c r="E169" t="s">
        <v>104</v>
      </c>
    </row>
    <row r="170" spans="1:5" x14ac:dyDescent="0.25">
      <c r="C170" t="s">
        <v>114</v>
      </c>
    </row>
    <row r="171" spans="1:5" x14ac:dyDescent="0.25">
      <c r="A171" t="s">
        <v>16</v>
      </c>
      <c r="B171" t="s">
        <v>114</v>
      </c>
      <c r="C171" t="s">
        <v>448</v>
      </c>
      <c r="E171" t="s">
        <v>115</v>
      </c>
    </row>
    <row r="173" spans="1:5" x14ac:dyDescent="0.25">
      <c r="A173" t="s">
        <v>16</v>
      </c>
      <c r="B173" t="s">
        <v>759</v>
      </c>
      <c r="C173" t="s">
        <v>761</v>
      </c>
    </row>
    <row r="174" spans="1:5" x14ac:dyDescent="0.25">
      <c r="A174" t="s">
        <v>16</v>
      </c>
      <c r="B174" s="3" t="s">
        <v>32</v>
      </c>
      <c r="C174" t="s">
        <v>721</v>
      </c>
    </row>
    <row r="175" spans="1:5" x14ac:dyDescent="0.25">
      <c r="B175" s="3"/>
      <c r="C175" t="s">
        <v>118</v>
      </c>
    </row>
    <row r="176" spans="1:5" x14ac:dyDescent="0.25">
      <c r="C176" t="s">
        <v>122</v>
      </c>
    </row>
    <row r="177" spans="1:12" x14ac:dyDescent="0.25">
      <c r="C177" t="s">
        <v>57</v>
      </c>
    </row>
    <row r="178" spans="1:12" x14ac:dyDescent="0.25">
      <c r="C178" t="s">
        <v>837</v>
      </c>
    </row>
    <row r="179" spans="1:12" x14ac:dyDescent="0.25">
      <c r="C179" t="s">
        <v>839</v>
      </c>
    </row>
    <row r="181" spans="1:12" x14ac:dyDescent="0.25">
      <c r="A181" t="s">
        <v>16</v>
      </c>
      <c r="B181" t="s">
        <v>837</v>
      </c>
      <c r="C181" t="s">
        <v>56</v>
      </c>
    </row>
    <row r="182" spans="1:12" x14ac:dyDescent="0.25">
      <c r="C182" t="s">
        <v>377</v>
      </c>
    </row>
    <row r="183" spans="1:12" x14ac:dyDescent="0.25">
      <c r="C183" t="s">
        <v>401</v>
      </c>
      <c r="E183" t="s">
        <v>722</v>
      </c>
      <c r="L183" t="s">
        <v>401</v>
      </c>
    </row>
    <row r="184" spans="1:12" x14ac:dyDescent="0.25">
      <c r="C184" t="s">
        <v>815</v>
      </c>
      <c r="E184" t="s">
        <v>811</v>
      </c>
    </row>
    <row r="185" spans="1:12" x14ac:dyDescent="0.25">
      <c r="A185" t="s">
        <v>16</v>
      </c>
      <c r="B185" t="s">
        <v>836</v>
      </c>
      <c r="C185" t="s">
        <v>58</v>
      </c>
    </row>
    <row r="186" spans="1:12" x14ac:dyDescent="0.25">
      <c r="C186" t="s">
        <v>377</v>
      </c>
    </row>
    <row r="187" spans="1:12" x14ac:dyDescent="0.25">
      <c r="C187" t="s">
        <v>402</v>
      </c>
    </row>
    <row r="191" spans="1:12" x14ac:dyDescent="0.25">
      <c r="A191" t="s">
        <v>16</v>
      </c>
      <c r="B191" t="s">
        <v>823</v>
      </c>
      <c r="C191" t="s">
        <v>815</v>
      </c>
      <c r="E191" t="s">
        <v>811</v>
      </c>
    </row>
    <row r="193" spans="1:11" x14ac:dyDescent="0.25">
      <c r="A193" t="s">
        <v>16</v>
      </c>
      <c r="B193" t="s">
        <v>813</v>
      </c>
      <c r="C193" t="s">
        <v>816</v>
      </c>
    </row>
    <row r="194" spans="1:11" x14ac:dyDescent="0.25">
      <c r="C194" t="s">
        <v>820</v>
      </c>
      <c r="E194" t="s">
        <v>814</v>
      </c>
      <c r="K194" t="s">
        <v>821</v>
      </c>
    </row>
    <row r="196" spans="1:11" x14ac:dyDescent="0.25">
      <c r="A196" t="s">
        <v>16</v>
      </c>
      <c r="B196" t="s">
        <v>818</v>
      </c>
      <c r="C196" t="s">
        <v>819</v>
      </c>
    </row>
    <row r="199" spans="1:11" x14ac:dyDescent="0.25">
      <c r="A199" t="s">
        <v>16</v>
      </c>
      <c r="B199" t="s">
        <v>118</v>
      </c>
      <c r="C199" t="s">
        <v>399</v>
      </c>
      <c r="D199" t="s">
        <v>29</v>
      </c>
      <c r="E199" t="s">
        <v>117</v>
      </c>
    </row>
    <row r="200" spans="1:11" x14ac:dyDescent="0.25">
      <c r="C200" t="s">
        <v>441</v>
      </c>
    </row>
    <row r="201" spans="1:11" x14ac:dyDescent="0.25">
      <c r="A201" t="s">
        <v>16</v>
      </c>
      <c r="B201" t="s">
        <v>441</v>
      </c>
      <c r="C201" t="s">
        <v>442</v>
      </c>
    </row>
    <row r="202" spans="1:11" x14ac:dyDescent="0.25">
      <c r="A202" t="s">
        <v>16</v>
      </c>
      <c r="B202" t="s">
        <v>122</v>
      </c>
      <c r="C202" t="s">
        <v>348</v>
      </c>
      <c r="E202" t="s">
        <v>126</v>
      </c>
    </row>
    <row r="203" spans="1:11" x14ac:dyDescent="0.25">
      <c r="C203" t="s">
        <v>349</v>
      </c>
      <c r="E203" t="s">
        <v>127</v>
      </c>
    </row>
    <row r="204" spans="1:11" x14ac:dyDescent="0.25">
      <c r="A204" t="s">
        <v>16</v>
      </c>
      <c r="B204" t="s">
        <v>124</v>
      </c>
      <c r="C204" t="s">
        <v>350</v>
      </c>
      <c r="E204" t="s">
        <v>128</v>
      </c>
    </row>
    <row r="205" spans="1:11" x14ac:dyDescent="0.25">
      <c r="C205" t="s">
        <v>2</v>
      </c>
    </row>
    <row r="206" spans="1:11" x14ac:dyDescent="0.25">
      <c r="C206" t="s">
        <v>129</v>
      </c>
    </row>
    <row r="207" spans="1:11" x14ac:dyDescent="0.25">
      <c r="C207" t="s">
        <v>120</v>
      </c>
      <c r="E207" t="s">
        <v>131</v>
      </c>
    </row>
    <row r="208" spans="1:11" x14ac:dyDescent="0.25">
      <c r="C208" t="s">
        <v>121</v>
      </c>
      <c r="E208" t="s">
        <v>132</v>
      </c>
    </row>
    <row r="209" spans="1:5" x14ac:dyDescent="0.25">
      <c r="C209" t="s">
        <v>351</v>
      </c>
      <c r="E209" t="s">
        <v>133</v>
      </c>
    </row>
    <row r="210" spans="1:5" x14ac:dyDescent="0.25">
      <c r="A210" t="s">
        <v>16</v>
      </c>
      <c r="B210" t="s">
        <v>134</v>
      </c>
      <c r="C210" t="s">
        <v>27</v>
      </c>
    </row>
    <row r="212" spans="1:5" x14ac:dyDescent="0.25">
      <c r="A212" t="s">
        <v>16</v>
      </c>
      <c r="B212" t="s">
        <v>57</v>
      </c>
      <c r="C212" t="s">
        <v>61</v>
      </c>
      <c r="E212" t="s">
        <v>99</v>
      </c>
    </row>
    <row r="213" spans="1:5" x14ac:dyDescent="0.25">
      <c r="A213" t="s">
        <v>16</v>
      </c>
      <c r="B213" t="s">
        <v>56</v>
      </c>
      <c r="C213" t="s">
        <v>60</v>
      </c>
      <c r="E213" t="s">
        <v>100</v>
      </c>
    </row>
    <row r="214" spans="1:5" x14ac:dyDescent="0.25">
      <c r="A214" t="s">
        <v>16</v>
      </c>
      <c r="B214" t="s">
        <v>58</v>
      </c>
      <c r="C214" t="s">
        <v>59</v>
      </c>
      <c r="E214" t="s">
        <v>101</v>
      </c>
    </row>
    <row r="215" spans="1:5" x14ac:dyDescent="0.25">
      <c r="A215" t="s">
        <v>16</v>
      </c>
      <c r="B215" t="s">
        <v>63</v>
      </c>
      <c r="C215" t="s">
        <v>342</v>
      </c>
      <c r="E215" t="s">
        <v>102</v>
      </c>
    </row>
    <row r="217" spans="1:5" x14ac:dyDescent="0.25">
      <c r="A217" t="s">
        <v>16</v>
      </c>
      <c r="B217" t="s">
        <v>377</v>
      </c>
      <c r="C217" t="s">
        <v>340</v>
      </c>
      <c r="E217" t="s">
        <v>143</v>
      </c>
    </row>
    <row r="218" spans="1:5" x14ac:dyDescent="0.25">
      <c r="C218" t="s">
        <v>447</v>
      </c>
    </row>
    <row r="219" spans="1:5" x14ac:dyDescent="0.25">
      <c r="C219" t="s">
        <v>63</v>
      </c>
      <c r="E219" t="s">
        <v>144</v>
      </c>
    </row>
    <row r="220" spans="1:5" x14ac:dyDescent="0.25">
      <c r="C220" t="s">
        <v>17</v>
      </c>
      <c r="E220" t="s">
        <v>439</v>
      </c>
    </row>
    <row r="221" spans="1:5" x14ac:dyDescent="0.25">
      <c r="A221" t="s">
        <v>16</v>
      </c>
      <c r="B221" t="s">
        <v>17</v>
      </c>
      <c r="C221" t="s">
        <v>443</v>
      </c>
    </row>
    <row r="222" spans="1:5" x14ac:dyDescent="0.25">
      <c r="C222" t="s">
        <v>3</v>
      </c>
      <c r="E222" t="s">
        <v>97</v>
      </c>
    </row>
    <row r="223" spans="1:5" x14ac:dyDescent="0.25">
      <c r="C223" t="s">
        <v>444</v>
      </c>
      <c r="E223" t="s">
        <v>355</v>
      </c>
    </row>
    <row r="224" spans="1:5" x14ac:dyDescent="0.25">
      <c r="C224" t="s">
        <v>4</v>
      </c>
      <c r="E224" t="s">
        <v>96</v>
      </c>
    </row>
    <row r="225" spans="1:7" x14ac:dyDescent="0.25">
      <c r="C225" t="s">
        <v>445</v>
      </c>
    </row>
    <row r="226" spans="1:7" x14ac:dyDescent="0.25">
      <c r="C226" t="s">
        <v>5</v>
      </c>
    </row>
    <row r="227" spans="1:7" x14ac:dyDescent="0.25">
      <c r="C227" t="s">
        <v>446</v>
      </c>
    </row>
    <row r="228" spans="1:7" x14ac:dyDescent="0.25">
      <c r="C228" t="s">
        <v>6</v>
      </c>
    </row>
    <row r="229" spans="1:7" x14ac:dyDescent="0.25">
      <c r="C229" t="s">
        <v>24</v>
      </c>
      <c r="E229" t="s">
        <v>146</v>
      </c>
    </row>
    <row r="230" spans="1:7" x14ac:dyDescent="0.25">
      <c r="C230" t="s">
        <v>341</v>
      </c>
      <c r="E230" t="s">
        <v>145</v>
      </c>
    </row>
    <row r="231" spans="1:7" x14ac:dyDescent="0.25">
      <c r="C231" t="s">
        <v>65</v>
      </c>
      <c r="E231" t="s">
        <v>137</v>
      </c>
    </row>
    <row r="232" spans="1:7" x14ac:dyDescent="0.25">
      <c r="A232" t="s">
        <v>16</v>
      </c>
      <c r="B232" t="s">
        <v>378</v>
      </c>
      <c r="C232" t="s">
        <v>382</v>
      </c>
    </row>
    <row r="233" spans="1:7" x14ac:dyDescent="0.25">
      <c r="C233" t="s">
        <v>3</v>
      </c>
      <c r="E233" t="s">
        <v>97</v>
      </c>
    </row>
    <row r="234" spans="1:7" x14ac:dyDescent="0.25">
      <c r="C234" t="s">
        <v>383</v>
      </c>
      <c r="E234" t="s">
        <v>355</v>
      </c>
    </row>
    <row r="235" spans="1:7" x14ac:dyDescent="0.25">
      <c r="C235" t="s">
        <v>379</v>
      </c>
      <c r="E235" t="s">
        <v>380</v>
      </c>
      <c r="G235" t="s">
        <v>381</v>
      </c>
    </row>
    <row r="236" spans="1:7" x14ac:dyDescent="0.25">
      <c r="C236" t="s">
        <v>384</v>
      </c>
    </row>
    <row r="237" spans="1:7" x14ac:dyDescent="0.25">
      <c r="C237" t="s">
        <v>5</v>
      </c>
    </row>
    <row r="238" spans="1:7" x14ac:dyDescent="0.25">
      <c r="C238" t="s">
        <v>385</v>
      </c>
    </row>
    <row r="239" spans="1:7" x14ac:dyDescent="0.25">
      <c r="C239" t="s">
        <v>6</v>
      </c>
    </row>
    <row r="240" spans="1:7" x14ac:dyDescent="0.25">
      <c r="C240" t="s">
        <v>24</v>
      </c>
      <c r="E240" t="s">
        <v>146</v>
      </c>
    </row>
    <row r="241" spans="3:5" x14ac:dyDescent="0.25">
      <c r="C241" t="s">
        <v>341</v>
      </c>
      <c r="E241" t="s">
        <v>386</v>
      </c>
    </row>
    <row r="242" spans="3:5" x14ac:dyDescent="0.25">
      <c r="C242" t="s">
        <v>65</v>
      </c>
      <c r="E242" t="s">
        <v>137</v>
      </c>
    </row>
  </sheetData>
  <hyperlinks>
    <hyperlink ref="C167" r:id="rId1" xr:uid="{C7225C97-549F-43C1-89ED-A8B6E1B32C2F}"/>
    <hyperlink ref="D199" r:id="rId2" display="url:URL_Dclick_Pages" xr:uid="{BDD458EB-4D12-481D-8A2A-50373D90DECE}"/>
    <hyperlink ref="C199" r:id="rId3" display="url:URL_Dclick_Pages" xr:uid="{CF613F64-FD8E-4665-A060-CBF05F6B1B73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02B1-9787-49A1-BBF6-0AE38BB7956E}">
  <sheetPr codeName="Sheet12"/>
  <dimension ref="A1:M202"/>
  <sheetViews>
    <sheetView topLeftCell="A7" zoomScale="90" zoomScaleNormal="90" workbookViewId="0">
      <selection activeCell="C99" sqref="C99"/>
    </sheetView>
  </sheetViews>
  <sheetFormatPr defaultRowHeight="15" x14ac:dyDescent="0.25"/>
  <cols>
    <col min="2" max="2" width="21.85546875" customWidth="1"/>
    <col min="3" max="3" width="33.5703125" customWidth="1"/>
    <col min="4" max="4" width="33.140625" customWidth="1"/>
    <col min="5" max="5" width="24.7109375" customWidth="1"/>
    <col min="11" max="11" width="17.5703125" customWidth="1"/>
    <col min="12" max="12" width="15.140625" customWidth="1"/>
  </cols>
  <sheetData>
    <row r="1" spans="1:9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9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9" x14ac:dyDescent="0.25">
      <c r="C3" t="s">
        <v>467</v>
      </c>
      <c r="D3" t="s">
        <v>468</v>
      </c>
      <c r="E3" t="s">
        <v>92</v>
      </c>
    </row>
    <row r="4" spans="1:9" x14ac:dyDescent="0.25">
      <c r="C4" t="s">
        <v>764</v>
      </c>
      <c r="D4" t="s">
        <v>763</v>
      </c>
      <c r="E4" t="s">
        <v>92</v>
      </c>
    </row>
    <row r="5" spans="1:9" x14ac:dyDescent="0.25">
      <c r="C5" t="s">
        <v>765</v>
      </c>
      <c r="D5" t="s">
        <v>766</v>
      </c>
      <c r="E5" t="s">
        <v>92</v>
      </c>
    </row>
    <row r="6" spans="1:9" x14ac:dyDescent="0.25">
      <c r="C6" t="s">
        <v>768</v>
      </c>
      <c r="D6" t="s">
        <v>767</v>
      </c>
      <c r="E6" t="s">
        <v>92</v>
      </c>
    </row>
    <row r="7" spans="1:9" x14ac:dyDescent="0.25">
      <c r="C7" t="s">
        <v>770</v>
      </c>
      <c r="D7" t="s">
        <v>769</v>
      </c>
      <c r="E7" t="s">
        <v>92</v>
      </c>
    </row>
    <row r="8" spans="1:9" x14ac:dyDescent="0.25">
      <c r="C8" t="s">
        <v>772</v>
      </c>
      <c r="D8" t="s">
        <v>771</v>
      </c>
      <c r="E8" t="s">
        <v>92</v>
      </c>
    </row>
    <row r="9" spans="1:9" x14ac:dyDescent="0.25">
      <c r="C9" t="s">
        <v>774</v>
      </c>
      <c r="D9" t="s">
        <v>773</v>
      </c>
      <c r="E9" t="s">
        <v>92</v>
      </c>
    </row>
    <row r="10" spans="1:9" x14ac:dyDescent="0.25">
      <c r="C10" t="s">
        <v>776</v>
      </c>
      <c r="D10" t="s">
        <v>775</v>
      </c>
      <c r="E10" t="s">
        <v>92</v>
      </c>
    </row>
    <row r="11" spans="1:9" x14ac:dyDescent="0.25">
      <c r="C11" t="s">
        <v>778</v>
      </c>
      <c r="D11" t="s">
        <v>777</v>
      </c>
      <c r="E11" t="s">
        <v>92</v>
      </c>
    </row>
    <row r="12" spans="1:9" x14ac:dyDescent="0.25">
      <c r="C12" t="s">
        <v>780</v>
      </c>
      <c r="D12" t="s">
        <v>779</v>
      </c>
      <c r="E12" t="s">
        <v>92</v>
      </c>
    </row>
    <row r="13" spans="1:9" x14ac:dyDescent="0.25">
      <c r="C13" t="s">
        <v>782</v>
      </c>
      <c r="D13" t="s">
        <v>781</v>
      </c>
      <c r="E13" t="s">
        <v>92</v>
      </c>
    </row>
    <row r="14" spans="1:9" x14ac:dyDescent="0.25">
      <c r="C14" t="s">
        <v>784</v>
      </c>
      <c r="D14" t="s">
        <v>783</v>
      </c>
      <c r="E14" t="s">
        <v>92</v>
      </c>
    </row>
    <row r="15" spans="1:9" x14ac:dyDescent="0.25">
      <c r="C15" s="3" t="s">
        <v>788</v>
      </c>
      <c r="D15" t="s">
        <v>825</v>
      </c>
      <c r="E15" t="s">
        <v>92</v>
      </c>
      <c r="I15" t="s">
        <v>786</v>
      </c>
    </row>
    <row r="16" spans="1:9" x14ac:dyDescent="0.25">
      <c r="C16" s="3" t="s">
        <v>789</v>
      </c>
      <c r="D16" t="s">
        <v>826</v>
      </c>
      <c r="E16" t="s">
        <v>92</v>
      </c>
      <c r="I16" t="s">
        <v>787</v>
      </c>
    </row>
    <row r="17" spans="3:9" x14ac:dyDescent="0.25">
      <c r="C17" s="3" t="s">
        <v>791</v>
      </c>
      <c r="D17" t="s">
        <v>828</v>
      </c>
      <c r="E17" t="s">
        <v>92</v>
      </c>
      <c r="I17" t="s">
        <v>790</v>
      </c>
    </row>
    <row r="18" spans="3:9" x14ac:dyDescent="0.25">
      <c r="C18" s="3" t="s">
        <v>793</v>
      </c>
      <c r="D18" t="s">
        <v>827</v>
      </c>
      <c r="E18" t="s">
        <v>92</v>
      </c>
      <c r="I18" t="s">
        <v>792</v>
      </c>
    </row>
    <row r="19" spans="3:9" x14ac:dyDescent="0.25">
      <c r="C19" s="3" t="s">
        <v>794</v>
      </c>
      <c r="D19" t="s">
        <v>830</v>
      </c>
      <c r="E19" t="s">
        <v>92</v>
      </c>
      <c r="I19" t="s">
        <v>801</v>
      </c>
    </row>
    <row r="20" spans="3:9" x14ac:dyDescent="0.25">
      <c r="C20" s="3" t="s">
        <v>795</v>
      </c>
      <c r="D20" t="s">
        <v>831</v>
      </c>
      <c r="E20" t="s">
        <v>92</v>
      </c>
      <c r="I20" t="s">
        <v>802</v>
      </c>
    </row>
    <row r="21" spans="3:9" x14ac:dyDescent="0.25">
      <c r="C21" s="3" t="s">
        <v>796</v>
      </c>
      <c r="D21" t="s">
        <v>832</v>
      </c>
      <c r="E21" t="s">
        <v>92</v>
      </c>
      <c r="I21" t="s">
        <v>803</v>
      </c>
    </row>
    <row r="22" spans="3:9" x14ac:dyDescent="0.25">
      <c r="C22" s="3" t="s">
        <v>797</v>
      </c>
      <c r="D22" t="s">
        <v>833</v>
      </c>
      <c r="E22" t="s">
        <v>92</v>
      </c>
      <c r="I22" t="s">
        <v>804</v>
      </c>
    </row>
    <row r="23" spans="3:9" x14ac:dyDescent="0.25">
      <c r="C23" s="3" t="s">
        <v>798</v>
      </c>
      <c r="D23" t="s">
        <v>834</v>
      </c>
      <c r="E23" t="s">
        <v>92</v>
      </c>
      <c r="I23" t="s">
        <v>805</v>
      </c>
    </row>
    <row r="24" spans="3:9" x14ac:dyDescent="0.25">
      <c r="C24" s="3" t="s">
        <v>799</v>
      </c>
      <c r="D24" t="s">
        <v>829</v>
      </c>
      <c r="E24" t="s">
        <v>92</v>
      </c>
      <c r="I24" t="s">
        <v>806</v>
      </c>
    </row>
    <row r="25" spans="3:9" x14ac:dyDescent="0.25">
      <c r="C25" s="3" t="s">
        <v>800</v>
      </c>
      <c r="D25" t="s">
        <v>835</v>
      </c>
      <c r="E25" t="s">
        <v>92</v>
      </c>
      <c r="I25" t="s">
        <v>807</v>
      </c>
    </row>
    <row r="26" spans="3:9" x14ac:dyDescent="0.25">
      <c r="C26" t="s">
        <v>43</v>
      </c>
      <c r="D26" t="s">
        <v>474</v>
      </c>
      <c r="E26" t="s">
        <v>92</v>
      </c>
    </row>
    <row r="27" spans="3:9" x14ac:dyDescent="0.25">
      <c r="C27" t="s">
        <v>42</v>
      </c>
      <c r="D27" t="s">
        <v>475</v>
      </c>
      <c r="E27" t="s">
        <v>92</v>
      </c>
    </row>
    <row r="28" spans="3:9" x14ac:dyDescent="0.25">
      <c r="C28" t="s">
        <v>45</v>
      </c>
      <c r="D28" t="s">
        <v>476</v>
      </c>
      <c r="E28" t="s">
        <v>92</v>
      </c>
    </row>
    <row r="29" spans="3:9" x14ac:dyDescent="0.25">
      <c r="C29" t="s">
        <v>47</v>
      </c>
      <c r="D29" t="s">
        <v>477</v>
      </c>
      <c r="E29" t="s">
        <v>92</v>
      </c>
    </row>
    <row r="30" spans="3:9" x14ac:dyDescent="0.25">
      <c r="C30" t="s">
        <v>49</v>
      </c>
      <c r="D30" t="s">
        <v>478</v>
      </c>
      <c r="E30" t="s">
        <v>92</v>
      </c>
    </row>
    <row r="31" spans="3:9" x14ac:dyDescent="0.25">
      <c r="C31" t="s">
        <v>50</v>
      </c>
      <c r="D31" t="s">
        <v>479</v>
      </c>
      <c r="E31" t="s">
        <v>92</v>
      </c>
    </row>
    <row r="32" spans="3:9" x14ac:dyDescent="0.25">
      <c r="C32" t="s">
        <v>51</v>
      </c>
      <c r="D32" t="s">
        <v>480</v>
      </c>
      <c r="E32" t="s">
        <v>92</v>
      </c>
    </row>
    <row r="33" spans="1:13" x14ac:dyDescent="0.25">
      <c r="C33" t="s">
        <v>562</v>
      </c>
      <c r="D33" t="s">
        <v>563</v>
      </c>
      <c r="E33" t="s">
        <v>92</v>
      </c>
    </row>
    <row r="34" spans="1:13" x14ac:dyDescent="0.25">
      <c r="C34" t="s">
        <v>55</v>
      </c>
      <c r="D34" t="s">
        <v>465</v>
      </c>
      <c r="E34" t="s">
        <v>92</v>
      </c>
    </row>
    <row r="35" spans="1:13" x14ac:dyDescent="0.25">
      <c r="C35" t="s">
        <v>567</v>
      </c>
      <c r="D35" t="s">
        <v>566</v>
      </c>
      <c r="E35" t="s">
        <v>92</v>
      </c>
    </row>
    <row r="36" spans="1:13" x14ac:dyDescent="0.25">
      <c r="C36" t="s">
        <v>571</v>
      </c>
      <c r="D36" t="s">
        <v>570</v>
      </c>
      <c r="E36" t="s">
        <v>92</v>
      </c>
    </row>
    <row r="37" spans="1:13" x14ac:dyDescent="0.25">
      <c r="C37" t="s">
        <v>575</v>
      </c>
      <c r="D37" t="s">
        <v>574</v>
      </c>
      <c r="E37" t="s">
        <v>92</v>
      </c>
    </row>
    <row r="38" spans="1:13" x14ac:dyDescent="0.25">
      <c r="H38" t="s">
        <v>809</v>
      </c>
      <c r="J38" t="s">
        <v>810</v>
      </c>
      <c r="K38" t="s">
        <v>808</v>
      </c>
      <c r="L38" t="s">
        <v>822</v>
      </c>
    </row>
    <row r="39" spans="1:13" x14ac:dyDescent="0.25">
      <c r="A39" t="s">
        <v>15</v>
      </c>
      <c r="B39" t="s">
        <v>758</v>
      </c>
      <c r="C39" s="13" t="b">
        <f ca="1">AND(IF(K39,K39&gt;L39,FALSE),NOT(J39))</f>
        <v>1</v>
      </c>
      <c r="D39" t="str">
        <f>"D:\OneDrive-Sync\Christian Dior Couture\APAC Management - Reports - Reports\DClick\Images\"&amp;C2&amp;"_NetSales.png"</f>
        <v>D:\OneDrive-Sync\Christian Dior Couture\APAC Management - Reports - Reports\DClick\Images\CountryStore_NetSales.png</v>
      </c>
      <c r="E39" t="str">
        <f>RIGHT(D39,LEN(D39)-90)</f>
        <v>CountryStore_NetSales.png</v>
      </c>
      <c r="H39" t="str">
        <f>C2</f>
        <v>CountryStore</v>
      </c>
      <c r="J39" t="b">
        <v>0</v>
      </c>
      <c r="K39" s="10" cm="1">
        <f t="array" aca="1" ref="K39" ca="1">fileModifiedDate("D:\OneDrive-Sync\Christian Dior Couture\APAC Management - Reports - Reports\DClick\Images\"&amp;C2&amp;"_Units.png", NOW())</f>
        <v>44899.278831018521</v>
      </c>
      <c r="L39" s="4">
        <f ca="1">IF(NOW()&gt;TODAY()+TIME(3,0,0),TODAY()+TIME(3,0,0),TODAY()-1+TIME(3,0,0))</f>
        <v>44899.125</v>
      </c>
      <c r="M39" t="s">
        <v>762</v>
      </c>
    </row>
    <row r="40" spans="1:13" x14ac:dyDescent="0.25">
      <c r="C40" s="13" t="b">
        <f t="shared" ref="C40:C74" ca="1" si="0">AND(IF(K40,K40&gt;L40,FALSE),NOT(J40))</f>
        <v>1</v>
      </c>
      <c r="D40" t="str">
        <f t="shared" ref="D40:D74" si="1">"D:\OneDrive-Sync\Christian Dior Couture\APAC Management - Reports - Reports\DClick\Images\"&amp;C3&amp;"_NetSales.png"</f>
        <v>D:\OneDrive-Sync\Christian Dior Couture\APAC Management - Reports - Reports\DClick\Images\SubCategory_NetSales.png</v>
      </c>
      <c r="E40" t="str">
        <f t="shared" ref="E40:E74" si="2">RIGHT(D40,LEN(D40)-90)</f>
        <v>SubCategory_NetSales.png</v>
      </c>
      <c r="H40" t="str">
        <f t="shared" ref="H40:H74" si="3">C3</f>
        <v>SubCategory</v>
      </c>
      <c r="J40" t="b">
        <v>0</v>
      </c>
      <c r="K40" s="10" cm="1">
        <f t="array" aca="1" ref="K40" ca="1">fileModifiedDate("D:\OneDrive-Sync\Christian Dior Couture\APAC Management - Reports - Reports\DClick\Images\"&amp;C3&amp;"_Units.png", NOW())</f>
        <v>44899.277650462966</v>
      </c>
      <c r="L40" s="4">
        <f ca="1">L39</f>
        <v>44899.125</v>
      </c>
    </row>
    <row r="41" spans="1:13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Reports\DClick\Images\CountryStoreHKMO_NetSales.png</v>
      </c>
      <c r="E41" t="str">
        <f t="shared" si="2"/>
        <v>CountryStoreHKMO_NetSales.png</v>
      </c>
      <c r="H41" t="str">
        <f t="shared" si="3"/>
        <v>CountryStoreHKMO</v>
      </c>
      <c r="J41" t="b">
        <v>0</v>
      </c>
      <c r="K41" s="10" t="b" cm="1">
        <f t="array" aca="1" ref="K41" ca="1">fileModifiedDate("D:\OneDrive-Sync\Christian Dior Couture\APAC Management - Reports - Reports\DClick\Images\"&amp;C4&amp;"_Units.png", NOW())</f>
        <v>0</v>
      </c>
      <c r="L41" s="4">
        <f ca="1">L40</f>
        <v>44899.125</v>
      </c>
    </row>
    <row r="42" spans="1:13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Reports\DClick\Images\CountryStoreKR_NetSales.png</v>
      </c>
      <c r="E42" t="str">
        <f t="shared" si="2"/>
        <v>CountryStoreKR_NetSales.png</v>
      </c>
      <c r="H42" t="str">
        <f t="shared" si="3"/>
        <v>CountryStoreKR</v>
      </c>
      <c r="J42" t="b">
        <v>0</v>
      </c>
      <c r="K42" s="10" t="b" cm="1">
        <f t="array" aca="1" ref="K42" ca="1">fileModifiedDate("D:\OneDrive-Sync\Christian Dior Couture\APAC Management - Reports - Reports\DClick\Images\"&amp;C5&amp;"_Units.png", NOW())</f>
        <v>0</v>
      </c>
      <c r="L42" s="4">
        <f t="shared" ref="L42:L74" ca="1" si="4">L41</f>
        <v>44899.125</v>
      </c>
    </row>
    <row r="43" spans="1:13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Reports\DClick\Images\CountryStoreAUNZ_NetSales.png</v>
      </c>
      <c r="E43" t="str">
        <f t="shared" si="2"/>
        <v>CountryStoreAUNZ_NetSales.png</v>
      </c>
      <c r="H43" t="str">
        <f t="shared" si="3"/>
        <v>CountryStoreAUNZ</v>
      </c>
      <c r="J43" t="b">
        <v>0</v>
      </c>
      <c r="K43" s="10" t="b" cm="1">
        <f t="array" aca="1" ref="K43" ca="1">fileModifiedDate("D:\OneDrive-Sync\Christian Dior Couture\APAC Management - Reports - Reports\DClick\Images\"&amp;C6&amp;"_Units.png", NOW())</f>
        <v>0</v>
      </c>
      <c r="L43" s="4">
        <f t="shared" ca="1" si="4"/>
        <v>44899.125</v>
      </c>
    </row>
    <row r="44" spans="1:13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Reports\DClick\Images\CountryStoreSG_NetSales.png</v>
      </c>
      <c r="E44" t="str">
        <f t="shared" si="2"/>
        <v>CountryStoreSG_NetSales.png</v>
      </c>
      <c r="H44" t="str">
        <f t="shared" si="3"/>
        <v>CountryStoreSG</v>
      </c>
      <c r="J44" t="b">
        <v>0</v>
      </c>
      <c r="K44" s="10" t="b" cm="1">
        <f t="array" aca="1" ref="K44" ca="1">fileModifiedDate("D:\OneDrive-Sync\Christian Dior Couture\APAC Management - Reports - Reports\DClick\Images\"&amp;C7&amp;"_Units.png", NOW())</f>
        <v>0</v>
      </c>
      <c r="L44" s="4">
        <f t="shared" ca="1" si="4"/>
        <v>44899.125</v>
      </c>
    </row>
    <row r="45" spans="1:13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Reports\DClick\Images\CountryStoreMY_NetSales.png</v>
      </c>
      <c r="E45" t="str">
        <f t="shared" si="2"/>
        <v>CountryStoreMY_NetSales.png</v>
      </c>
      <c r="H45" t="str">
        <f t="shared" si="3"/>
        <v>CountryStoreMY</v>
      </c>
      <c r="J45" t="b">
        <v>0</v>
      </c>
      <c r="K45" s="10" t="b" cm="1">
        <f t="array" aca="1" ref="K45" ca="1">fileModifiedDate("D:\OneDrive-Sync\Christian Dior Couture\APAC Management - Reports - Reports\DClick\Images\"&amp;C8&amp;"_Units.png", NOW())</f>
        <v>0</v>
      </c>
      <c r="L45" s="4">
        <f t="shared" ca="1" si="4"/>
        <v>44899.125</v>
      </c>
    </row>
    <row r="46" spans="1:13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Reports\DClick\Images\CountryStoreID_NetSales.png</v>
      </c>
      <c r="E46" t="str">
        <f t="shared" si="2"/>
        <v>CountryStoreID_NetSales.png</v>
      </c>
      <c r="H46" t="str">
        <f t="shared" si="3"/>
        <v>CountryStoreID</v>
      </c>
      <c r="J46" t="b">
        <v>0</v>
      </c>
      <c r="K46" s="10" t="b" cm="1">
        <f t="array" aca="1" ref="K46" ca="1">fileModifiedDate("D:\OneDrive-Sync\Christian Dior Couture\APAC Management - Reports - Reports\DClick\Images\"&amp;C9&amp;"_Units.png", NOW())</f>
        <v>0</v>
      </c>
      <c r="L46" s="4">
        <f t="shared" ca="1" si="4"/>
        <v>44899.125</v>
      </c>
    </row>
    <row r="47" spans="1:13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Reports\DClick\Images\CountryStoreIN_NetSales.png</v>
      </c>
      <c r="E47" t="str">
        <f t="shared" si="2"/>
        <v>CountryStoreIN_NetSales.png</v>
      </c>
      <c r="H47" t="str">
        <f t="shared" si="3"/>
        <v>CountryStoreIN</v>
      </c>
      <c r="J47" t="b">
        <v>0</v>
      </c>
      <c r="K47" s="10" t="b" cm="1">
        <f t="array" aca="1" ref="K47" ca="1">fileModifiedDate("D:\OneDrive-Sync\Christian Dior Couture\APAC Management - Reports - Reports\DClick\Images\"&amp;C10&amp;"_Units.png", NOW())</f>
        <v>0</v>
      </c>
      <c r="L47" s="4">
        <f t="shared" ca="1" si="4"/>
        <v>44899.125</v>
      </c>
    </row>
    <row r="48" spans="1:13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Reports\DClick\Images\CountryStoreVN_NetSales.png</v>
      </c>
      <c r="E48" t="str">
        <f t="shared" si="2"/>
        <v>CountryStoreVN_NetSales.png</v>
      </c>
      <c r="H48" t="str">
        <f t="shared" si="3"/>
        <v>CountryStoreVN</v>
      </c>
      <c r="J48" t="b">
        <v>0</v>
      </c>
      <c r="K48" s="10" t="b" cm="1">
        <f t="array" aca="1" ref="K48" ca="1">fileModifiedDate("D:\OneDrive-Sync\Christian Dior Couture\APAC Management - Reports - Reports\DClick\Images\"&amp;C11&amp;"_Units.png", NOW())</f>
        <v>0</v>
      </c>
      <c r="L48" s="4">
        <f t="shared" ca="1" si="4"/>
        <v>44899.125</v>
      </c>
    </row>
    <row r="49" spans="3:12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Reports\DClick\Images\CountryStoreTH_NetSales.png</v>
      </c>
      <c r="E49" t="str">
        <f t="shared" si="2"/>
        <v>CountryStoreTH_NetSales.png</v>
      </c>
      <c r="H49" t="str">
        <f t="shared" si="3"/>
        <v>CountryStoreTH</v>
      </c>
      <c r="J49" t="b">
        <v>0</v>
      </c>
      <c r="K49" s="10" t="b" cm="1">
        <f t="array" aca="1" ref="K49" ca="1">fileModifiedDate("D:\OneDrive-Sync\Christian Dior Couture\APAC Management - Reports - Reports\DClick\Images\"&amp;C12&amp;"_Units.png", NOW())</f>
        <v>0</v>
      </c>
      <c r="L49" s="4">
        <f t="shared" ca="1" si="4"/>
        <v>44899.125</v>
      </c>
    </row>
    <row r="50" spans="3:12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Reports\DClick\Images\CountryStoreTW_NetSales.png</v>
      </c>
      <c r="E50" t="str">
        <f t="shared" si="2"/>
        <v>CountryStoreTW_NetSales.png</v>
      </c>
      <c r="H50" t="str">
        <f t="shared" si="3"/>
        <v>CountryStoreTW</v>
      </c>
      <c r="J50" t="b">
        <v>0</v>
      </c>
      <c r="K50" s="10" t="b" cm="1">
        <f t="array" aca="1" ref="K50" ca="1">fileModifiedDate("D:\OneDrive-Sync\Christian Dior Couture\APAC Management - Reports - Reports\DClick\Images\"&amp;C13&amp;"_Units.png", NOW())</f>
        <v>0</v>
      </c>
      <c r="L50" s="4">
        <f t="shared" ca="1" si="4"/>
        <v>44899.125</v>
      </c>
    </row>
    <row r="51" spans="3:12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Reports\DClick\Images\CountryStorePH_NetSales.png</v>
      </c>
      <c r="E51" t="str">
        <f t="shared" si="2"/>
        <v>CountryStorePH_NetSales.png</v>
      </c>
      <c r="H51" t="str">
        <f t="shared" si="3"/>
        <v>CountryStorePH</v>
      </c>
      <c r="J51" t="b">
        <v>0</v>
      </c>
      <c r="K51" s="10" t="b" cm="1">
        <f t="array" aca="1" ref="K51" ca="1">fileModifiedDate("D:\OneDrive-Sync\Christian Dior Couture\APAC Management - Reports - Reports\DClick\Images\"&amp;C14&amp;"_Units.png", NOW())</f>
        <v>0</v>
      </c>
      <c r="L51" s="4">
        <f t="shared" ca="1" si="4"/>
        <v>44899.125</v>
      </c>
    </row>
    <row r="52" spans="3:12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Reports\DClick\Images\SubCategoryAUNZ_NetSales.png</v>
      </c>
      <c r="E52" t="str">
        <f t="shared" si="2"/>
        <v>SubCategoryAUNZ_NetSales.png</v>
      </c>
      <c r="H52" t="str">
        <f t="shared" si="3"/>
        <v>SubCategoryAUNZ</v>
      </c>
      <c r="J52" s="3" t="b">
        <v>1</v>
      </c>
      <c r="K52" s="10" t="b" cm="1">
        <f t="array" aca="1" ref="K52" ca="1">fileModifiedDate("D:\OneDrive-Sync\Christian Dior Couture\APAC Management - Reports - Reports\DClick\Images\"&amp;C15&amp;"_Units.png", NOW())</f>
        <v>0</v>
      </c>
      <c r="L52" s="4">
        <f t="shared" ca="1" si="4"/>
        <v>44899.125</v>
      </c>
    </row>
    <row r="53" spans="3:12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Reports\DClick\Images\SubCategoryHKMO_NetSales.png</v>
      </c>
      <c r="E53" t="str">
        <f t="shared" si="2"/>
        <v>SubCategoryHKMO_NetSales.png</v>
      </c>
      <c r="H53" t="str">
        <f t="shared" si="3"/>
        <v>SubCategoryHKMO</v>
      </c>
      <c r="J53" s="3" t="b">
        <v>1</v>
      </c>
      <c r="K53" s="10" t="b" cm="1">
        <f t="array" aca="1" ref="K53" ca="1">fileModifiedDate("D:\OneDrive-Sync\Christian Dior Couture\APAC Management - Reports - Reports\DClick\Images\"&amp;C16&amp;"_Units.png", NOW())</f>
        <v>0</v>
      </c>
      <c r="L53" s="4">
        <f t="shared" ca="1" si="4"/>
        <v>44899.125</v>
      </c>
    </row>
    <row r="54" spans="3:12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Reports\DClick\Images\SubCategoryKR_NetSales.png</v>
      </c>
      <c r="E54" t="str">
        <f t="shared" si="2"/>
        <v>SubCategoryKR_NetSales.png</v>
      </c>
      <c r="H54" t="str">
        <f t="shared" si="3"/>
        <v>SubCategoryKR</v>
      </c>
      <c r="J54" s="3" t="b">
        <v>1</v>
      </c>
      <c r="K54" s="10" t="b" cm="1">
        <f t="array" aca="1" ref="K54" ca="1">fileModifiedDate("D:\OneDrive-Sync\Christian Dior Couture\APAC Management - Reports - Reports\DClick\Images\"&amp;C17&amp;"_Units.png", NOW())</f>
        <v>0</v>
      </c>
      <c r="L54" s="4">
        <f t="shared" ca="1" si="4"/>
        <v>44899.125</v>
      </c>
    </row>
    <row r="55" spans="3:12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Reports\DClick\Images\SubCategorySG_NetSales.png</v>
      </c>
      <c r="E55" t="str">
        <f t="shared" si="2"/>
        <v>SubCategorySG_NetSales.png</v>
      </c>
      <c r="H55" t="str">
        <f t="shared" si="3"/>
        <v>SubCategorySG</v>
      </c>
      <c r="J55" s="3" t="b">
        <v>1</v>
      </c>
      <c r="K55" s="10" t="b" cm="1">
        <f t="array" aca="1" ref="K55" ca="1">fileModifiedDate("D:\OneDrive-Sync\Christian Dior Couture\APAC Management - Reports - Reports\DClick\Images\"&amp;C18&amp;"_Units.png", NOW())</f>
        <v>0</v>
      </c>
      <c r="L55" s="4">
        <f t="shared" ca="1" si="4"/>
        <v>44899.125</v>
      </c>
    </row>
    <row r="56" spans="3:12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Reports\DClick\Images\SubCategoryMY_NetSales.png</v>
      </c>
      <c r="E56" t="str">
        <f t="shared" si="2"/>
        <v>SubCategoryMY_NetSales.png</v>
      </c>
      <c r="H56" t="str">
        <f t="shared" si="3"/>
        <v>SubCategoryMY</v>
      </c>
      <c r="J56" s="3" t="b">
        <v>1</v>
      </c>
      <c r="K56" s="10" t="b" cm="1">
        <f t="array" aca="1" ref="K56" ca="1">fileModifiedDate("D:\OneDrive-Sync\Christian Dior Couture\APAC Management - Reports - Reports\DClick\Images\"&amp;C19&amp;"_Units.png", NOW())</f>
        <v>0</v>
      </c>
      <c r="L56" s="4">
        <f t="shared" ca="1" si="4"/>
        <v>44899.125</v>
      </c>
    </row>
    <row r="57" spans="3:12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Reports\DClick\Images\SubCategoryIN_NetSales.png</v>
      </c>
      <c r="E57" t="str">
        <f t="shared" si="2"/>
        <v>SubCategoryIN_NetSales.png</v>
      </c>
      <c r="H57" t="str">
        <f t="shared" si="3"/>
        <v>SubCategoryIN</v>
      </c>
      <c r="J57" s="3" t="b">
        <v>1</v>
      </c>
      <c r="K57" s="10" t="b" cm="1">
        <f t="array" aca="1" ref="K57" ca="1">fileModifiedDate("D:\OneDrive-Sync\Christian Dior Couture\APAC Management - Reports - Reports\DClick\Images\"&amp;C20&amp;"_Units.png", NOW())</f>
        <v>0</v>
      </c>
      <c r="L57" s="4">
        <f t="shared" ca="1" si="4"/>
        <v>44899.125</v>
      </c>
    </row>
    <row r="58" spans="3:12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Reports\DClick\Images\SubCategoryID_NetSales.png</v>
      </c>
      <c r="E58" t="str">
        <f t="shared" si="2"/>
        <v>SubCategoryID_NetSales.png</v>
      </c>
      <c r="H58" t="str">
        <f t="shared" si="3"/>
        <v>SubCategoryID</v>
      </c>
      <c r="J58" s="3" t="b">
        <v>1</v>
      </c>
      <c r="K58" s="10" t="b" cm="1">
        <f t="array" aca="1" ref="K58" ca="1">fileModifiedDate("D:\OneDrive-Sync\Christian Dior Couture\APAC Management - Reports - Reports\DClick\Images\"&amp;C21&amp;"_Units.png", NOW())</f>
        <v>0</v>
      </c>
      <c r="L58" s="4">
        <f t="shared" ca="1" si="4"/>
        <v>44899.125</v>
      </c>
    </row>
    <row r="59" spans="3:12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Reports\DClick\Images\SubCategoryPH_NetSales.png</v>
      </c>
      <c r="E59" t="str">
        <f t="shared" si="2"/>
        <v>SubCategoryPH_NetSales.png</v>
      </c>
      <c r="H59" t="str">
        <f t="shared" si="3"/>
        <v>SubCategoryPH</v>
      </c>
      <c r="J59" s="3" t="b">
        <v>1</v>
      </c>
      <c r="K59" s="10" t="b" cm="1">
        <f t="array" aca="1" ref="K59" ca="1">fileModifiedDate("D:\OneDrive-Sync\Christian Dior Couture\APAC Management - Reports - Reports\DClick\Images\"&amp;C22&amp;"_Units.png", NOW())</f>
        <v>0</v>
      </c>
      <c r="L59" s="4">
        <f t="shared" ca="1" si="4"/>
        <v>44899.125</v>
      </c>
    </row>
    <row r="60" spans="3:12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Reports\DClick\Images\SubCategoryTW_NetSales.png</v>
      </c>
      <c r="E60" t="str">
        <f t="shared" si="2"/>
        <v>SubCategoryTW_NetSales.png</v>
      </c>
      <c r="H60" t="str">
        <f t="shared" si="3"/>
        <v>SubCategoryTW</v>
      </c>
      <c r="J60" s="3" t="b">
        <v>1</v>
      </c>
      <c r="K60" s="10" t="b" cm="1">
        <f t="array" aca="1" ref="K60" ca="1">fileModifiedDate("D:\OneDrive-Sync\Christian Dior Couture\APAC Management - Reports - Reports\DClick\Images\"&amp;C23&amp;"_Units.png", NOW())</f>
        <v>0</v>
      </c>
      <c r="L60" s="4">
        <f t="shared" ca="1" si="4"/>
        <v>44899.125</v>
      </c>
    </row>
    <row r="61" spans="3:12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Reports\DClick\Images\SubCategoryTH_NetSales.png</v>
      </c>
      <c r="E61" t="str">
        <f t="shared" si="2"/>
        <v>SubCategoryTH_NetSales.png</v>
      </c>
      <c r="H61" t="str">
        <f t="shared" si="3"/>
        <v>SubCategoryTH</v>
      </c>
      <c r="J61" s="3" t="b">
        <v>1</v>
      </c>
      <c r="K61" s="10" t="b" cm="1">
        <f t="array" aca="1" ref="K61" ca="1">fileModifiedDate("D:\OneDrive-Sync\Christian Dior Couture\APAC Management - Reports - Reports\DClick\Images\"&amp;C24&amp;"_Units.png", NOW())</f>
        <v>0</v>
      </c>
      <c r="L61" s="4">
        <f t="shared" ca="1" si="4"/>
        <v>44899.125</v>
      </c>
    </row>
    <row r="62" spans="3:12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Reports\DClick\Images\SubCategoryVN_NetSales.png</v>
      </c>
      <c r="E62" t="str">
        <f t="shared" si="2"/>
        <v>SubCategoryVN_NetSales.png</v>
      </c>
      <c r="H62" t="str">
        <f t="shared" si="3"/>
        <v>SubCategoryVN</v>
      </c>
      <c r="J62" s="3" t="b">
        <v>1</v>
      </c>
      <c r="K62" s="10" t="b" cm="1">
        <f t="array" aca="1" ref="K62" ca="1">fileModifiedDate("D:\OneDrive-Sync\Christian Dior Couture\APAC Management - Reports - Reports\DClick\Images\"&amp;C25&amp;"_Units.png", NOW())</f>
        <v>0</v>
      </c>
      <c r="L62" s="4">
        <f t="shared" ca="1" si="4"/>
        <v>44899.125</v>
      </c>
    </row>
    <row r="63" spans="3:12" x14ac:dyDescent="0.25">
      <c r="C63" s="13" t="b">
        <f t="shared" ca="1" si="0"/>
        <v>1</v>
      </c>
      <c r="D63" t="str">
        <f t="shared" si="1"/>
        <v>D:\OneDrive-Sync\Christian Dior Couture\APAC Management - Reports - Reports\DClick\Images\wBags_NetSales.png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cm="1">
        <f t="array" aca="1" ref="K63" ca="1">fileModifiedDate("D:\OneDrive-Sync\Christian Dior Couture\APAC Management - Reports - Reports\DClick\Images\"&amp;C26&amp;"_Units.png", NOW())</f>
        <v>44899.291747685187</v>
      </c>
      <c r="L63" s="4">
        <f t="shared" ca="1" si="4"/>
        <v>44899.125</v>
      </c>
    </row>
    <row r="64" spans="3:12" x14ac:dyDescent="0.25">
      <c r="C64" s="13" t="b">
        <f t="shared" ca="1" si="0"/>
        <v>1</v>
      </c>
      <c r="D64" t="str">
        <f t="shared" si="1"/>
        <v>D:\OneDrive-Sync\Christian Dior Couture\APAC Management - Reports - Reports\DClick\Images\wRTW_NetSales.png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cm="1">
        <f t="array" aca="1" ref="K64" ca="1">fileModifiedDate("D:\OneDrive-Sync\Christian Dior Couture\APAC Management - Reports - Reports\DClick\Images\"&amp;C27&amp;"_Units.png", NOW())</f>
        <v>44899.293009259258</v>
      </c>
      <c r="L64" s="4">
        <f t="shared" ca="1" si="4"/>
        <v>44899.125</v>
      </c>
    </row>
    <row r="65" spans="1:12" x14ac:dyDescent="0.25">
      <c r="C65" s="13" t="b">
        <f t="shared" ca="1" si="0"/>
        <v>1</v>
      </c>
      <c r="D65" t="str">
        <f t="shared" si="1"/>
        <v>D:\OneDrive-Sync\Christian Dior Couture\APAC Management - Reports - Reports\DClick\Images\wShoes_NetSales.png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cm="1">
        <f t="array" aca="1" ref="K65" ca="1">fileModifiedDate("D:\OneDrive-Sync\Christian Dior Couture\APAC Management - Reports - Reports\DClick\Images\"&amp;C28&amp;"_Units.png", NOW())</f>
        <v>44899.294236111113</v>
      </c>
      <c r="L65" s="4">
        <f t="shared" ca="1" si="4"/>
        <v>44899.125</v>
      </c>
    </row>
    <row r="66" spans="1:12" x14ac:dyDescent="0.25">
      <c r="C66" s="13" t="b">
        <f t="shared" ca="1" si="0"/>
        <v>1</v>
      </c>
      <c r="D66" t="str">
        <f t="shared" si="1"/>
        <v>D:\OneDrive-Sync\Christian Dior Couture\APAC Management - Reports - Reports\DClick\Images\wAccessories_NetSales.png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cm="1">
        <f t="array" aca="1" ref="K66" ca="1">fileModifiedDate("D:\OneDrive-Sync\Christian Dior Couture\APAC Management - Reports - Reports\DClick\Images\"&amp;C29&amp;"_Units.png", NOW())</f>
        <v>44899.295497685183</v>
      </c>
      <c r="L66" s="4">
        <f t="shared" ca="1" si="4"/>
        <v>44899.125</v>
      </c>
    </row>
    <row r="67" spans="1:12" x14ac:dyDescent="0.25">
      <c r="C67" s="13" t="b">
        <f t="shared" ca="1" si="0"/>
        <v>1</v>
      </c>
      <c r="D67" t="str">
        <f t="shared" si="1"/>
        <v>D:\OneDrive-Sync\Christian Dior Couture\APAC Management - Reports - Reports\DClick\Images\JewelleryAndWatches_NetSales.png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cm="1">
        <f t="array" aca="1" ref="K67" ca="1">fileModifiedDate("D:\OneDrive-Sync\Christian Dior Couture\APAC Management - Reports - Reports\DClick\Images\"&amp;C30&amp;"_Units.png", NOW())</f>
        <v>44899.296724537038</v>
      </c>
      <c r="L67" s="4">
        <f t="shared" ca="1" si="4"/>
        <v>44899.125</v>
      </c>
    </row>
    <row r="68" spans="1:12" x14ac:dyDescent="0.25">
      <c r="C68" s="13" t="b">
        <f t="shared" ca="1" si="0"/>
        <v>1</v>
      </c>
      <c r="D68" t="str">
        <f t="shared" si="1"/>
        <v>D:\OneDrive-Sync\Christian Dior Couture\APAC Management - Reports - Reports\DClick\Images\Mens_NetSales.png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cm="1">
        <f t="array" aca="1" ref="K68" ca="1">fileModifiedDate("D:\OneDrive-Sync\Christian Dior Couture\APAC Management - Reports - Reports\DClick\Images\"&amp;C31&amp;"_Units.png", NOW())</f>
        <v>44899.297986111109</v>
      </c>
      <c r="L68" s="4">
        <f t="shared" ca="1" si="4"/>
        <v>44899.125</v>
      </c>
    </row>
    <row r="69" spans="1:12" x14ac:dyDescent="0.25">
      <c r="C69" s="13" t="b">
        <f t="shared" ca="1" si="0"/>
        <v>1</v>
      </c>
      <c r="D69" t="str">
        <f t="shared" si="1"/>
        <v>D:\OneDrive-Sync\Christian Dior Couture\APAC Management - Reports - Reports\DClick\Images\Baby_NetSales.png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cm="1">
        <f t="array" aca="1" ref="K69" ca="1">fileModifiedDate("D:\OneDrive-Sync\Christian Dior Couture\APAC Management - Reports - Reports\DClick\Images\"&amp;C32&amp;"_Units.png", NOW())</f>
        <v>44899.299201388887</v>
      </c>
      <c r="L69" s="4">
        <f t="shared" ca="1" si="4"/>
        <v>44899.125</v>
      </c>
    </row>
    <row r="70" spans="1:12" x14ac:dyDescent="0.25">
      <c r="C70" s="13" t="b">
        <f t="shared" ca="1" si="0"/>
        <v>1</v>
      </c>
      <c r="D70" t="str">
        <f t="shared" si="1"/>
        <v>D:\OneDrive-Sync\Christian Dior Couture\APAC Management - Reports - Reports\DClick\Images\wSLG_NetSales.png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cm="1">
        <f t="array" aca="1" ref="K70" ca="1">fileModifiedDate("D:\OneDrive-Sync\Christian Dior Couture\APAC Management - Reports - Reports\DClick\Images\"&amp;C33&amp;"_Units.png", NOW())</f>
        <v>44899.300474537034</v>
      </c>
      <c r="L70" s="4">
        <f t="shared" ca="1" si="4"/>
        <v>44899.125</v>
      </c>
    </row>
    <row r="71" spans="1:12" x14ac:dyDescent="0.25">
      <c r="C71" s="13" t="b">
        <f t="shared" ca="1" si="0"/>
        <v>1</v>
      </c>
      <c r="D71" t="str">
        <f t="shared" si="1"/>
        <v>D:\OneDrive-Sync\Christian Dior Couture\APAC Management - Reports - Reports\DClick\Images\ALL_NetSales.png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cm="1">
        <f t="array" aca="1" ref="K71" ca="1">fileModifiedDate("D:\OneDrive-Sync\Christian Dior Couture\APAC Management - Reports - Reports\DClick\Images\"&amp;C34&amp;"_Units.png", NOW())</f>
        <v>44899.301701388889</v>
      </c>
      <c r="L71" s="4">
        <f t="shared" ca="1" si="4"/>
        <v>44899.125</v>
      </c>
    </row>
    <row r="72" spans="1:12" x14ac:dyDescent="0.25">
      <c r="C72" s="13" t="b">
        <f t="shared" ca="1" si="0"/>
        <v>1</v>
      </c>
      <c r="D72" t="str">
        <f t="shared" si="1"/>
        <v>D:\OneDrive-Sync\Christian Dior Couture\APAC Management - Reports - Reports\DClick\Images\mBags_mRTW_NetSales.png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cm="1">
        <f t="array" aca="1" ref="K72" ca="1">fileModifiedDate("D:\OneDrive-Sync\Christian Dior Couture\APAC Management - Reports - Reports\DClick\Images\"&amp;C35&amp;"_Units.png", NOW())</f>
        <v>44899.302986111114</v>
      </c>
      <c r="L72" s="4">
        <f t="shared" ca="1" si="4"/>
        <v>44899.125</v>
      </c>
    </row>
    <row r="73" spans="1:12" x14ac:dyDescent="0.25">
      <c r="C73" s="13" t="b">
        <f t="shared" ca="1" si="0"/>
        <v>1</v>
      </c>
      <c r="D73" t="str">
        <f t="shared" si="1"/>
        <v>D:\OneDrive-Sync\Christian Dior Couture\APAC Management - Reports - Reports\DClick\Images\mAcc_mShoes_NetSales.png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cm="1">
        <f t="array" aca="1" ref="K73" ca="1">fileModifiedDate("D:\OneDrive-Sync\Christian Dior Couture\APAC Management - Reports - Reports\DClick\Images\"&amp;C36&amp;"_Units.png", NOW())</f>
        <v>44899.304282407407</v>
      </c>
      <c r="L73" s="4">
        <f t="shared" ca="1" si="4"/>
        <v>44899.125</v>
      </c>
    </row>
    <row r="74" spans="1:12" x14ac:dyDescent="0.25">
      <c r="C74" s="13" t="b">
        <f t="shared" ca="1" si="0"/>
        <v>1</v>
      </c>
      <c r="D74" t="str">
        <f t="shared" si="1"/>
        <v>D:\OneDrive-Sync\Christian Dior Couture\APAC Management - Reports - Reports\DClick\Images\mSLG_mSpecial_NetSales.png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cm="1">
        <f t="array" aca="1" ref="K74" ca="1">fileModifiedDate("D:\OneDrive-Sync\Christian Dior Couture\APAC Management - Reports - Reports\DClick\Images\"&amp;C37&amp;"_Units.png", NOW())</f>
        <v>44899.305543981478</v>
      </c>
      <c r="L74" s="4">
        <f t="shared" ca="1" si="4"/>
        <v>44899.125</v>
      </c>
    </row>
    <row r="76" spans="1:12" x14ac:dyDescent="0.25">
      <c r="A76" t="s">
        <v>15</v>
      </c>
      <c r="B76" t="s">
        <v>812</v>
      </c>
      <c r="C76" t="b">
        <v>0</v>
      </c>
      <c r="H76" t="str">
        <f>H39</f>
        <v>CountryStore</v>
      </c>
    </row>
    <row r="77" spans="1:12" x14ac:dyDescent="0.25">
      <c r="C77" t="b">
        <v>0</v>
      </c>
      <c r="H77" t="str">
        <f t="shared" ref="H77:H111" si="5">H40</f>
        <v>SubCategory</v>
      </c>
    </row>
    <row r="78" spans="1:12" x14ac:dyDescent="0.25">
      <c r="C78" t="b">
        <v>1</v>
      </c>
      <c r="D78">
        <v>870</v>
      </c>
      <c r="H78" t="str">
        <f t="shared" si="5"/>
        <v>CountryStoreHKMO</v>
      </c>
    </row>
    <row r="79" spans="1:12" x14ac:dyDescent="0.25">
      <c r="C79" t="b">
        <v>1</v>
      </c>
      <c r="D79">
        <v>870</v>
      </c>
      <c r="H79" t="str">
        <f t="shared" si="5"/>
        <v>CountryStoreKR</v>
      </c>
    </row>
    <row r="80" spans="1:12" x14ac:dyDescent="0.25">
      <c r="C80" t="b">
        <v>1</v>
      </c>
      <c r="D80">
        <v>800</v>
      </c>
      <c r="H80" t="str">
        <f t="shared" si="5"/>
        <v>CountryStoreAUNZ</v>
      </c>
    </row>
    <row r="81" spans="3:8" x14ac:dyDescent="0.25">
      <c r="C81" t="b">
        <v>1</v>
      </c>
      <c r="D81">
        <v>600</v>
      </c>
      <c r="H81" t="str">
        <f t="shared" si="5"/>
        <v>CountryStoreSG</v>
      </c>
    </row>
    <row r="82" spans="3:8" x14ac:dyDescent="0.25">
      <c r="C82" t="b">
        <v>1</v>
      </c>
      <c r="D82">
        <v>600</v>
      </c>
      <c r="H82" t="str">
        <f t="shared" si="5"/>
        <v>CountryStoreMY</v>
      </c>
    </row>
    <row r="83" spans="3:8" x14ac:dyDescent="0.25">
      <c r="C83" t="b">
        <v>1</v>
      </c>
      <c r="D83">
        <v>600</v>
      </c>
      <c r="H83" t="str">
        <f t="shared" si="5"/>
        <v>CountryStoreID</v>
      </c>
    </row>
    <row r="84" spans="3:8" x14ac:dyDescent="0.25">
      <c r="C84" t="b">
        <v>1</v>
      </c>
      <c r="D84">
        <v>600</v>
      </c>
      <c r="H84" t="str">
        <f t="shared" si="5"/>
        <v>CountryStoreIN</v>
      </c>
    </row>
    <row r="85" spans="3:8" x14ac:dyDescent="0.25">
      <c r="C85" t="b">
        <v>1</v>
      </c>
      <c r="D85">
        <v>600</v>
      </c>
      <c r="H85" t="str">
        <f t="shared" si="5"/>
        <v>CountryStoreVN</v>
      </c>
    </row>
    <row r="86" spans="3:8" x14ac:dyDescent="0.25">
      <c r="C86" t="b">
        <v>1</v>
      </c>
      <c r="D86">
        <v>600</v>
      </c>
      <c r="H86" t="str">
        <f t="shared" si="5"/>
        <v>CountryStoreTH</v>
      </c>
    </row>
    <row r="87" spans="3:8" x14ac:dyDescent="0.25">
      <c r="C87" t="b">
        <v>1</v>
      </c>
      <c r="D87">
        <v>600</v>
      </c>
      <c r="H87" t="str">
        <f t="shared" si="5"/>
        <v>CountryStoreTW</v>
      </c>
    </row>
    <row r="88" spans="3:8" x14ac:dyDescent="0.25">
      <c r="C88" t="b">
        <v>1</v>
      </c>
      <c r="D88">
        <v>600</v>
      </c>
      <c r="H88" t="str">
        <f t="shared" si="5"/>
        <v>CountryStorePH</v>
      </c>
    </row>
    <row r="89" spans="3:8" x14ac:dyDescent="0.25">
      <c r="C89" t="b">
        <v>0</v>
      </c>
      <c r="H89" t="str">
        <f t="shared" si="5"/>
        <v>SubCategoryAUNZ</v>
      </c>
    </row>
    <row r="90" spans="3:8" x14ac:dyDescent="0.25">
      <c r="C90" t="b">
        <v>0</v>
      </c>
      <c r="H90" t="str">
        <f t="shared" si="5"/>
        <v>SubCategoryHKMO</v>
      </c>
    </row>
    <row r="91" spans="3:8" x14ac:dyDescent="0.25">
      <c r="C91" t="b">
        <v>0</v>
      </c>
      <c r="H91" t="str">
        <f t="shared" si="5"/>
        <v>SubCategoryKR</v>
      </c>
    </row>
    <row r="92" spans="3:8" x14ac:dyDescent="0.25">
      <c r="C92" t="b">
        <v>0</v>
      </c>
      <c r="H92" t="str">
        <f t="shared" si="5"/>
        <v>SubCategorySG</v>
      </c>
    </row>
    <row r="93" spans="3:8" x14ac:dyDescent="0.25">
      <c r="C93" t="b">
        <v>0</v>
      </c>
      <c r="H93" t="str">
        <f t="shared" si="5"/>
        <v>SubCategoryMY</v>
      </c>
    </row>
    <row r="94" spans="3:8" x14ac:dyDescent="0.25">
      <c r="C94" t="b">
        <v>0</v>
      </c>
      <c r="H94" t="str">
        <f t="shared" si="5"/>
        <v>SubCategoryIN</v>
      </c>
    </row>
    <row r="95" spans="3:8" x14ac:dyDescent="0.25">
      <c r="C95" t="b">
        <v>0</v>
      </c>
      <c r="H95" t="str">
        <f t="shared" si="5"/>
        <v>SubCategoryID</v>
      </c>
    </row>
    <row r="96" spans="3:8" x14ac:dyDescent="0.25">
      <c r="C96" t="b">
        <v>0</v>
      </c>
      <c r="H96" t="str">
        <f t="shared" si="5"/>
        <v>SubCategoryPH</v>
      </c>
    </row>
    <row r="97" spans="3:8" x14ac:dyDescent="0.25">
      <c r="C97" t="b">
        <v>0</v>
      </c>
      <c r="H97" t="str">
        <f t="shared" si="5"/>
        <v>SubCategoryTW</v>
      </c>
    </row>
    <row r="98" spans="3:8" x14ac:dyDescent="0.25">
      <c r="C98" t="b">
        <v>0</v>
      </c>
      <c r="H98" t="str">
        <f t="shared" si="5"/>
        <v>SubCategoryTH</v>
      </c>
    </row>
    <row r="99" spans="3:8" x14ac:dyDescent="0.25">
      <c r="C99" t="b">
        <v>0</v>
      </c>
      <c r="H99" t="str">
        <f t="shared" si="5"/>
        <v>SubCategoryVN</v>
      </c>
    </row>
    <row r="100" spans="3:8" x14ac:dyDescent="0.25">
      <c r="C100" t="b">
        <v>0</v>
      </c>
      <c r="H100" t="str">
        <f t="shared" si="5"/>
        <v>wBags</v>
      </c>
    </row>
    <row r="101" spans="3:8" x14ac:dyDescent="0.25">
      <c r="C101" t="b">
        <v>0</v>
      </c>
      <c r="H101" t="str">
        <f t="shared" si="5"/>
        <v>wRTW</v>
      </c>
    </row>
    <row r="102" spans="3:8" x14ac:dyDescent="0.25">
      <c r="C102" t="b">
        <v>0</v>
      </c>
      <c r="H102" t="str">
        <f t="shared" si="5"/>
        <v>wShoes</v>
      </c>
    </row>
    <row r="103" spans="3:8" x14ac:dyDescent="0.25">
      <c r="C103" t="b">
        <v>0</v>
      </c>
      <c r="H103" t="str">
        <f t="shared" si="5"/>
        <v>wAccessories</v>
      </c>
    </row>
    <row r="104" spans="3:8" x14ac:dyDescent="0.25">
      <c r="C104" t="b">
        <v>0</v>
      </c>
      <c r="H104" t="str">
        <f t="shared" si="5"/>
        <v>JewelleryAndWatches</v>
      </c>
    </row>
    <row r="105" spans="3:8" x14ac:dyDescent="0.25">
      <c r="C105" t="b">
        <v>0</v>
      </c>
      <c r="H105" t="str">
        <f t="shared" si="5"/>
        <v>Mens</v>
      </c>
    </row>
    <row r="106" spans="3:8" x14ac:dyDescent="0.25">
      <c r="C106" t="b">
        <v>0</v>
      </c>
      <c r="H106" t="str">
        <f t="shared" si="5"/>
        <v>Baby</v>
      </c>
    </row>
    <row r="107" spans="3:8" x14ac:dyDescent="0.25">
      <c r="C107" t="b">
        <v>0</v>
      </c>
      <c r="H107" t="str">
        <f t="shared" si="5"/>
        <v>wSLG</v>
      </c>
    </row>
    <row r="108" spans="3:8" x14ac:dyDescent="0.25">
      <c r="C108" t="b">
        <v>0</v>
      </c>
      <c r="H108" t="str">
        <f t="shared" si="5"/>
        <v>ALL</v>
      </c>
    </row>
    <row r="109" spans="3:8" x14ac:dyDescent="0.25">
      <c r="C109" t="b">
        <v>0</v>
      </c>
      <c r="H109" t="str">
        <f t="shared" si="5"/>
        <v>mBags_mRTW</v>
      </c>
    </row>
    <row r="110" spans="3:8" x14ac:dyDescent="0.25">
      <c r="C110" t="b">
        <v>0</v>
      </c>
      <c r="H110" t="str">
        <f t="shared" si="5"/>
        <v>mAcc_mShoes</v>
      </c>
    </row>
    <row r="111" spans="3:8" x14ac:dyDescent="0.25">
      <c r="C111" t="b">
        <v>0</v>
      </c>
      <c r="H111" t="str">
        <f t="shared" si="5"/>
        <v>mSLG_mSpecial</v>
      </c>
    </row>
    <row r="114" spans="1:8" x14ac:dyDescent="0.25">
      <c r="A114" t="s">
        <v>15</v>
      </c>
      <c r="B114" s="3" t="s">
        <v>358</v>
      </c>
      <c r="C114" t="s">
        <v>360</v>
      </c>
      <c r="D114" t="s">
        <v>363</v>
      </c>
      <c r="E114" s="3" t="s">
        <v>432</v>
      </c>
      <c r="H114" t="s">
        <v>362</v>
      </c>
    </row>
    <row r="115" spans="1:8" x14ac:dyDescent="0.25">
      <c r="C115" t="s">
        <v>253</v>
      </c>
      <c r="D115" t="s">
        <v>361</v>
      </c>
    </row>
    <row r="116" spans="1:8" x14ac:dyDescent="0.25">
      <c r="C116" t="s">
        <v>365</v>
      </c>
      <c r="D116" t="s">
        <v>363</v>
      </c>
    </row>
    <row r="117" spans="1:8" x14ac:dyDescent="0.25">
      <c r="C117" t="s">
        <v>367</v>
      </c>
      <c r="D117" t="s">
        <v>729</v>
      </c>
      <c r="E117" t="s">
        <v>700</v>
      </c>
      <c r="H117" t="s">
        <v>699</v>
      </c>
    </row>
    <row r="118" spans="1:8" x14ac:dyDescent="0.25">
      <c r="C118" t="s">
        <v>532</v>
      </c>
      <c r="D118" t="s">
        <v>698</v>
      </c>
      <c r="E118" s="6"/>
    </row>
    <row r="119" spans="1:8" x14ac:dyDescent="0.25">
      <c r="C119" t="s">
        <v>533</v>
      </c>
      <c r="D119" t="s">
        <v>536</v>
      </c>
      <c r="E119" s="6"/>
    </row>
    <row r="121" spans="1:8" x14ac:dyDescent="0.25">
      <c r="A121" t="s">
        <v>15</v>
      </c>
      <c r="B121" t="s">
        <v>9</v>
      </c>
      <c r="C121" t="s">
        <v>93</v>
      </c>
      <c r="D121" t="s">
        <v>23</v>
      </c>
      <c r="E121" s="3" t="s">
        <v>433</v>
      </c>
    </row>
    <row r="123" spans="1:8" x14ac:dyDescent="0.25">
      <c r="A123" t="s">
        <v>15</v>
      </c>
      <c r="B123" t="s">
        <v>405</v>
      </c>
      <c r="C123" t="s">
        <v>406</v>
      </c>
      <c r="E123" s="3" t="s">
        <v>436</v>
      </c>
    </row>
    <row r="124" spans="1:8" x14ac:dyDescent="0.25">
      <c r="E124" s="3"/>
    </row>
    <row r="125" spans="1:8" x14ac:dyDescent="0.25">
      <c r="A125" t="s">
        <v>16</v>
      </c>
      <c r="B125" s="3" t="s">
        <v>25</v>
      </c>
      <c r="C125" t="s">
        <v>757</v>
      </c>
      <c r="E125" t="s">
        <v>148</v>
      </c>
    </row>
    <row r="126" spans="1:8" x14ac:dyDescent="0.25">
      <c r="B126" s="3"/>
      <c r="C126" t="s">
        <v>435</v>
      </c>
      <c r="D126" s="3"/>
    </row>
    <row r="127" spans="1:8" x14ac:dyDescent="0.25">
      <c r="C127" t="s">
        <v>95</v>
      </c>
    </row>
    <row r="128" spans="1:8" x14ac:dyDescent="0.25">
      <c r="B128" s="3"/>
      <c r="C128" t="s">
        <v>760</v>
      </c>
      <c r="E128" t="s">
        <v>371</v>
      </c>
    </row>
    <row r="129" spans="1:5" x14ac:dyDescent="0.25">
      <c r="A129" t="s">
        <v>16</v>
      </c>
      <c r="B129" s="3" t="s">
        <v>667</v>
      </c>
      <c r="C129" t="s">
        <v>824</v>
      </c>
    </row>
    <row r="131" spans="1:5" x14ac:dyDescent="0.25">
      <c r="A131" t="s">
        <v>16</v>
      </c>
      <c r="B131" s="3" t="s">
        <v>95</v>
      </c>
      <c r="C131" t="s">
        <v>94</v>
      </c>
    </row>
    <row r="132" spans="1:5" x14ac:dyDescent="0.25">
      <c r="C132" t="s">
        <v>688</v>
      </c>
    </row>
    <row r="133" spans="1:5" x14ac:dyDescent="0.25">
      <c r="C133" t="s">
        <v>339</v>
      </c>
      <c r="E133" t="s">
        <v>104</v>
      </c>
    </row>
    <row r="134" spans="1:5" x14ac:dyDescent="0.25">
      <c r="C134" t="s">
        <v>114</v>
      </c>
    </row>
    <row r="135" spans="1:5" x14ac:dyDescent="0.25">
      <c r="A135" t="s">
        <v>16</v>
      </c>
      <c r="B135" t="s">
        <v>114</v>
      </c>
      <c r="C135" t="s">
        <v>448</v>
      </c>
      <c r="E135" t="s">
        <v>115</v>
      </c>
    </row>
    <row r="137" spans="1:5" x14ac:dyDescent="0.25">
      <c r="A137" t="s">
        <v>16</v>
      </c>
      <c r="B137" t="s">
        <v>759</v>
      </c>
      <c r="C137" t="s">
        <v>761</v>
      </c>
    </row>
    <row r="138" spans="1:5" x14ac:dyDescent="0.25">
      <c r="A138" t="s">
        <v>16</v>
      </c>
      <c r="B138" s="3" t="s">
        <v>32</v>
      </c>
      <c r="C138" t="s">
        <v>721</v>
      </c>
    </row>
    <row r="139" spans="1:5" x14ac:dyDescent="0.25">
      <c r="B139" s="3"/>
      <c r="C139" t="s">
        <v>118</v>
      </c>
    </row>
    <row r="140" spans="1:5" x14ac:dyDescent="0.25">
      <c r="C140" t="s">
        <v>122</v>
      </c>
    </row>
    <row r="141" spans="1:5" x14ac:dyDescent="0.25">
      <c r="C141" t="s">
        <v>57</v>
      </c>
    </row>
    <row r="142" spans="1:5" x14ac:dyDescent="0.25">
      <c r="C142" t="s">
        <v>56</v>
      </c>
    </row>
    <row r="143" spans="1:5" x14ac:dyDescent="0.25">
      <c r="C143" t="s">
        <v>377</v>
      </c>
    </row>
    <row r="144" spans="1:5" x14ac:dyDescent="0.25">
      <c r="C144" t="s">
        <v>722</v>
      </c>
    </row>
    <row r="145" spans="1:12" x14ac:dyDescent="0.25">
      <c r="C145" t="s">
        <v>401</v>
      </c>
      <c r="E145" t="s">
        <v>64</v>
      </c>
      <c r="L145" t="s">
        <v>401</v>
      </c>
    </row>
    <row r="146" spans="1:12" x14ac:dyDescent="0.25">
      <c r="C146" t="s">
        <v>58</v>
      </c>
    </row>
    <row r="147" spans="1:12" x14ac:dyDescent="0.25">
      <c r="C147" t="s">
        <v>377</v>
      </c>
    </row>
    <row r="148" spans="1:12" x14ac:dyDescent="0.25">
      <c r="C148" t="s">
        <v>402</v>
      </c>
      <c r="D148" t="s">
        <v>402</v>
      </c>
    </row>
    <row r="149" spans="1:12" x14ac:dyDescent="0.25">
      <c r="C149" t="s">
        <v>815</v>
      </c>
      <c r="E149" t="s">
        <v>811</v>
      </c>
    </row>
    <row r="151" spans="1:12" x14ac:dyDescent="0.25">
      <c r="A151" t="s">
        <v>16</v>
      </c>
      <c r="B151" t="s">
        <v>823</v>
      </c>
      <c r="C151" t="s">
        <v>815</v>
      </c>
      <c r="E151" t="s">
        <v>811</v>
      </c>
    </row>
    <row r="153" spans="1:12" x14ac:dyDescent="0.25">
      <c r="A153" t="s">
        <v>16</v>
      </c>
      <c r="B153" t="s">
        <v>813</v>
      </c>
      <c r="C153" t="s">
        <v>816</v>
      </c>
    </row>
    <row r="154" spans="1:12" x14ac:dyDescent="0.25">
      <c r="C154" t="s">
        <v>820</v>
      </c>
      <c r="E154" t="s">
        <v>814</v>
      </c>
      <c r="K154" t="s">
        <v>821</v>
      </c>
    </row>
    <row r="156" spans="1:12" x14ac:dyDescent="0.25">
      <c r="A156" t="s">
        <v>16</v>
      </c>
      <c r="B156" t="s">
        <v>818</v>
      </c>
      <c r="C156" t="s">
        <v>819</v>
      </c>
    </row>
    <row r="159" spans="1:12" x14ac:dyDescent="0.25">
      <c r="A159" t="s">
        <v>16</v>
      </c>
      <c r="B159" t="s">
        <v>118</v>
      </c>
      <c r="C159" t="s">
        <v>399</v>
      </c>
      <c r="D159" t="s">
        <v>29</v>
      </c>
      <c r="E159" t="s">
        <v>117</v>
      </c>
    </row>
    <row r="160" spans="1:12" x14ac:dyDescent="0.25">
      <c r="C160" t="s">
        <v>441</v>
      </c>
    </row>
    <row r="161" spans="1:5" x14ac:dyDescent="0.25">
      <c r="A161" t="s">
        <v>16</v>
      </c>
      <c r="B161" t="s">
        <v>441</v>
      </c>
      <c r="C161" t="s">
        <v>442</v>
      </c>
    </row>
    <row r="162" spans="1:5" x14ac:dyDescent="0.25">
      <c r="A162" t="s">
        <v>16</v>
      </c>
      <c r="B162" t="s">
        <v>122</v>
      </c>
      <c r="C162" t="s">
        <v>348</v>
      </c>
      <c r="E162" t="s">
        <v>126</v>
      </c>
    </row>
    <row r="163" spans="1:5" x14ac:dyDescent="0.25">
      <c r="C163" t="s">
        <v>349</v>
      </c>
      <c r="E163" t="s">
        <v>127</v>
      </c>
    </row>
    <row r="164" spans="1:5" x14ac:dyDescent="0.25">
      <c r="A164" t="s">
        <v>16</v>
      </c>
      <c r="B164" t="s">
        <v>124</v>
      </c>
      <c r="C164" t="s">
        <v>350</v>
      </c>
      <c r="E164" t="s">
        <v>128</v>
      </c>
    </row>
    <row r="165" spans="1:5" x14ac:dyDescent="0.25">
      <c r="C165" t="s">
        <v>2</v>
      </c>
    </row>
    <row r="166" spans="1:5" x14ac:dyDescent="0.25">
      <c r="C166" t="s">
        <v>129</v>
      </c>
    </row>
    <row r="167" spans="1:5" x14ac:dyDescent="0.25">
      <c r="C167" t="s">
        <v>120</v>
      </c>
      <c r="E167" t="s">
        <v>131</v>
      </c>
    </row>
    <row r="168" spans="1:5" x14ac:dyDescent="0.25">
      <c r="C168" t="s">
        <v>121</v>
      </c>
      <c r="E168" t="s">
        <v>132</v>
      </c>
    </row>
    <row r="169" spans="1:5" x14ac:dyDescent="0.25">
      <c r="C169" t="s">
        <v>351</v>
      </c>
      <c r="E169" t="s">
        <v>133</v>
      </c>
    </row>
    <row r="170" spans="1:5" x14ac:dyDescent="0.25">
      <c r="A170" t="s">
        <v>16</v>
      </c>
      <c r="B170" t="s">
        <v>134</v>
      </c>
      <c r="C170" t="s">
        <v>27</v>
      </c>
    </row>
    <row r="172" spans="1:5" x14ac:dyDescent="0.25">
      <c r="A172" t="s">
        <v>16</v>
      </c>
      <c r="B172" t="s">
        <v>57</v>
      </c>
      <c r="C172" t="s">
        <v>61</v>
      </c>
      <c r="E172" t="s">
        <v>99</v>
      </c>
    </row>
    <row r="173" spans="1:5" x14ac:dyDescent="0.25">
      <c r="A173" t="s">
        <v>16</v>
      </c>
      <c r="B173" t="s">
        <v>56</v>
      </c>
      <c r="C173" t="s">
        <v>60</v>
      </c>
      <c r="E173" t="s">
        <v>100</v>
      </c>
    </row>
    <row r="174" spans="1:5" x14ac:dyDescent="0.25">
      <c r="A174" t="s">
        <v>16</v>
      </c>
      <c r="B174" t="s">
        <v>58</v>
      </c>
      <c r="C174" t="s">
        <v>59</v>
      </c>
      <c r="E174" t="s">
        <v>101</v>
      </c>
    </row>
    <row r="175" spans="1:5" x14ac:dyDescent="0.25">
      <c r="A175" t="s">
        <v>16</v>
      </c>
      <c r="B175" t="s">
        <v>63</v>
      </c>
      <c r="C175" t="s">
        <v>342</v>
      </c>
      <c r="E175" t="s">
        <v>102</v>
      </c>
    </row>
    <row r="177" spans="1:5" x14ac:dyDescent="0.25">
      <c r="A177" t="s">
        <v>16</v>
      </c>
      <c r="B177" t="s">
        <v>377</v>
      </c>
      <c r="C177" t="s">
        <v>340</v>
      </c>
      <c r="E177" t="s">
        <v>143</v>
      </c>
    </row>
    <row r="178" spans="1:5" x14ac:dyDescent="0.25">
      <c r="C178" t="s">
        <v>447</v>
      </c>
    </row>
    <row r="179" spans="1:5" x14ac:dyDescent="0.25">
      <c r="C179" t="s">
        <v>63</v>
      </c>
      <c r="E179" t="s">
        <v>144</v>
      </c>
    </row>
    <row r="180" spans="1:5" x14ac:dyDescent="0.25">
      <c r="C180" t="s">
        <v>17</v>
      </c>
      <c r="E180" t="s">
        <v>439</v>
      </c>
    </row>
    <row r="181" spans="1:5" x14ac:dyDescent="0.25">
      <c r="A181" t="s">
        <v>16</v>
      </c>
      <c r="B181" t="s">
        <v>17</v>
      </c>
      <c r="C181" t="s">
        <v>443</v>
      </c>
    </row>
    <row r="182" spans="1:5" x14ac:dyDescent="0.25">
      <c r="C182" t="s">
        <v>3</v>
      </c>
      <c r="E182" t="s">
        <v>97</v>
      </c>
    </row>
    <row r="183" spans="1:5" x14ac:dyDescent="0.25">
      <c r="C183" t="s">
        <v>444</v>
      </c>
      <c r="E183" t="s">
        <v>355</v>
      </c>
    </row>
    <row r="184" spans="1:5" x14ac:dyDescent="0.25">
      <c r="C184" t="s">
        <v>4</v>
      </c>
      <c r="E184" t="s">
        <v>96</v>
      </c>
    </row>
    <row r="185" spans="1:5" x14ac:dyDescent="0.25">
      <c r="C185" t="s">
        <v>445</v>
      </c>
    </row>
    <row r="186" spans="1:5" x14ac:dyDescent="0.25">
      <c r="C186" t="s">
        <v>5</v>
      </c>
    </row>
    <row r="187" spans="1:5" x14ac:dyDescent="0.25">
      <c r="C187" t="s">
        <v>446</v>
      </c>
    </row>
    <row r="188" spans="1:5" x14ac:dyDescent="0.25">
      <c r="C188" t="s">
        <v>6</v>
      </c>
    </row>
    <row r="189" spans="1:5" x14ac:dyDescent="0.25">
      <c r="C189" t="s">
        <v>24</v>
      </c>
      <c r="E189" t="s">
        <v>146</v>
      </c>
    </row>
    <row r="190" spans="1:5" x14ac:dyDescent="0.25">
      <c r="C190" t="s">
        <v>341</v>
      </c>
      <c r="E190" t="s">
        <v>145</v>
      </c>
    </row>
    <row r="191" spans="1:5" x14ac:dyDescent="0.25">
      <c r="C191" t="s">
        <v>65</v>
      </c>
      <c r="E191" t="s">
        <v>137</v>
      </c>
    </row>
    <row r="192" spans="1:5" x14ac:dyDescent="0.25">
      <c r="A192" t="s">
        <v>16</v>
      </c>
      <c r="B192" t="s">
        <v>378</v>
      </c>
      <c r="C192" t="s">
        <v>382</v>
      </c>
    </row>
    <row r="193" spans="3:7" x14ac:dyDescent="0.25">
      <c r="C193" t="s">
        <v>3</v>
      </c>
      <c r="E193" t="s">
        <v>97</v>
      </c>
    </row>
    <row r="194" spans="3:7" x14ac:dyDescent="0.25">
      <c r="C194" t="s">
        <v>383</v>
      </c>
      <c r="E194" t="s">
        <v>355</v>
      </c>
    </row>
    <row r="195" spans="3:7" x14ac:dyDescent="0.25">
      <c r="C195" t="s">
        <v>379</v>
      </c>
      <c r="E195" t="s">
        <v>380</v>
      </c>
      <c r="G195" t="s">
        <v>381</v>
      </c>
    </row>
    <row r="196" spans="3:7" x14ac:dyDescent="0.25">
      <c r="C196" t="s">
        <v>384</v>
      </c>
    </row>
    <row r="197" spans="3:7" x14ac:dyDescent="0.25">
      <c r="C197" t="s">
        <v>5</v>
      </c>
    </row>
    <row r="198" spans="3:7" x14ac:dyDescent="0.25">
      <c r="C198" t="s">
        <v>385</v>
      </c>
    </row>
    <row r="199" spans="3:7" x14ac:dyDescent="0.25">
      <c r="C199" t="s">
        <v>6</v>
      </c>
    </row>
    <row r="200" spans="3:7" x14ac:dyDescent="0.25">
      <c r="C200" t="s">
        <v>24</v>
      </c>
      <c r="E200" t="s">
        <v>146</v>
      </c>
    </row>
    <row r="201" spans="3:7" x14ac:dyDescent="0.25">
      <c r="C201" t="s">
        <v>341</v>
      </c>
      <c r="E201" t="s">
        <v>386</v>
      </c>
    </row>
    <row r="202" spans="3:7" x14ac:dyDescent="0.25">
      <c r="C202" t="s">
        <v>65</v>
      </c>
      <c r="E202" t="s">
        <v>137</v>
      </c>
    </row>
  </sheetData>
  <hyperlinks>
    <hyperlink ref="C131" r:id="rId1" xr:uid="{17E54DA8-2CA5-4AFD-9366-4DD24CA9DB35}"/>
    <hyperlink ref="D159" r:id="rId2" display="url:URL_Dclick_Pages" xr:uid="{A9F7CB10-DA6B-4C1B-8BB7-9BFB6122B421}"/>
    <hyperlink ref="C159" r:id="rId3" display="url:URL_Dclick_Pages" xr:uid="{1951437D-4C45-45CE-B860-84E5DDC873BC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workbookViewId="0">
      <selection activeCell="C22" sqref="C22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 x14ac:dyDescent="0.25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 x14ac:dyDescent="0.25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 x14ac:dyDescent="0.25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 x14ac:dyDescent="0.25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 x14ac:dyDescent="0.25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 x14ac:dyDescent="0.25">
      <c r="C10" t="s">
        <v>51</v>
      </c>
      <c r="D10" s="2" t="s">
        <v>480</v>
      </c>
    </row>
    <row r="11" spans="1:16" x14ac:dyDescent="0.25">
      <c r="C11" t="s">
        <v>562</v>
      </c>
      <c r="D11" s="2" t="s">
        <v>563</v>
      </c>
    </row>
    <row r="12" spans="1:16" x14ac:dyDescent="0.25">
      <c r="C12" t="s">
        <v>55</v>
      </c>
      <c r="D12" t="s">
        <v>465</v>
      </c>
    </row>
    <row r="13" spans="1:16" x14ac:dyDescent="0.25">
      <c r="C13" t="s">
        <v>567</v>
      </c>
      <c r="D13" s="2" t="s">
        <v>566</v>
      </c>
    </row>
    <row r="14" spans="1:16" x14ac:dyDescent="0.25">
      <c r="C14" t="s">
        <v>571</v>
      </c>
      <c r="D14" t="s">
        <v>570</v>
      </c>
    </row>
    <row r="15" spans="1:16" x14ac:dyDescent="0.25">
      <c r="C15" t="s">
        <v>575</v>
      </c>
      <c r="D15" t="s">
        <v>574</v>
      </c>
    </row>
    <row r="17" spans="1:15" x14ac:dyDescent="0.25">
      <c r="A17" t="s">
        <v>15</v>
      </c>
      <c r="B17" s="3" t="s">
        <v>358</v>
      </c>
      <c r="C17" t="s">
        <v>360</v>
      </c>
      <c r="D17" t="s">
        <v>363</v>
      </c>
      <c r="E17" s="3" t="s">
        <v>432</v>
      </c>
      <c r="H17" t="s">
        <v>362</v>
      </c>
    </row>
    <row r="18" spans="1:15" x14ac:dyDescent="0.25">
      <c r="C18" t="s">
        <v>253</v>
      </c>
      <c r="D18" t="s">
        <v>361</v>
      </c>
    </row>
    <row r="19" spans="1:15" x14ac:dyDescent="0.25">
      <c r="C19" t="s">
        <v>365</v>
      </c>
      <c r="D19" t="s">
        <v>363</v>
      </c>
    </row>
    <row r="20" spans="1:15" x14ac:dyDescent="0.25">
      <c r="C20" t="s">
        <v>367</v>
      </c>
      <c r="D20" t="s">
        <v>729</v>
      </c>
      <c r="E20" t="s">
        <v>700</v>
      </c>
      <c r="H20" t="s">
        <v>699</v>
      </c>
    </row>
    <row r="21" spans="1:15" x14ac:dyDescent="0.25">
      <c r="C21" t="s">
        <v>36</v>
      </c>
      <c r="D21" t="b">
        <v>0</v>
      </c>
    </row>
    <row r="22" spans="1:15" x14ac:dyDescent="0.25">
      <c r="C22" t="s">
        <v>459</v>
      </c>
      <c r="D22" t="s">
        <v>531</v>
      </c>
      <c r="E22" s="5" t="s">
        <v>457</v>
      </c>
    </row>
    <row r="23" spans="1:15" x14ac:dyDescent="0.25">
      <c r="C23" t="s">
        <v>460</v>
      </c>
      <c r="D23" t="s">
        <v>461</v>
      </c>
      <c r="E23" s="6" t="s">
        <v>458</v>
      </c>
    </row>
    <row r="24" spans="1:15" x14ac:dyDescent="0.25">
      <c r="C24" t="s">
        <v>532</v>
      </c>
      <c r="D24" t="s">
        <v>698</v>
      </c>
      <c r="E24" s="6"/>
    </row>
    <row r="25" spans="1:15" x14ac:dyDescent="0.25">
      <c r="C25" t="s">
        <v>533</v>
      </c>
      <c r="D25" t="s">
        <v>536</v>
      </c>
      <c r="E25" s="6"/>
    </row>
    <row r="27" spans="1:15" x14ac:dyDescent="0.2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 x14ac:dyDescent="0.25">
      <c r="C28" t="s">
        <v>93</v>
      </c>
      <c r="D28" t="s">
        <v>23</v>
      </c>
    </row>
    <row r="30" spans="1:15" x14ac:dyDescent="0.2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 x14ac:dyDescent="0.25">
      <c r="C31" t="s">
        <v>470</v>
      </c>
      <c r="J31" t="s">
        <v>77</v>
      </c>
      <c r="O31" t="s">
        <v>91</v>
      </c>
    </row>
    <row r="32" spans="1:15" x14ac:dyDescent="0.25">
      <c r="C32" t="s">
        <v>471</v>
      </c>
      <c r="J32" t="s">
        <v>78</v>
      </c>
      <c r="O32" t="s">
        <v>76</v>
      </c>
    </row>
    <row r="33" spans="3:15" x14ac:dyDescent="0.25">
      <c r="C33" t="s">
        <v>472</v>
      </c>
      <c r="J33" t="s">
        <v>85</v>
      </c>
      <c r="O33" t="s">
        <v>77</v>
      </c>
    </row>
    <row r="34" spans="3:15" x14ac:dyDescent="0.25">
      <c r="C34" t="s">
        <v>76</v>
      </c>
      <c r="J34" t="s">
        <v>84</v>
      </c>
      <c r="O34" t="s">
        <v>78</v>
      </c>
    </row>
    <row r="35" spans="3:15" x14ac:dyDescent="0.25">
      <c r="C35" t="s">
        <v>77</v>
      </c>
      <c r="J35" t="s">
        <v>91</v>
      </c>
      <c r="O35" t="s">
        <v>85</v>
      </c>
    </row>
    <row r="36" spans="3:15" x14ac:dyDescent="0.25">
      <c r="C36" t="s">
        <v>78</v>
      </c>
      <c r="O36" t="s">
        <v>79</v>
      </c>
    </row>
    <row r="37" spans="3:15" x14ac:dyDescent="0.25">
      <c r="C37" t="s">
        <v>85</v>
      </c>
      <c r="O37" t="s">
        <v>86</v>
      </c>
    </row>
    <row r="38" spans="3:15" x14ac:dyDescent="0.25">
      <c r="C38" t="s">
        <v>564</v>
      </c>
      <c r="O38" t="s">
        <v>80</v>
      </c>
    </row>
    <row r="39" spans="3:15" x14ac:dyDescent="0.25">
      <c r="C39" t="s">
        <v>565</v>
      </c>
      <c r="O39" t="s">
        <v>87</v>
      </c>
    </row>
    <row r="40" spans="3:15" x14ac:dyDescent="0.25">
      <c r="C40" t="s">
        <v>80</v>
      </c>
      <c r="O40" t="s">
        <v>81</v>
      </c>
    </row>
    <row r="41" spans="3:15" x14ac:dyDescent="0.25">
      <c r="C41" t="s">
        <v>87</v>
      </c>
      <c r="O41" t="s">
        <v>88</v>
      </c>
    </row>
    <row r="42" spans="3:15" x14ac:dyDescent="0.25">
      <c r="C42" t="s">
        <v>79</v>
      </c>
      <c r="O42" t="s">
        <v>82</v>
      </c>
    </row>
    <row r="43" spans="3:15" x14ac:dyDescent="0.25">
      <c r="C43" t="s">
        <v>86</v>
      </c>
      <c r="O43" t="s">
        <v>89</v>
      </c>
    </row>
    <row r="44" spans="3:15" x14ac:dyDescent="0.25">
      <c r="C44" t="s">
        <v>82</v>
      </c>
      <c r="O44" t="s">
        <v>83</v>
      </c>
    </row>
    <row r="45" spans="3:15" x14ac:dyDescent="0.25">
      <c r="C45" t="s">
        <v>89</v>
      </c>
      <c r="O45" t="s">
        <v>90</v>
      </c>
    </row>
    <row r="46" spans="3:15" x14ac:dyDescent="0.25">
      <c r="C46" t="s">
        <v>569</v>
      </c>
    </row>
    <row r="47" spans="3:15" x14ac:dyDescent="0.25">
      <c r="C47" t="s">
        <v>568</v>
      </c>
    </row>
    <row r="48" spans="3:15" x14ac:dyDescent="0.25">
      <c r="C48" t="s">
        <v>573</v>
      </c>
    </row>
    <row r="49" spans="1:5" x14ac:dyDescent="0.25">
      <c r="C49" t="s">
        <v>572</v>
      </c>
    </row>
    <row r="50" spans="1:5" x14ac:dyDescent="0.25">
      <c r="C50" t="s">
        <v>577</v>
      </c>
    </row>
    <row r="51" spans="1:5" x14ac:dyDescent="0.25">
      <c r="C51" t="s">
        <v>576</v>
      </c>
    </row>
    <row r="52" spans="1:5" x14ac:dyDescent="0.25">
      <c r="C52" t="s">
        <v>81</v>
      </c>
    </row>
    <row r="53" spans="1:5" x14ac:dyDescent="0.25">
      <c r="C53" t="s">
        <v>88</v>
      </c>
    </row>
    <row r="54" spans="1:5" x14ac:dyDescent="0.25">
      <c r="C54" t="s">
        <v>83</v>
      </c>
    </row>
    <row r="55" spans="1:5" x14ac:dyDescent="0.25">
      <c r="C55" t="s">
        <v>90</v>
      </c>
    </row>
    <row r="57" spans="1:5" x14ac:dyDescent="0.25">
      <c r="A57" t="s">
        <v>16</v>
      </c>
      <c r="B57" t="s">
        <v>67</v>
      </c>
      <c r="C57" t="s">
        <v>68</v>
      </c>
    </row>
    <row r="58" spans="1:5" x14ac:dyDescent="0.25">
      <c r="C58" t="s">
        <v>69</v>
      </c>
    </row>
    <row r="60" spans="1:5" x14ac:dyDescent="0.25">
      <c r="A60" t="s">
        <v>15</v>
      </c>
      <c r="B60" t="s">
        <v>405</v>
      </c>
      <c r="C60" t="s">
        <v>406</v>
      </c>
      <c r="E60" s="3" t="s">
        <v>436</v>
      </c>
    </row>
    <row r="61" spans="1:5" x14ac:dyDescent="0.25">
      <c r="E61" s="3"/>
    </row>
    <row r="62" spans="1:5" x14ac:dyDescent="0.25">
      <c r="A62" t="s">
        <v>16</v>
      </c>
      <c r="B62" s="3" t="s">
        <v>25</v>
      </c>
      <c r="C62" t="s">
        <v>720</v>
      </c>
      <c r="E62" t="s">
        <v>148</v>
      </c>
    </row>
    <row r="63" spans="1:5" x14ac:dyDescent="0.25">
      <c r="B63" s="3"/>
      <c r="C63" t="s">
        <v>435</v>
      </c>
      <c r="D63" s="3"/>
    </row>
    <row r="64" spans="1:5" x14ac:dyDescent="0.25">
      <c r="C64" t="s">
        <v>690</v>
      </c>
      <c r="E64" t="s">
        <v>691</v>
      </c>
    </row>
    <row r="65" spans="1:11" x14ac:dyDescent="0.25">
      <c r="C65" t="s">
        <v>95</v>
      </c>
    </row>
    <row r="66" spans="1:11" x14ac:dyDescent="0.25">
      <c r="C66" t="s">
        <v>370</v>
      </c>
      <c r="E66" t="s">
        <v>371</v>
      </c>
    </row>
    <row r="67" spans="1:11" x14ac:dyDescent="0.25">
      <c r="C67" t="s">
        <v>1</v>
      </c>
    </row>
    <row r="68" spans="1:11" x14ac:dyDescent="0.25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createPDF:imagelist,./Output/Images/,./Output/APAC_Daily_Sales_20221204093512.pdf</v>
      </c>
    </row>
    <row r="69" spans="1:11" x14ac:dyDescent="0.25">
      <c r="B69" s="3"/>
      <c r="C69" t="s">
        <v>707</v>
      </c>
      <c r="E69" t="s">
        <v>437</v>
      </c>
      <c r="K69" t="s">
        <v>438</v>
      </c>
    </row>
    <row r="70" spans="1:11" x14ac:dyDescent="0.25">
      <c r="A70" t="s">
        <v>16</v>
      </c>
      <c r="B70" t="s">
        <v>147</v>
      </c>
      <c r="C70" t="s">
        <v>686</v>
      </c>
      <c r="E70" t="s">
        <v>71</v>
      </c>
      <c r="K70" s="4" t="str">
        <f ca="1">TEXT(NOW(),"YYYYMMDDHHMMSS")</f>
        <v>20221204093512</v>
      </c>
    </row>
    <row r="74" spans="1:11" x14ac:dyDescent="0.25">
      <c r="A74" t="s">
        <v>16</v>
      </c>
      <c r="B74" s="3" t="s">
        <v>0</v>
      </c>
      <c r="C74" t="s">
        <v>21</v>
      </c>
      <c r="D74" s="2"/>
      <c r="E74" t="s">
        <v>398</v>
      </c>
    </row>
    <row r="75" spans="1:11" x14ac:dyDescent="0.25">
      <c r="C75" t="s">
        <v>1</v>
      </c>
    </row>
    <row r="76" spans="1:11" x14ac:dyDescent="0.25">
      <c r="C76" t="s">
        <v>339</v>
      </c>
      <c r="E76" t="s">
        <v>104</v>
      </c>
    </row>
    <row r="77" spans="1:11" x14ac:dyDescent="0.25">
      <c r="C77" t="s">
        <v>107</v>
      </c>
      <c r="E77" t="s">
        <v>108</v>
      </c>
    </row>
    <row r="78" spans="1:11" x14ac:dyDescent="0.25">
      <c r="A78" t="s">
        <v>16</v>
      </c>
      <c r="B78" s="1" t="s">
        <v>107</v>
      </c>
      <c r="C78" t="s">
        <v>440</v>
      </c>
      <c r="E78" s="1" t="s">
        <v>344</v>
      </c>
    </row>
    <row r="79" spans="1:11" x14ac:dyDescent="0.25">
      <c r="B79" s="1"/>
      <c r="C79" t="s">
        <v>22</v>
      </c>
      <c r="E79" s="1" t="s">
        <v>105</v>
      </c>
    </row>
    <row r="80" spans="1:11" x14ac:dyDescent="0.25">
      <c r="C80" t="s">
        <v>34</v>
      </c>
      <c r="E80" t="s">
        <v>106</v>
      </c>
    </row>
    <row r="81" spans="1:5" x14ac:dyDescent="0.25">
      <c r="C81" t="s">
        <v>412</v>
      </c>
      <c r="E81" t="s">
        <v>38</v>
      </c>
    </row>
    <row r="82" spans="1:5" x14ac:dyDescent="0.25">
      <c r="C82" t="s">
        <v>7</v>
      </c>
      <c r="E82" t="s">
        <v>110</v>
      </c>
    </row>
    <row r="83" spans="1:5" x14ac:dyDescent="0.25">
      <c r="C83" t="s">
        <v>449</v>
      </c>
      <c r="E83" t="s">
        <v>450</v>
      </c>
    </row>
    <row r="84" spans="1:5" x14ac:dyDescent="0.25">
      <c r="C84" t="s">
        <v>452</v>
      </c>
      <c r="E84" t="s">
        <v>453</v>
      </c>
    </row>
    <row r="85" spans="1:5" x14ac:dyDescent="0.25">
      <c r="C85" t="s">
        <v>345</v>
      </c>
      <c r="E85" t="s">
        <v>111</v>
      </c>
    </row>
    <row r="87" spans="1:5" x14ac:dyDescent="0.25">
      <c r="A87" t="s">
        <v>16</v>
      </c>
      <c r="B87" t="s">
        <v>411</v>
      </c>
      <c r="C87" t="s">
        <v>37</v>
      </c>
    </row>
    <row r="88" spans="1:5" x14ac:dyDescent="0.25">
      <c r="C88" t="s">
        <v>456</v>
      </c>
      <c r="E88" t="s">
        <v>455</v>
      </c>
    </row>
    <row r="89" spans="1:5" x14ac:dyDescent="0.25">
      <c r="C89" t="s">
        <v>27</v>
      </c>
    </row>
    <row r="91" spans="1:5" x14ac:dyDescent="0.25">
      <c r="A91" t="s">
        <v>16</v>
      </c>
      <c r="B91" t="s">
        <v>451</v>
      </c>
      <c r="C91" t="s">
        <v>454</v>
      </c>
      <c r="E91" t="s">
        <v>455</v>
      </c>
    </row>
    <row r="92" spans="1:5" x14ac:dyDescent="0.25">
      <c r="C92" t="s">
        <v>27</v>
      </c>
    </row>
    <row r="94" spans="1:5" x14ac:dyDescent="0.25">
      <c r="A94" t="s">
        <v>16</v>
      </c>
      <c r="B94" s="3" t="s">
        <v>95</v>
      </c>
      <c r="C94" t="s">
        <v>94</v>
      </c>
    </row>
    <row r="95" spans="1:5" x14ac:dyDescent="0.25">
      <c r="C95" t="s">
        <v>1</v>
      </c>
    </row>
    <row r="96" spans="1:5" x14ac:dyDescent="0.25">
      <c r="C96" t="s">
        <v>339</v>
      </c>
      <c r="E96" t="s">
        <v>104</v>
      </c>
    </row>
    <row r="97" spans="1:12" x14ac:dyDescent="0.25">
      <c r="C97" t="s">
        <v>114</v>
      </c>
    </row>
    <row r="98" spans="1:12" x14ac:dyDescent="0.25">
      <c r="A98" t="s">
        <v>16</v>
      </c>
      <c r="B98" t="s">
        <v>114</v>
      </c>
      <c r="C98" t="s">
        <v>448</v>
      </c>
      <c r="E98" t="s">
        <v>115</v>
      </c>
    </row>
    <row r="100" spans="1:12" x14ac:dyDescent="0.25">
      <c r="A100" t="s">
        <v>16</v>
      </c>
      <c r="B100" s="3" t="s">
        <v>32</v>
      </c>
      <c r="C100" t="s">
        <v>721</v>
      </c>
    </row>
    <row r="101" spans="1:12" x14ac:dyDescent="0.25">
      <c r="B101" s="3"/>
      <c r="C101" t="s">
        <v>118</v>
      </c>
    </row>
    <row r="102" spans="1:12" x14ac:dyDescent="0.25">
      <c r="C102" t="s">
        <v>122</v>
      </c>
    </row>
    <row r="103" spans="1:12" x14ac:dyDescent="0.25">
      <c r="C103" t="s">
        <v>57</v>
      </c>
    </row>
    <row r="104" spans="1:12" x14ac:dyDescent="0.25">
      <c r="C104" t="s">
        <v>56</v>
      </c>
    </row>
    <row r="105" spans="1:12" x14ac:dyDescent="0.25">
      <c r="C105" t="s">
        <v>377</v>
      </c>
    </row>
    <row r="106" spans="1:12" x14ac:dyDescent="0.25">
      <c r="C106" t="s">
        <v>722</v>
      </c>
    </row>
    <row r="107" spans="1:12" x14ac:dyDescent="0.25">
      <c r="C107" t="s">
        <v>401</v>
      </c>
      <c r="E107" t="s">
        <v>64</v>
      </c>
      <c r="L107" t="s">
        <v>401</v>
      </c>
    </row>
    <row r="108" spans="1:12" x14ac:dyDescent="0.25">
      <c r="C108" t="s">
        <v>58</v>
      </c>
    </row>
    <row r="109" spans="1:12" x14ac:dyDescent="0.25">
      <c r="C109" t="s">
        <v>377</v>
      </c>
    </row>
    <row r="110" spans="1:12" x14ac:dyDescent="0.25">
      <c r="C110" t="s">
        <v>402</v>
      </c>
      <c r="D110" t="s">
        <v>402</v>
      </c>
    </row>
    <row r="111" spans="1:12" x14ac:dyDescent="0.25">
      <c r="A111" t="s">
        <v>16</v>
      </c>
      <c r="B111" t="s">
        <v>118</v>
      </c>
      <c r="C111" t="s">
        <v>399</v>
      </c>
      <c r="D111" t="s">
        <v>29</v>
      </c>
      <c r="E111" t="s">
        <v>117</v>
      </c>
    </row>
    <row r="112" spans="1:12" x14ac:dyDescent="0.25">
      <c r="C112" t="s">
        <v>441</v>
      </c>
    </row>
    <row r="113" spans="1:5" x14ac:dyDescent="0.25">
      <c r="A113" t="s">
        <v>16</v>
      </c>
      <c r="B113" t="s">
        <v>441</v>
      </c>
      <c r="C113" t="s">
        <v>442</v>
      </c>
    </row>
    <row r="114" spans="1:5" x14ac:dyDescent="0.25">
      <c r="A114" t="s">
        <v>16</v>
      </c>
      <c r="B114" t="s">
        <v>122</v>
      </c>
      <c r="C114" t="s">
        <v>348</v>
      </c>
      <c r="E114" t="s">
        <v>126</v>
      </c>
    </row>
    <row r="115" spans="1:5" x14ac:dyDescent="0.25">
      <c r="C115" t="s">
        <v>349</v>
      </c>
      <c r="E115" t="s">
        <v>127</v>
      </c>
    </row>
    <row r="116" spans="1:5" x14ac:dyDescent="0.25">
      <c r="A116" t="s">
        <v>16</v>
      </c>
      <c r="B116" t="s">
        <v>124</v>
      </c>
      <c r="C116" t="s">
        <v>350</v>
      </c>
      <c r="E116" t="s">
        <v>128</v>
      </c>
    </row>
    <row r="117" spans="1:5" x14ac:dyDescent="0.25">
      <c r="C117" t="s">
        <v>2</v>
      </c>
    </row>
    <row r="118" spans="1:5" x14ac:dyDescent="0.25">
      <c r="C118" t="s">
        <v>129</v>
      </c>
    </row>
    <row r="119" spans="1:5" x14ac:dyDescent="0.25">
      <c r="C119" t="s">
        <v>120</v>
      </c>
      <c r="E119" t="s">
        <v>131</v>
      </c>
    </row>
    <row r="120" spans="1:5" x14ac:dyDescent="0.25">
      <c r="C120" t="s">
        <v>121</v>
      </c>
      <c r="E120" t="s">
        <v>132</v>
      </c>
    </row>
    <row r="121" spans="1:5" x14ac:dyDescent="0.25">
      <c r="C121" t="s">
        <v>351</v>
      </c>
      <c r="E121" t="s">
        <v>133</v>
      </c>
    </row>
    <row r="122" spans="1:5" x14ac:dyDescent="0.25">
      <c r="A122" t="s">
        <v>16</v>
      </c>
      <c r="B122" t="s">
        <v>134</v>
      </c>
      <c r="C122" t="s">
        <v>27</v>
      </c>
    </row>
    <row r="124" spans="1:5" x14ac:dyDescent="0.25">
      <c r="A124" t="s">
        <v>16</v>
      </c>
      <c r="B124" t="s">
        <v>57</v>
      </c>
      <c r="C124" t="s">
        <v>61</v>
      </c>
      <c r="E124" t="s">
        <v>99</v>
      </c>
    </row>
    <row r="125" spans="1:5" x14ac:dyDescent="0.25">
      <c r="A125" t="s">
        <v>16</v>
      </c>
      <c r="B125" t="s">
        <v>56</v>
      </c>
      <c r="C125" t="s">
        <v>60</v>
      </c>
      <c r="E125" t="s">
        <v>100</v>
      </c>
    </row>
    <row r="126" spans="1:5" x14ac:dyDescent="0.25">
      <c r="A126" t="s">
        <v>16</v>
      </c>
      <c r="B126" t="s">
        <v>58</v>
      </c>
      <c r="C126" t="s">
        <v>59</v>
      </c>
      <c r="E126" t="s">
        <v>101</v>
      </c>
    </row>
    <row r="127" spans="1:5" x14ac:dyDescent="0.25">
      <c r="A127" t="s">
        <v>16</v>
      </c>
      <c r="B127" t="s">
        <v>63</v>
      </c>
      <c r="C127" t="s">
        <v>342</v>
      </c>
      <c r="E127" t="s">
        <v>102</v>
      </c>
    </row>
    <row r="129" spans="1:5" x14ac:dyDescent="0.25">
      <c r="A129" t="s">
        <v>16</v>
      </c>
      <c r="B129" t="s">
        <v>377</v>
      </c>
      <c r="C129" t="s">
        <v>340</v>
      </c>
      <c r="E129" t="s">
        <v>143</v>
      </c>
    </row>
    <row r="130" spans="1:5" x14ac:dyDescent="0.25">
      <c r="C130" t="s">
        <v>447</v>
      </c>
    </row>
    <row r="131" spans="1:5" x14ac:dyDescent="0.25">
      <c r="C131" t="s">
        <v>63</v>
      </c>
      <c r="E131" t="s">
        <v>144</v>
      </c>
    </row>
    <row r="132" spans="1:5" x14ac:dyDescent="0.25">
      <c r="C132" t="s">
        <v>17</v>
      </c>
      <c r="E132" t="s">
        <v>439</v>
      </c>
    </row>
    <row r="133" spans="1:5" x14ac:dyDescent="0.25">
      <c r="A133" t="s">
        <v>16</v>
      </c>
      <c r="B133" t="s">
        <v>17</v>
      </c>
      <c r="C133" t="s">
        <v>443</v>
      </c>
    </row>
    <row r="134" spans="1:5" x14ac:dyDescent="0.25">
      <c r="C134" t="s">
        <v>3</v>
      </c>
      <c r="E134" t="s">
        <v>97</v>
      </c>
    </row>
    <row r="135" spans="1:5" x14ac:dyDescent="0.25">
      <c r="C135" t="s">
        <v>444</v>
      </c>
      <c r="E135" t="s">
        <v>355</v>
      </c>
    </row>
    <row r="136" spans="1:5" x14ac:dyDescent="0.25">
      <c r="C136" t="s">
        <v>4</v>
      </c>
      <c r="E136" t="s">
        <v>96</v>
      </c>
    </row>
    <row r="137" spans="1:5" x14ac:dyDescent="0.25">
      <c r="C137" t="s">
        <v>445</v>
      </c>
    </row>
    <row r="138" spans="1:5" x14ac:dyDescent="0.25">
      <c r="C138" t="s">
        <v>5</v>
      </c>
    </row>
    <row r="139" spans="1:5" x14ac:dyDescent="0.25">
      <c r="C139" t="s">
        <v>446</v>
      </c>
    </row>
    <row r="140" spans="1:5" x14ac:dyDescent="0.25">
      <c r="C140" t="s">
        <v>6</v>
      </c>
    </row>
    <row r="141" spans="1:5" x14ac:dyDescent="0.25">
      <c r="C141" t="s">
        <v>24</v>
      </c>
      <c r="E141" t="s">
        <v>146</v>
      </c>
    </row>
    <row r="142" spans="1:5" x14ac:dyDescent="0.25">
      <c r="C142" t="s">
        <v>341</v>
      </c>
      <c r="E142" t="s">
        <v>145</v>
      </c>
    </row>
    <row r="143" spans="1:5" x14ac:dyDescent="0.25">
      <c r="C143" t="s">
        <v>65</v>
      </c>
      <c r="E143" t="s">
        <v>137</v>
      </c>
    </row>
    <row r="144" spans="1:5" x14ac:dyDescent="0.25">
      <c r="A144" t="s">
        <v>16</v>
      </c>
      <c r="B144" t="s">
        <v>378</v>
      </c>
      <c r="C144" t="s">
        <v>382</v>
      </c>
    </row>
    <row r="145" spans="3:7" x14ac:dyDescent="0.25">
      <c r="C145" t="s">
        <v>3</v>
      </c>
      <c r="E145" t="s">
        <v>97</v>
      </c>
    </row>
    <row r="146" spans="3:7" x14ac:dyDescent="0.25">
      <c r="C146" t="s">
        <v>383</v>
      </c>
      <c r="E146" t="s">
        <v>355</v>
      </c>
    </row>
    <row r="147" spans="3:7" x14ac:dyDescent="0.25">
      <c r="C147" t="s">
        <v>379</v>
      </c>
      <c r="E147" t="s">
        <v>380</v>
      </c>
      <c r="G147" t="s">
        <v>381</v>
      </c>
    </row>
    <row r="148" spans="3:7" x14ac:dyDescent="0.25">
      <c r="C148" t="s">
        <v>384</v>
      </c>
    </row>
    <row r="149" spans="3:7" x14ac:dyDescent="0.25">
      <c r="C149" t="s">
        <v>5</v>
      </c>
    </row>
    <row r="150" spans="3:7" x14ac:dyDescent="0.25">
      <c r="C150" t="s">
        <v>385</v>
      </c>
    </row>
    <row r="151" spans="3:7" x14ac:dyDescent="0.25">
      <c r="C151" t="s">
        <v>6</v>
      </c>
    </row>
    <row r="152" spans="3:7" x14ac:dyDescent="0.25">
      <c r="C152" t="s">
        <v>24</v>
      </c>
      <c r="E152" t="s">
        <v>146</v>
      </c>
    </row>
    <row r="153" spans="3:7" x14ac:dyDescent="0.25">
      <c r="C153" t="s">
        <v>341</v>
      </c>
      <c r="E153" t="s">
        <v>386</v>
      </c>
    </row>
    <row r="154" spans="3:7" x14ac:dyDescent="0.25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259" workbookViewId="0">
      <selection activeCell="C376" sqref="C376"/>
    </sheetView>
  </sheetViews>
  <sheetFormatPr defaultRowHeight="15" x14ac:dyDescent="0.2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416</v>
      </c>
      <c r="C2" t="s">
        <v>205</v>
      </c>
      <c r="D2" t="s">
        <v>254</v>
      </c>
      <c r="E2" t="s">
        <v>650</v>
      </c>
    </row>
    <row r="3" spans="1:5" x14ac:dyDescent="0.25">
      <c r="C3" t="s">
        <v>206</v>
      </c>
      <c r="D3" t="s">
        <v>255</v>
      </c>
      <c r="E3" t="s">
        <v>651</v>
      </c>
    </row>
    <row r="4" spans="1:5" x14ac:dyDescent="0.25">
      <c r="C4" t="s">
        <v>207</v>
      </c>
    </row>
    <row r="5" spans="1:5" x14ac:dyDescent="0.25">
      <c r="C5" t="s">
        <v>208</v>
      </c>
    </row>
    <row r="6" spans="1:5" x14ac:dyDescent="0.25">
      <c r="C6" t="s">
        <v>209</v>
      </c>
    </row>
    <row r="7" spans="1:5" x14ac:dyDescent="0.25">
      <c r="C7" t="s">
        <v>210</v>
      </c>
    </row>
    <row r="8" spans="1:5" x14ac:dyDescent="0.25">
      <c r="C8" t="s">
        <v>211</v>
      </c>
    </row>
    <row r="9" spans="1:5" x14ac:dyDescent="0.25">
      <c r="C9" t="s">
        <v>212</v>
      </c>
    </row>
    <row r="10" spans="1:5" x14ac:dyDescent="0.25">
      <c r="C10" t="s">
        <v>213</v>
      </c>
    </row>
    <row r="11" spans="1:5" x14ac:dyDescent="0.25">
      <c r="C11" t="s">
        <v>214</v>
      </c>
    </row>
    <row r="12" spans="1:5" x14ac:dyDescent="0.25">
      <c r="C12" t="s">
        <v>215</v>
      </c>
    </row>
    <row r="13" spans="1:5" x14ac:dyDescent="0.25">
      <c r="C13" t="s">
        <v>216</v>
      </c>
    </row>
    <row r="14" spans="1:5" x14ac:dyDescent="0.25">
      <c r="C14" t="s">
        <v>217</v>
      </c>
    </row>
    <row r="15" spans="1:5" x14ac:dyDescent="0.25">
      <c r="C15" t="s">
        <v>218</v>
      </c>
    </row>
    <row r="16" spans="1:5" x14ac:dyDescent="0.25">
      <c r="C16" t="s">
        <v>219</v>
      </c>
    </row>
    <row r="17" spans="3:3" x14ac:dyDescent="0.25">
      <c r="C17" t="s">
        <v>220</v>
      </c>
    </row>
    <row r="18" spans="3:3" x14ac:dyDescent="0.25">
      <c r="C18" t="s">
        <v>221</v>
      </c>
    </row>
    <row r="19" spans="3:3" x14ac:dyDescent="0.25">
      <c r="C19" t="s">
        <v>222</v>
      </c>
    </row>
    <row r="20" spans="3:3" x14ac:dyDescent="0.25">
      <c r="C20" t="s">
        <v>223</v>
      </c>
    </row>
    <row r="21" spans="3:3" x14ac:dyDescent="0.25">
      <c r="C21" t="s">
        <v>224</v>
      </c>
    </row>
    <row r="22" spans="3:3" x14ac:dyDescent="0.25">
      <c r="C22" t="s">
        <v>225</v>
      </c>
    </row>
    <row r="23" spans="3:3" x14ac:dyDescent="0.25">
      <c r="C23" t="s">
        <v>226</v>
      </c>
    </row>
    <row r="24" spans="3:3" x14ac:dyDescent="0.25">
      <c r="C24" t="s">
        <v>227</v>
      </c>
    </row>
    <row r="25" spans="3:3" x14ac:dyDescent="0.25">
      <c r="C25" t="s">
        <v>228</v>
      </c>
    </row>
    <row r="26" spans="3:3" x14ac:dyDescent="0.25">
      <c r="C26" t="s">
        <v>229</v>
      </c>
    </row>
    <row r="27" spans="3:3" x14ac:dyDescent="0.25">
      <c r="C27" t="s">
        <v>580</v>
      </c>
    </row>
    <row r="28" spans="3:3" x14ac:dyDescent="0.25">
      <c r="C28" t="s">
        <v>581</v>
      </c>
    </row>
    <row r="29" spans="3:3" x14ac:dyDescent="0.25">
      <c r="C29" t="s">
        <v>582</v>
      </c>
    </row>
    <row r="30" spans="3:3" x14ac:dyDescent="0.25">
      <c r="C30" t="s">
        <v>583</v>
      </c>
    </row>
    <row r="31" spans="3:3" x14ac:dyDescent="0.25">
      <c r="C31" t="s">
        <v>230</v>
      </c>
    </row>
    <row r="32" spans="3:3" x14ac:dyDescent="0.25">
      <c r="C32" t="s">
        <v>231</v>
      </c>
    </row>
    <row r="33" spans="3:3" x14ac:dyDescent="0.25">
      <c r="C33" t="s">
        <v>232</v>
      </c>
    </row>
    <row r="34" spans="3:3" x14ac:dyDescent="0.25">
      <c r="C34" t="s">
        <v>233</v>
      </c>
    </row>
    <row r="35" spans="3:3" x14ac:dyDescent="0.25">
      <c r="C35" t="s">
        <v>593</v>
      </c>
    </row>
    <row r="36" spans="3:3" x14ac:dyDescent="0.25">
      <c r="C36" t="s">
        <v>594</v>
      </c>
    </row>
    <row r="37" spans="3:3" x14ac:dyDescent="0.25">
      <c r="C37" t="s">
        <v>595</v>
      </c>
    </row>
    <row r="38" spans="3:3" x14ac:dyDescent="0.25">
      <c r="C38" t="s">
        <v>596</v>
      </c>
    </row>
    <row r="39" spans="3:3" x14ac:dyDescent="0.25">
      <c r="C39" t="s">
        <v>597</v>
      </c>
    </row>
    <row r="40" spans="3:3" x14ac:dyDescent="0.25">
      <c r="C40" t="s">
        <v>598</v>
      </c>
    </row>
    <row r="41" spans="3:3" x14ac:dyDescent="0.25">
      <c r="C41" t="s">
        <v>599</v>
      </c>
    </row>
    <row r="42" spans="3:3" x14ac:dyDescent="0.25">
      <c r="C42" t="s">
        <v>600</v>
      </c>
    </row>
    <row r="43" spans="3:3" x14ac:dyDescent="0.25">
      <c r="C43" t="s">
        <v>601</v>
      </c>
    </row>
    <row r="44" spans="3:3" x14ac:dyDescent="0.25">
      <c r="C44" t="s">
        <v>602</v>
      </c>
    </row>
    <row r="45" spans="3:3" x14ac:dyDescent="0.25">
      <c r="C45" t="s">
        <v>603</v>
      </c>
    </row>
    <row r="46" spans="3:3" x14ac:dyDescent="0.25">
      <c r="C46" t="s">
        <v>604</v>
      </c>
    </row>
    <row r="47" spans="3:3" x14ac:dyDescent="0.25">
      <c r="C47" t="s">
        <v>605</v>
      </c>
    </row>
    <row r="48" spans="3:3" x14ac:dyDescent="0.25">
      <c r="C48" t="s">
        <v>606</v>
      </c>
    </row>
    <row r="49" spans="3:3" x14ac:dyDescent="0.25">
      <c r="C49" t="s">
        <v>607</v>
      </c>
    </row>
    <row r="50" spans="3:3" x14ac:dyDescent="0.25">
      <c r="C50" t="s">
        <v>608</v>
      </c>
    </row>
    <row r="51" spans="3:3" x14ac:dyDescent="0.25">
      <c r="C51" t="s">
        <v>609</v>
      </c>
    </row>
    <row r="52" spans="3:3" x14ac:dyDescent="0.25">
      <c r="C52" t="s">
        <v>610</v>
      </c>
    </row>
    <row r="53" spans="3:3" x14ac:dyDescent="0.25">
      <c r="C53" t="s">
        <v>611</v>
      </c>
    </row>
    <row r="54" spans="3:3" x14ac:dyDescent="0.25">
      <c r="C54" t="s">
        <v>612</v>
      </c>
    </row>
    <row r="55" spans="3:3" x14ac:dyDescent="0.25">
      <c r="C55" t="s">
        <v>613</v>
      </c>
    </row>
    <row r="56" spans="3:3" x14ac:dyDescent="0.25">
      <c r="C56" t="s">
        <v>614</v>
      </c>
    </row>
    <row r="57" spans="3:3" x14ac:dyDescent="0.25">
      <c r="C57" t="s">
        <v>615</v>
      </c>
    </row>
    <row r="58" spans="3:3" x14ac:dyDescent="0.25">
      <c r="C58" t="s">
        <v>616</v>
      </c>
    </row>
    <row r="59" spans="3:3" x14ac:dyDescent="0.25">
      <c r="C59" t="s">
        <v>234</v>
      </c>
    </row>
    <row r="60" spans="3:3" x14ac:dyDescent="0.25">
      <c r="C60" t="s">
        <v>235</v>
      </c>
    </row>
    <row r="61" spans="3:3" x14ac:dyDescent="0.25">
      <c r="C61" t="s">
        <v>236</v>
      </c>
    </row>
    <row r="62" spans="3:3" x14ac:dyDescent="0.25">
      <c r="C62" t="s">
        <v>237</v>
      </c>
    </row>
    <row r="63" spans="3:3" x14ac:dyDescent="0.25">
      <c r="C63" t="s">
        <v>238</v>
      </c>
    </row>
    <row r="64" spans="3:3" x14ac:dyDescent="0.25">
      <c r="C64" t="s">
        <v>239</v>
      </c>
    </row>
    <row r="65" spans="1:4" x14ac:dyDescent="0.25">
      <c r="C65" t="s">
        <v>240</v>
      </c>
    </row>
    <row r="66" spans="1:4" x14ac:dyDescent="0.25">
      <c r="C66" t="s">
        <v>241</v>
      </c>
    </row>
    <row r="67" spans="1:4" x14ac:dyDescent="0.25">
      <c r="C67" t="s">
        <v>242</v>
      </c>
    </row>
    <row r="68" spans="1:4" x14ac:dyDescent="0.25">
      <c r="C68" t="s">
        <v>243</v>
      </c>
    </row>
    <row r="69" spans="1:4" x14ac:dyDescent="0.25">
      <c r="C69" t="s">
        <v>244</v>
      </c>
    </row>
    <row r="70" spans="1:4" x14ac:dyDescent="0.25">
      <c r="C70" t="s">
        <v>245</v>
      </c>
    </row>
    <row r="71" spans="1:4" x14ac:dyDescent="0.25">
      <c r="C71" t="s">
        <v>246</v>
      </c>
      <c r="D71" t="s">
        <v>270</v>
      </c>
    </row>
    <row r="72" spans="1:4" x14ac:dyDescent="0.25">
      <c r="C72" t="s">
        <v>247</v>
      </c>
    </row>
    <row r="73" spans="1:4" x14ac:dyDescent="0.25">
      <c r="C73" t="s">
        <v>248</v>
      </c>
    </row>
    <row r="74" spans="1:4" x14ac:dyDescent="0.25">
      <c r="C74" t="s">
        <v>249</v>
      </c>
    </row>
    <row r="75" spans="1:4" x14ac:dyDescent="0.25">
      <c r="C75" t="s">
        <v>250</v>
      </c>
      <c r="D75" t="s">
        <v>272</v>
      </c>
    </row>
    <row r="76" spans="1:4" x14ac:dyDescent="0.25">
      <c r="C76" t="s">
        <v>251</v>
      </c>
    </row>
    <row r="77" spans="1:4" x14ac:dyDescent="0.25">
      <c r="C77" t="s">
        <v>252</v>
      </c>
    </row>
    <row r="79" spans="1:4" x14ac:dyDescent="0.25">
      <c r="A79" t="s">
        <v>15</v>
      </c>
      <c r="B79" t="s">
        <v>420</v>
      </c>
      <c r="C79" t="s">
        <v>205</v>
      </c>
      <c r="D79">
        <v>3</v>
      </c>
    </row>
    <row r="80" spans="1:4" x14ac:dyDescent="0.25">
      <c r="C80" t="s">
        <v>206</v>
      </c>
      <c r="D80">
        <v>-3</v>
      </c>
    </row>
    <row r="81" spans="3:3" x14ac:dyDescent="0.25">
      <c r="C81" t="str">
        <f>C4</f>
        <v>grid_country_WTD.png</v>
      </c>
    </row>
    <row r="82" spans="3:3" x14ac:dyDescent="0.25">
      <c r="C82" t="str">
        <f t="shared" ref="C82:C145" si="0">C5</f>
        <v>grid_country_MTD.png</v>
      </c>
    </row>
    <row r="83" spans="3:3" x14ac:dyDescent="0.25">
      <c r="C83" t="str">
        <f t="shared" si="0"/>
        <v>grid_country_YTD.png</v>
      </c>
    </row>
    <row r="84" spans="3:3" x14ac:dyDescent="0.25">
      <c r="C84" t="str">
        <f t="shared" si="0"/>
        <v>grid_Day_WHB.png</v>
      </c>
    </row>
    <row r="85" spans="3:3" x14ac:dyDescent="0.25">
      <c r="C85" t="str">
        <f t="shared" si="0"/>
        <v>grid_WTD_WHB.png</v>
      </c>
    </row>
    <row r="86" spans="3:3" x14ac:dyDescent="0.25">
      <c r="C86" t="str">
        <f t="shared" si="0"/>
        <v>grid_MTD_WHB.png</v>
      </c>
    </row>
    <row r="87" spans="3:3" x14ac:dyDescent="0.25">
      <c r="C87" t="str">
        <f t="shared" si="0"/>
        <v>grid_YTD_WHB.png</v>
      </c>
    </row>
    <row r="88" spans="3:3" x14ac:dyDescent="0.25">
      <c r="C88" t="str">
        <f t="shared" si="0"/>
        <v>grid_Day_WSLG.png</v>
      </c>
    </row>
    <row r="89" spans="3:3" x14ac:dyDescent="0.25">
      <c r="C89" t="str">
        <f t="shared" si="0"/>
        <v>grid_WTD_WSLG.png</v>
      </c>
    </row>
    <row r="90" spans="3:3" x14ac:dyDescent="0.25">
      <c r="C90" t="str">
        <f t="shared" si="0"/>
        <v>grid_MTD_WSLG.png</v>
      </c>
    </row>
    <row r="91" spans="3:3" x14ac:dyDescent="0.25">
      <c r="C91" t="str">
        <f t="shared" si="0"/>
        <v>grid_YTD_WSLG.png</v>
      </c>
    </row>
    <row r="92" spans="3:3" x14ac:dyDescent="0.25">
      <c r="C92" t="str">
        <f t="shared" si="0"/>
        <v>grid_Day_WRTW.png</v>
      </c>
    </row>
    <row r="93" spans="3:3" x14ac:dyDescent="0.25">
      <c r="C93" t="str">
        <f t="shared" si="0"/>
        <v>grid_WTD_WRTW.png</v>
      </c>
    </row>
    <row r="94" spans="3:3" x14ac:dyDescent="0.25">
      <c r="C94" t="str">
        <f t="shared" si="0"/>
        <v>grid_MTD_WRTW.png</v>
      </c>
    </row>
    <row r="95" spans="3:3" x14ac:dyDescent="0.25">
      <c r="C95" t="str">
        <f t="shared" si="0"/>
        <v>grid_YTD_WRTW.png</v>
      </c>
    </row>
    <row r="96" spans="3:3" x14ac:dyDescent="0.25">
      <c r="C96" t="str">
        <f t="shared" si="0"/>
        <v>grid_Day_WSHOES.png</v>
      </c>
    </row>
    <row r="97" spans="3:3" x14ac:dyDescent="0.25">
      <c r="C97" t="str">
        <f t="shared" si="0"/>
        <v>grid_WTD_WSHOES.png</v>
      </c>
    </row>
    <row r="98" spans="3:3" x14ac:dyDescent="0.25">
      <c r="C98" t="str">
        <f t="shared" si="0"/>
        <v>grid_MTD_WSHOES.png</v>
      </c>
    </row>
    <row r="99" spans="3:3" x14ac:dyDescent="0.25">
      <c r="C99" t="str">
        <f t="shared" si="0"/>
        <v>grid_YTD_WSHOES.png</v>
      </c>
    </row>
    <row r="100" spans="3:3" x14ac:dyDescent="0.25">
      <c r="C100" t="str">
        <f t="shared" si="0"/>
        <v>grid_Day_WACC.png</v>
      </c>
    </row>
    <row r="101" spans="3:3" x14ac:dyDescent="0.25">
      <c r="C101" t="str">
        <f t="shared" si="0"/>
        <v>grid_WTD_WACC.png</v>
      </c>
    </row>
    <row r="102" spans="3:3" x14ac:dyDescent="0.25">
      <c r="C102" t="str">
        <f t="shared" si="0"/>
        <v>grid_MTD_WACC.png</v>
      </c>
    </row>
    <row r="103" spans="3:3" x14ac:dyDescent="0.25">
      <c r="C103" t="str">
        <f t="shared" si="0"/>
        <v>grid_YTD_WACC.png</v>
      </c>
    </row>
    <row r="104" spans="3:3" x14ac:dyDescent="0.25">
      <c r="C104" t="str">
        <f t="shared" si="0"/>
        <v>grid_Day_WnJ.png</v>
      </c>
    </row>
    <row r="105" spans="3:3" x14ac:dyDescent="0.25">
      <c r="C105" t="str">
        <f t="shared" si="0"/>
        <v>grid_WTD_WnJ.png</v>
      </c>
    </row>
    <row r="106" spans="3:3" x14ac:dyDescent="0.25">
      <c r="C106" t="str">
        <f t="shared" si="0"/>
        <v>grid_MTD_WnJ.png</v>
      </c>
    </row>
    <row r="107" spans="3:3" x14ac:dyDescent="0.25">
      <c r="C107" t="str">
        <f t="shared" si="0"/>
        <v>grid_YTD_WnJ.png</v>
      </c>
    </row>
    <row r="108" spans="3:3" x14ac:dyDescent="0.25">
      <c r="C108" t="str">
        <f t="shared" si="0"/>
        <v>grid_Day_MENS.png</v>
      </c>
    </row>
    <row r="109" spans="3:3" x14ac:dyDescent="0.25">
      <c r="C109" t="str">
        <f t="shared" si="0"/>
        <v>grid_WTD_MENS.png</v>
      </c>
    </row>
    <row r="110" spans="3:3" x14ac:dyDescent="0.25">
      <c r="C110" t="str">
        <f t="shared" si="0"/>
        <v>grid_MTD_MENS.png</v>
      </c>
    </row>
    <row r="111" spans="3:3" x14ac:dyDescent="0.25">
      <c r="C111" t="str">
        <f t="shared" si="0"/>
        <v>grid_YTD_MENS.png</v>
      </c>
    </row>
    <row r="112" spans="3:3" x14ac:dyDescent="0.25">
      <c r="C112" t="str">
        <f t="shared" si="0"/>
        <v>grid_Day_MBAGS.png</v>
      </c>
    </row>
    <row r="113" spans="3:3" x14ac:dyDescent="0.25">
      <c r="C113" t="str">
        <f t="shared" si="0"/>
        <v>grid_WTD_MBAGS.png</v>
      </c>
    </row>
    <row r="114" spans="3:3" x14ac:dyDescent="0.25">
      <c r="C114" t="str">
        <f t="shared" si="0"/>
        <v>grid_MTD_MBAGS.png</v>
      </c>
    </row>
    <row r="115" spans="3:3" x14ac:dyDescent="0.25">
      <c r="C115" t="str">
        <f t="shared" si="0"/>
        <v>grid_YTD_MBAGS.png</v>
      </c>
    </row>
    <row r="116" spans="3:3" x14ac:dyDescent="0.25">
      <c r="C116" t="str">
        <f t="shared" si="0"/>
        <v>grid_Day_MSLG.png</v>
      </c>
    </row>
    <row r="117" spans="3:3" x14ac:dyDescent="0.25">
      <c r="C117" t="str">
        <f t="shared" si="0"/>
        <v>grid_WTD_MSLG.png</v>
      </c>
    </row>
    <row r="118" spans="3:3" x14ac:dyDescent="0.25">
      <c r="C118" t="str">
        <f t="shared" si="0"/>
        <v>grid_MTD_MSLG.png</v>
      </c>
    </row>
    <row r="119" spans="3:3" x14ac:dyDescent="0.25">
      <c r="C119" t="str">
        <f t="shared" si="0"/>
        <v>grid_YTD_MSLG.png</v>
      </c>
    </row>
    <row r="120" spans="3:3" x14ac:dyDescent="0.25">
      <c r="C120" t="str">
        <f t="shared" si="0"/>
        <v>grid_Day_MRTW.png</v>
      </c>
    </row>
    <row r="121" spans="3:3" x14ac:dyDescent="0.25">
      <c r="C121" t="str">
        <f t="shared" si="0"/>
        <v>grid_WTD_MRTW.png</v>
      </c>
    </row>
    <row r="122" spans="3:3" x14ac:dyDescent="0.25">
      <c r="C122" t="str">
        <f t="shared" si="0"/>
        <v>grid_MTD_MRTW.png</v>
      </c>
    </row>
    <row r="123" spans="3:3" x14ac:dyDescent="0.25">
      <c r="C123" t="str">
        <f t="shared" si="0"/>
        <v>grid_YTD_MRTW.png</v>
      </c>
    </row>
    <row r="124" spans="3:3" x14ac:dyDescent="0.25">
      <c r="C124" t="str">
        <f t="shared" si="0"/>
        <v>grid_Day_MSHOES.png</v>
      </c>
    </row>
    <row r="125" spans="3:3" x14ac:dyDescent="0.25">
      <c r="C125" t="str">
        <f t="shared" si="0"/>
        <v>grid_WTD_MSHOES.png</v>
      </c>
    </row>
    <row r="126" spans="3:3" x14ac:dyDescent="0.25">
      <c r="C126" t="str">
        <f t="shared" si="0"/>
        <v>grid_MTD_MSHOES.png</v>
      </c>
    </row>
    <row r="127" spans="3:3" x14ac:dyDescent="0.25">
      <c r="C127" t="str">
        <f t="shared" si="0"/>
        <v>grid_YTD_MSHOES.png</v>
      </c>
    </row>
    <row r="128" spans="3:3" x14ac:dyDescent="0.25">
      <c r="C128" t="str">
        <f t="shared" si="0"/>
        <v>grid_Day_MACC.png</v>
      </c>
    </row>
    <row r="129" spans="3:3" x14ac:dyDescent="0.25">
      <c r="C129" t="str">
        <f t="shared" si="0"/>
        <v>grid_WTD_MACC.png</v>
      </c>
    </row>
    <row r="130" spans="3:3" x14ac:dyDescent="0.25">
      <c r="C130" t="str">
        <f t="shared" si="0"/>
        <v>grid_MTD_MACC.png</v>
      </c>
    </row>
    <row r="131" spans="3:3" x14ac:dyDescent="0.25">
      <c r="C131" t="str">
        <f t="shared" si="0"/>
        <v>grid_YTD_MACC.png</v>
      </c>
    </row>
    <row r="132" spans="3:3" x14ac:dyDescent="0.25">
      <c r="C132" t="str">
        <f t="shared" si="0"/>
        <v>grid_Day_MSPECIAL.png</v>
      </c>
    </row>
    <row r="133" spans="3:3" x14ac:dyDescent="0.25">
      <c r="C133" t="str">
        <f t="shared" si="0"/>
        <v>grid_WTD_MSPECIAL.png</v>
      </c>
    </row>
    <row r="134" spans="3:3" x14ac:dyDescent="0.25">
      <c r="C134" t="str">
        <f t="shared" si="0"/>
        <v>grid_MTD_MSPECIAL.png</v>
      </c>
    </row>
    <row r="135" spans="3:3" x14ac:dyDescent="0.25">
      <c r="C135" t="str">
        <f t="shared" si="0"/>
        <v>grid_YTD_MSPECIAL.png</v>
      </c>
    </row>
    <row r="136" spans="3:3" x14ac:dyDescent="0.25">
      <c r="C136" t="str">
        <f t="shared" si="0"/>
        <v>grid_Day_BABY.png</v>
      </c>
    </row>
    <row r="137" spans="3:3" x14ac:dyDescent="0.25">
      <c r="C137" t="str">
        <f t="shared" si="0"/>
        <v>grid_WTD_BABY.png</v>
      </c>
    </row>
    <row r="138" spans="3:3" x14ac:dyDescent="0.25">
      <c r="C138" t="str">
        <f t="shared" si="0"/>
        <v>grid_MTD_BABY.png</v>
      </c>
    </row>
    <row r="139" spans="3:3" x14ac:dyDescent="0.25">
      <c r="C139" t="str">
        <f t="shared" si="0"/>
        <v>grid_YTD_BABY.png</v>
      </c>
    </row>
    <row r="140" spans="3:3" x14ac:dyDescent="0.25">
      <c r="C140" t="str">
        <f t="shared" si="0"/>
        <v>grid_Day_STORE.png</v>
      </c>
    </row>
    <row r="141" spans="3:3" x14ac:dyDescent="0.25">
      <c r="C141" t="str">
        <f t="shared" si="0"/>
        <v>grid_WTD_STORE.png</v>
      </c>
    </row>
    <row r="142" spans="3:3" x14ac:dyDescent="0.25">
      <c r="C142" t="str">
        <f t="shared" si="0"/>
        <v>grid_MTD_STORE.png</v>
      </c>
    </row>
    <row r="143" spans="3:3" x14ac:dyDescent="0.25">
      <c r="C143" t="str">
        <f t="shared" si="0"/>
        <v>grid_YTD_STORE.png</v>
      </c>
    </row>
    <row r="144" spans="3:3" x14ac:dyDescent="0.25">
      <c r="C144" t="str">
        <f t="shared" si="0"/>
        <v>grid_Day_BusinessUnit.png</v>
      </c>
    </row>
    <row r="145" spans="1:8" x14ac:dyDescent="0.25">
      <c r="C145" t="str">
        <f t="shared" si="0"/>
        <v>grid_WTD_BusinessUnit.png</v>
      </c>
    </row>
    <row r="146" spans="1:8" x14ac:dyDescent="0.25">
      <c r="C146" t="str">
        <f t="shared" ref="C146:C154" si="1">C69</f>
        <v>grid_MTD_BusinessUnit.png</v>
      </c>
    </row>
    <row r="147" spans="1:8" x14ac:dyDescent="0.25">
      <c r="C147" t="str">
        <f t="shared" si="1"/>
        <v>grid_YTD_BusinessUnit.png</v>
      </c>
    </row>
    <row r="148" spans="1:8" x14ac:dyDescent="0.25">
      <c r="C148" t="str">
        <f t="shared" si="1"/>
        <v>grid_Day_TopProducts.png</v>
      </c>
    </row>
    <row r="149" spans="1:8" x14ac:dyDescent="0.25">
      <c r="C149" t="str">
        <f t="shared" si="1"/>
        <v>grid_WTD_TopProducts.png</v>
      </c>
    </row>
    <row r="150" spans="1:8" x14ac:dyDescent="0.25">
      <c r="C150" t="str">
        <f t="shared" si="1"/>
        <v>grid_MTD_TopProducts.png</v>
      </c>
    </row>
    <row r="151" spans="1:8" x14ac:dyDescent="0.25">
      <c r="C151" t="str">
        <f t="shared" si="1"/>
        <v>grid_YTD_TopProducts.png</v>
      </c>
    </row>
    <row r="152" spans="1:8" x14ac:dyDescent="0.25">
      <c r="C152" t="str">
        <f t="shared" si="1"/>
        <v>histogram_YTD.png</v>
      </c>
    </row>
    <row r="153" spans="1:8" x14ac:dyDescent="0.25">
      <c r="C153" t="str">
        <f t="shared" si="1"/>
        <v>histogram_Nationality_YTD.png</v>
      </c>
    </row>
    <row r="154" spans="1:8" x14ac:dyDescent="0.25">
      <c r="C154" t="str">
        <f t="shared" si="1"/>
        <v>histogram_BU_YTD.png</v>
      </c>
    </row>
    <row r="156" spans="1:8" x14ac:dyDescent="0.25">
      <c r="A156" t="s">
        <v>15</v>
      </c>
      <c r="B156" t="s">
        <v>421</v>
      </c>
      <c r="C156" t="s">
        <v>423</v>
      </c>
      <c r="D156" s="1" t="s">
        <v>670</v>
      </c>
    </row>
    <row r="157" spans="1:8" x14ac:dyDescent="0.25">
      <c r="C157" t="str">
        <f>LEFT(C80,LEN(C80)-4)</f>
        <v>grid_country_Day</v>
      </c>
      <c r="D157" s="1" t="s">
        <v>669</v>
      </c>
      <c r="G157" t="s">
        <v>579</v>
      </c>
      <c r="H157" s="1"/>
    </row>
    <row r="158" spans="1:8" x14ac:dyDescent="0.25">
      <c r="C158" t="str">
        <f t="shared" ref="C158:C221" si="2">LEFT(C81,LEN(C81)-4)</f>
        <v>grid_country_WTD</v>
      </c>
      <c r="D158" t="s">
        <v>259</v>
      </c>
      <c r="G158" t="s">
        <v>584</v>
      </c>
    </row>
    <row r="159" spans="1:8" x14ac:dyDescent="0.25">
      <c r="C159" t="str">
        <f t="shared" si="2"/>
        <v>grid_country_MTD</v>
      </c>
      <c r="D159" t="s">
        <v>260</v>
      </c>
      <c r="G159" t="s">
        <v>585</v>
      </c>
    </row>
    <row r="160" spans="1:8" x14ac:dyDescent="0.25">
      <c r="C160" t="str">
        <f t="shared" si="2"/>
        <v>grid_country_YTD</v>
      </c>
      <c r="D160" t="s">
        <v>261</v>
      </c>
    </row>
    <row r="161" spans="3:4" x14ac:dyDescent="0.25">
      <c r="C161" t="str">
        <f t="shared" si="2"/>
        <v>grid_Day_WHB</v>
      </c>
      <c r="D161" t="s">
        <v>588</v>
      </c>
    </row>
    <row r="162" spans="3:4" x14ac:dyDescent="0.25">
      <c r="C162" t="str">
        <f t="shared" si="2"/>
        <v>grid_WTD_WHB</v>
      </c>
      <c r="D162" t="s">
        <v>259</v>
      </c>
    </row>
    <row r="163" spans="3:4" x14ac:dyDescent="0.25">
      <c r="C163" t="str">
        <f t="shared" si="2"/>
        <v>grid_MTD_WHB</v>
      </c>
      <c r="D163" t="s">
        <v>260</v>
      </c>
    </row>
    <row r="164" spans="3:4" x14ac:dyDescent="0.25">
      <c r="C164" t="str">
        <f t="shared" si="2"/>
        <v>grid_YTD_WHB</v>
      </c>
      <c r="D164" t="s">
        <v>261</v>
      </c>
    </row>
    <row r="165" spans="3:4" x14ac:dyDescent="0.25">
      <c r="C165" t="str">
        <f t="shared" si="2"/>
        <v>grid_Day_WSLG</v>
      </c>
      <c r="D165" t="s">
        <v>641</v>
      </c>
    </row>
    <row r="166" spans="3:4" x14ac:dyDescent="0.25">
      <c r="C166" t="str">
        <f t="shared" si="2"/>
        <v>grid_WTD_WSLG</v>
      </c>
      <c r="D166" t="s">
        <v>259</v>
      </c>
    </row>
    <row r="167" spans="3:4" x14ac:dyDescent="0.25">
      <c r="C167" t="str">
        <f t="shared" si="2"/>
        <v>grid_MTD_WSLG</v>
      </c>
      <c r="D167" t="s">
        <v>260</v>
      </c>
    </row>
    <row r="168" spans="3:4" x14ac:dyDescent="0.25">
      <c r="C168" t="str">
        <f t="shared" si="2"/>
        <v>grid_YTD_WSLG</v>
      </c>
      <c r="D168" t="s">
        <v>261</v>
      </c>
    </row>
    <row r="169" spans="3:4" x14ac:dyDescent="0.25">
      <c r="C169" t="str">
        <f t="shared" si="2"/>
        <v>grid_Day_WRTW</v>
      </c>
      <c r="D169" t="s">
        <v>705</v>
      </c>
    </row>
    <row r="170" spans="3:4" x14ac:dyDescent="0.25">
      <c r="C170" t="str">
        <f t="shared" si="2"/>
        <v>grid_WTD_WRTW</v>
      </c>
      <c r="D170" t="s">
        <v>259</v>
      </c>
    </row>
    <row r="171" spans="3:4" x14ac:dyDescent="0.25">
      <c r="C171" t="str">
        <f t="shared" si="2"/>
        <v>grid_MTD_WRTW</v>
      </c>
      <c r="D171" t="s">
        <v>260</v>
      </c>
    </row>
    <row r="172" spans="3:4" x14ac:dyDescent="0.25">
      <c r="C172" t="str">
        <f t="shared" si="2"/>
        <v>grid_YTD_WRTW</v>
      </c>
      <c r="D172" t="s">
        <v>261</v>
      </c>
    </row>
    <row r="173" spans="3:4" x14ac:dyDescent="0.25">
      <c r="C173" t="str">
        <f t="shared" si="2"/>
        <v>grid_Day_WSHOES</v>
      </c>
      <c r="D173" t="s">
        <v>589</v>
      </c>
    </row>
    <row r="174" spans="3:4" x14ac:dyDescent="0.25">
      <c r="C174" t="str">
        <f t="shared" si="2"/>
        <v>grid_WTD_WSHOES</v>
      </c>
      <c r="D174" t="s">
        <v>259</v>
      </c>
    </row>
    <row r="175" spans="3:4" x14ac:dyDescent="0.25">
      <c r="C175" t="str">
        <f t="shared" si="2"/>
        <v>grid_MTD_WSHOES</v>
      </c>
      <c r="D175" t="s">
        <v>260</v>
      </c>
    </row>
    <row r="176" spans="3:4" x14ac:dyDescent="0.25">
      <c r="C176" t="str">
        <f t="shared" si="2"/>
        <v>grid_YTD_WSHOES</v>
      </c>
      <c r="D176" t="s">
        <v>261</v>
      </c>
    </row>
    <row r="177" spans="3:4" x14ac:dyDescent="0.25">
      <c r="C177" t="str">
        <f t="shared" si="2"/>
        <v>grid_Day_WACC</v>
      </c>
      <c r="D177" t="s">
        <v>590</v>
      </c>
    </row>
    <row r="178" spans="3:4" x14ac:dyDescent="0.25">
      <c r="C178" t="str">
        <f t="shared" si="2"/>
        <v>grid_WTD_WACC</v>
      </c>
      <c r="D178" t="s">
        <v>259</v>
      </c>
    </row>
    <row r="179" spans="3:4" x14ac:dyDescent="0.25">
      <c r="C179" t="str">
        <f t="shared" si="2"/>
        <v>grid_MTD_WACC</v>
      </c>
      <c r="D179" t="s">
        <v>260</v>
      </c>
    </row>
    <row r="180" spans="3:4" x14ac:dyDescent="0.25">
      <c r="C180" t="str">
        <f t="shared" si="2"/>
        <v>grid_YTD_WACC</v>
      </c>
      <c r="D180" t="s">
        <v>261</v>
      </c>
    </row>
    <row r="181" spans="3:4" x14ac:dyDescent="0.25">
      <c r="C181" t="str">
        <f t="shared" si="2"/>
        <v>grid_Day_WnJ</v>
      </c>
      <c r="D181" t="s">
        <v>591</v>
      </c>
    </row>
    <row r="182" spans="3:4" x14ac:dyDescent="0.25">
      <c r="C182" t="str">
        <f t="shared" si="2"/>
        <v>grid_WTD_WnJ</v>
      </c>
      <c r="D182" t="s">
        <v>259</v>
      </c>
    </row>
    <row r="183" spans="3:4" x14ac:dyDescent="0.25">
      <c r="C183" t="str">
        <f t="shared" si="2"/>
        <v>grid_MTD_WnJ</v>
      </c>
      <c r="D183" t="s">
        <v>260</v>
      </c>
    </row>
    <row r="184" spans="3:4" x14ac:dyDescent="0.25">
      <c r="C184" t="str">
        <f t="shared" si="2"/>
        <v>grid_YTD_WnJ</v>
      </c>
      <c r="D184" t="s">
        <v>261</v>
      </c>
    </row>
    <row r="185" spans="3:4" x14ac:dyDescent="0.25">
      <c r="C185" t="str">
        <f t="shared" si="2"/>
        <v>grid_Day_MENS</v>
      </c>
      <c r="D185" t="s">
        <v>592</v>
      </c>
    </row>
    <row r="186" spans="3:4" x14ac:dyDescent="0.25">
      <c r="C186" t="str">
        <f t="shared" si="2"/>
        <v>grid_WTD_MENS</v>
      </c>
      <c r="D186" t="s">
        <v>259</v>
      </c>
    </row>
    <row r="187" spans="3:4" x14ac:dyDescent="0.25">
      <c r="C187" t="str">
        <f t="shared" si="2"/>
        <v>grid_MTD_MENS</v>
      </c>
      <c r="D187" t="s">
        <v>260</v>
      </c>
    </row>
    <row r="188" spans="3:4" x14ac:dyDescent="0.25">
      <c r="C188" t="str">
        <f t="shared" si="2"/>
        <v>grid_YTD_MENS</v>
      </c>
      <c r="D188" t="s">
        <v>261</v>
      </c>
    </row>
    <row r="189" spans="3:4" x14ac:dyDescent="0.25">
      <c r="C189" t="str">
        <f t="shared" si="2"/>
        <v>grid_Day_MBAGS</v>
      </c>
      <c r="D189" t="s">
        <v>642</v>
      </c>
    </row>
    <row r="190" spans="3:4" x14ac:dyDescent="0.25">
      <c r="C190" t="str">
        <f t="shared" si="2"/>
        <v>grid_WTD_MBAGS</v>
      </c>
      <c r="D190" t="s">
        <v>259</v>
      </c>
    </row>
    <row r="191" spans="3:4" x14ac:dyDescent="0.25">
      <c r="C191" t="str">
        <f t="shared" si="2"/>
        <v>grid_MTD_MBAGS</v>
      </c>
      <c r="D191" t="s">
        <v>260</v>
      </c>
    </row>
    <row r="192" spans="3:4" x14ac:dyDescent="0.25">
      <c r="C192" t="str">
        <f t="shared" si="2"/>
        <v>grid_YTD_MBAGS</v>
      </c>
      <c r="D192" t="s">
        <v>261</v>
      </c>
    </row>
    <row r="193" spans="3:4" x14ac:dyDescent="0.25">
      <c r="C193" t="str">
        <f t="shared" si="2"/>
        <v>grid_Day_MSLG</v>
      </c>
      <c r="D193" t="s">
        <v>617</v>
      </c>
    </row>
    <row r="194" spans="3:4" x14ac:dyDescent="0.25">
      <c r="C194" t="str">
        <f t="shared" si="2"/>
        <v>grid_WTD_MSLG</v>
      </c>
      <c r="D194" t="s">
        <v>259</v>
      </c>
    </row>
    <row r="195" spans="3:4" x14ac:dyDescent="0.25">
      <c r="C195" t="str">
        <f t="shared" si="2"/>
        <v>grid_MTD_MSLG</v>
      </c>
      <c r="D195" t="s">
        <v>260</v>
      </c>
    </row>
    <row r="196" spans="3:4" x14ac:dyDescent="0.25">
      <c r="C196" t="str">
        <f t="shared" si="2"/>
        <v>grid_YTD_MSLG</v>
      </c>
      <c r="D196" t="s">
        <v>261</v>
      </c>
    </row>
    <row r="197" spans="3:4" x14ac:dyDescent="0.25">
      <c r="C197" t="str">
        <f t="shared" si="2"/>
        <v>grid_Day_MRTW</v>
      </c>
      <c r="D197" t="s">
        <v>647</v>
      </c>
    </row>
    <row r="198" spans="3:4" x14ac:dyDescent="0.25">
      <c r="C198" t="str">
        <f t="shared" si="2"/>
        <v>grid_WTD_MRTW</v>
      </c>
      <c r="D198" t="s">
        <v>259</v>
      </c>
    </row>
    <row r="199" spans="3:4" x14ac:dyDescent="0.25">
      <c r="C199" t="str">
        <f t="shared" si="2"/>
        <v>grid_MTD_MRTW</v>
      </c>
      <c r="D199" t="s">
        <v>260</v>
      </c>
    </row>
    <row r="200" spans="3:4" x14ac:dyDescent="0.25">
      <c r="C200" t="str">
        <f t="shared" si="2"/>
        <v>grid_YTD_MRTW</v>
      </c>
      <c r="D200" t="s">
        <v>261</v>
      </c>
    </row>
    <row r="201" spans="3:4" x14ac:dyDescent="0.25">
      <c r="C201" t="str">
        <f t="shared" si="2"/>
        <v>grid_Day_MSHOES</v>
      </c>
      <c r="D201" t="s">
        <v>618</v>
      </c>
    </row>
    <row r="202" spans="3:4" x14ac:dyDescent="0.25">
      <c r="C202" t="str">
        <f t="shared" si="2"/>
        <v>grid_WTD_MSHOES</v>
      </c>
      <c r="D202" t="s">
        <v>259</v>
      </c>
    </row>
    <row r="203" spans="3:4" x14ac:dyDescent="0.25">
      <c r="C203" t="str">
        <f t="shared" si="2"/>
        <v>grid_MTD_MSHOES</v>
      </c>
      <c r="D203" t="s">
        <v>260</v>
      </c>
    </row>
    <row r="204" spans="3:4" x14ac:dyDescent="0.25">
      <c r="C204" t="str">
        <f t="shared" si="2"/>
        <v>grid_YTD_MSHOES</v>
      </c>
      <c r="D204" t="s">
        <v>261</v>
      </c>
    </row>
    <row r="205" spans="3:4" x14ac:dyDescent="0.25">
      <c r="C205" t="str">
        <f t="shared" si="2"/>
        <v>grid_Day_MACC</v>
      </c>
      <c r="D205" t="s">
        <v>619</v>
      </c>
    </row>
    <row r="206" spans="3:4" x14ac:dyDescent="0.25">
      <c r="C206" t="str">
        <f t="shared" si="2"/>
        <v>grid_WTD_MACC</v>
      </c>
      <c r="D206" t="s">
        <v>259</v>
      </c>
    </row>
    <row r="207" spans="3:4" x14ac:dyDescent="0.25">
      <c r="C207" t="str">
        <f t="shared" si="2"/>
        <v>grid_MTD_MACC</v>
      </c>
      <c r="D207" t="s">
        <v>260</v>
      </c>
    </row>
    <row r="208" spans="3:4" x14ac:dyDescent="0.25">
      <c r="C208" t="str">
        <f t="shared" si="2"/>
        <v>grid_YTD_MACC</v>
      </c>
      <c r="D208" t="s">
        <v>261</v>
      </c>
    </row>
    <row r="209" spans="3:4" x14ac:dyDescent="0.25">
      <c r="C209" t="str">
        <f t="shared" si="2"/>
        <v>grid_Day_MSPECIAL</v>
      </c>
      <c r="D209" t="s">
        <v>620</v>
      </c>
    </row>
    <row r="210" spans="3:4" x14ac:dyDescent="0.25">
      <c r="C210" t="str">
        <f t="shared" si="2"/>
        <v>grid_WTD_MSPECIAL</v>
      </c>
      <c r="D210" t="s">
        <v>259</v>
      </c>
    </row>
    <row r="211" spans="3:4" x14ac:dyDescent="0.25">
      <c r="C211" t="str">
        <f t="shared" si="2"/>
        <v>grid_MTD_MSPECIAL</v>
      </c>
      <c r="D211" t="s">
        <v>260</v>
      </c>
    </row>
    <row r="212" spans="3:4" x14ac:dyDescent="0.25">
      <c r="C212" t="str">
        <f t="shared" si="2"/>
        <v>grid_YTD_MSPECIAL</v>
      </c>
      <c r="D212" t="s">
        <v>261</v>
      </c>
    </row>
    <row r="213" spans="3:4" x14ac:dyDescent="0.25">
      <c r="C213" t="str">
        <f t="shared" si="2"/>
        <v>grid_Day_BABY</v>
      </c>
      <c r="D213" t="s">
        <v>723</v>
      </c>
    </row>
    <row r="214" spans="3:4" x14ac:dyDescent="0.25">
      <c r="C214" t="str">
        <f t="shared" si="2"/>
        <v>grid_WTD_BABY</v>
      </c>
      <c r="D214" t="s">
        <v>259</v>
      </c>
    </row>
    <row r="215" spans="3:4" x14ac:dyDescent="0.25">
      <c r="C215" t="str">
        <f t="shared" si="2"/>
        <v>grid_MTD_BABY</v>
      </c>
      <c r="D215" t="s">
        <v>260</v>
      </c>
    </row>
    <row r="216" spans="3:4" x14ac:dyDescent="0.25">
      <c r="C216" t="str">
        <f t="shared" si="2"/>
        <v>grid_YTD_BABY</v>
      </c>
      <c r="D216" t="s">
        <v>261</v>
      </c>
    </row>
    <row r="217" spans="3:4" x14ac:dyDescent="0.25">
      <c r="C217" t="str">
        <f t="shared" si="2"/>
        <v>grid_Day_STORE</v>
      </c>
      <c r="D217" t="s">
        <v>587</v>
      </c>
    </row>
    <row r="218" spans="3:4" x14ac:dyDescent="0.25">
      <c r="C218" t="str">
        <f t="shared" si="2"/>
        <v>grid_WTD_STORE</v>
      </c>
      <c r="D218" t="s">
        <v>259</v>
      </c>
    </row>
    <row r="219" spans="3:4" x14ac:dyDescent="0.25">
      <c r="C219" t="str">
        <f t="shared" si="2"/>
        <v>grid_MTD_STORE</v>
      </c>
      <c r="D219" t="s">
        <v>260</v>
      </c>
    </row>
    <row r="220" spans="3:4" x14ac:dyDescent="0.25">
      <c r="C220" t="str">
        <f t="shared" si="2"/>
        <v>grid_YTD_STORE</v>
      </c>
      <c r="D220" t="s">
        <v>261</v>
      </c>
    </row>
    <row r="221" spans="3:4" x14ac:dyDescent="0.25">
      <c r="C221" t="str">
        <f t="shared" si="2"/>
        <v>grid_Day_BusinessUnit</v>
      </c>
      <c r="D221" t="s">
        <v>652</v>
      </c>
    </row>
    <row r="222" spans="3:4" x14ac:dyDescent="0.25">
      <c r="C222" t="str">
        <f t="shared" ref="C222:C231" si="3">LEFT(C145,LEN(C145)-4)</f>
        <v>grid_WTD_BusinessUnit</v>
      </c>
      <c r="D222" t="s">
        <v>259</v>
      </c>
    </row>
    <row r="223" spans="3:4" x14ac:dyDescent="0.25">
      <c r="C223" t="str">
        <f t="shared" si="3"/>
        <v>grid_MTD_BusinessUnit</v>
      </c>
      <c r="D223" t="s">
        <v>260</v>
      </c>
    </row>
    <row r="224" spans="3:4" x14ac:dyDescent="0.25">
      <c r="C224" t="str">
        <f t="shared" si="3"/>
        <v>grid_YTD_BusinessUnit</v>
      </c>
      <c r="D224" t="s">
        <v>261</v>
      </c>
    </row>
    <row r="225" spans="1:4" x14ac:dyDescent="0.25">
      <c r="C225" t="str">
        <f t="shared" si="3"/>
        <v>grid_Day_TopProducts</v>
      </c>
      <c r="D225" t="s">
        <v>258</v>
      </c>
    </row>
    <row r="226" spans="1:4" x14ac:dyDescent="0.25">
      <c r="C226" t="str">
        <f t="shared" si="3"/>
        <v>grid_WTD_TopProducts</v>
      </c>
      <c r="D226" t="s">
        <v>259</v>
      </c>
    </row>
    <row r="227" spans="1:4" x14ac:dyDescent="0.25">
      <c r="C227" t="str">
        <f t="shared" si="3"/>
        <v>grid_MTD_TopProducts</v>
      </c>
      <c r="D227" t="s">
        <v>260</v>
      </c>
    </row>
    <row r="228" spans="1:4" x14ac:dyDescent="0.25">
      <c r="C228" t="str">
        <f t="shared" si="3"/>
        <v>grid_YTD_TopProducts</v>
      </c>
      <c r="D228" t="s">
        <v>261</v>
      </c>
    </row>
    <row r="229" spans="1:4" x14ac:dyDescent="0.25">
      <c r="C229" t="str">
        <f t="shared" si="3"/>
        <v>histogram_YTD</v>
      </c>
      <c r="D229" t="s">
        <v>653</v>
      </c>
    </row>
    <row r="230" spans="1:4" x14ac:dyDescent="0.25">
      <c r="C230" t="str">
        <f t="shared" si="3"/>
        <v>histogram_Nationality_YTD</v>
      </c>
      <c r="D230" t="s">
        <v>654</v>
      </c>
    </row>
    <row r="231" spans="1:4" x14ac:dyDescent="0.25">
      <c r="C231" t="str">
        <f t="shared" si="3"/>
        <v>histogram_BU_YTD</v>
      </c>
      <c r="D231" t="s">
        <v>655</v>
      </c>
    </row>
    <row r="233" spans="1:4" x14ac:dyDescent="0.25">
      <c r="A233" t="s">
        <v>16</v>
      </c>
      <c r="B233" t="s">
        <v>66</v>
      </c>
      <c r="C233" t="s">
        <v>205</v>
      </c>
      <c r="D233" t="s">
        <v>68</v>
      </c>
    </row>
    <row r="234" spans="1:4" x14ac:dyDescent="0.25">
      <c r="C234" t="s">
        <v>206</v>
      </c>
      <c r="D234" t="s">
        <v>158</v>
      </c>
    </row>
    <row r="235" spans="1:4" x14ac:dyDescent="0.25">
      <c r="C235" t="s">
        <v>207</v>
      </c>
      <c r="D235" t="s">
        <v>159</v>
      </c>
    </row>
    <row r="236" spans="1:4" x14ac:dyDescent="0.25">
      <c r="C236" t="s">
        <v>208</v>
      </c>
      <c r="D236" t="s">
        <v>160</v>
      </c>
    </row>
    <row r="237" spans="1:4" x14ac:dyDescent="0.25">
      <c r="C237" t="s">
        <v>209</v>
      </c>
      <c r="D237" t="s">
        <v>161</v>
      </c>
    </row>
    <row r="238" spans="1:4" x14ac:dyDescent="0.25">
      <c r="C238" t="s">
        <v>210</v>
      </c>
      <c r="D238" t="s">
        <v>162</v>
      </c>
    </row>
    <row r="239" spans="1:4" x14ac:dyDescent="0.25">
      <c r="C239" t="s">
        <v>211</v>
      </c>
      <c r="D239" t="s">
        <v>163</v>
      </c>
    </row>
    <row r="240" spans="1:4" x14ac:dyDescent="0.25">
      <c r="C240" t="s">
        <v>212</v>
      </c>
      <c r="D240" t="s">
        <v>164</v>
      </c>
    </row>
    <row r="241" spans="3:4" x14ac:dyDescent="0.25">
      <c r="C241" t="s">
        <v>213</v>
      </c>
      <c r="D241" t="s">
        <v>165</v>
      </c>
    </row>
    <row r="242" spans="3:4" x14ac:dyDescent="0.25">
      <c r="C242" t="s">
        <v>214</v>
      </c>
      <c r="D242" t="s">
        <v>166</v>
      </c>
    </row>
    <row r="243" spans="3:4" x14ac:dyDescent="0.25">
      <c r="C243" t="s">
        <v>215</v>
      </c>
      <c r="D243" t="s">
        <v>167</v>
      </c>
    </row>
    <row r="244" spans="3:4" x14ac:dyDescent="0.25">
      <c r="C244" t="s">
        <v>216</v>
      </c>
      <c r="D244" t="s">
        <v>168</v>
      </c>
    </row>
    <row r="245" spans="3:4" x14ac:dyDescent="0.25">
      <c r="C245" t="s">
        <v>217</v>
      </c>
      <c r="D245" t="s">
        <v>169</v>
      </c>
    </row>
    <row r="246" spans="3:4" x14ac:dyDescent="0.25">
      <c r="C246" t="s">
        <v>218</v>
      </c>
      <c r="D246" t="s">
        <v>170</v>
      </c>
    </row>
    <row r="247" spans="3:4" x14ac:dyDescent="0.25">
      <c r="C247" t="s">
        <v>219</v>
      </c>
      <c r="D247" t="s">
        <v>171</v>
      </c>
    </row>
    <row r="248" spans="3:4" x14ac:dyDescent="0.25">
      <c r="C248" t="s">
        <v>220</v>
      </c>
      <c r="D248" t="s">
        <v>172</v>
      </c>
    </row>
    <row r="249" spans="3:4" x14ac:dyDescent="0.25">
      <c r="C249" t="s">
        <v>221</v>
      </c>
      <c r="D249" t="s">
        <v>173</v>
      </c>
    </row>
    <row r="250" spans="3:4" x14ac:dyDescent="0.25">
      <c r="C250" t="s">
        <v>222</v>
      </c>
      <c r="D250" t="s">
        <v>174</v>
      </c>
    </row>
    <row r="251" spans="3:4" x14ac:dyDescent="0.25">
      <c r="C251" t="s">
        <v>223</v>
      </c>
      <c r="D251" t="s">
        <v>175</v>
      </c>
    </row>
    <row r="252" spans="3:4" x14ac:dyDescent="0.25">
      <c r="C252" t="s">
        <v>224</v>
      </c>
      <c r="D252" t="s">
        <v>176</v>
      </c>
    </row>
    <row r="253" spans="3:4" x14ac:dyDescent="0.25">
      <c r="C253" t="s">
        <v>225</v>
      </c>
      <c r="D253" t="s">
        <v>177</v>
      </c>
    </row>
    <row r="254" spans="3:4" x14ac:dyDescent="0.25">
      <c r="C254" t="s">
        <v>226</v>
      </c>
      <c r="D254" t="s">
        <v>178</v>
      </c>
    </row>
    <row r="255" spans="3:4" x14ac:dyDescent="0.25">
      <c r="C255" t="s">
        <v>227</v>
      </c>
      <c r="D255" t="s">
        <v>179</v>
      </c>
    </row>
    <row r="256" spans="3:4" x14ac:dyDescent="0.25">
      <c r="C256" t="s">
        <v>228</v>
      </c>
      <c r="D256" t="s">
        <v>180</v>
      </c>
    </row>
    <row r="257" spans="3:6" x14ac:dyDescent="0.25">
      <c r="C257" t="s">
        <v>229</v>
      </c>
      <c r="D257" t="s">
        <v>181</v>
      </c>
    </row>
    <row r="258" spans="3:6" x14ac:dyDescent="0.25">
      <c r="C258" t="s">
        <v>580</v>
      </c>
      <c r="D258" t="s">
        <v>671</v>
      </c>
    </row>
    <row r="259" spans="3:6" x14ac:dyDescent="0.25">
      <c r="C259" t="s">
        <v>581</v>
      </c>
      <c r="D259" t="s">
        <v>673</v>
      </c>
    </row>
    <row r="260" spans="3:6" x14ac:dyDescent="0.25">
      <c r="C260" t="s">
        <v>582</v>
      </c>
      <c r="D260" t="s">
        <v>674</v>
      </c>
    </row>
    <row r="261" spans="3:6" x14ac:dyDescent="0.25">
      <c r="C261" t="s">
        <v>583</v>
      </c>
      <c r="D261" t="s">
        <v>672</v>
      </c>
    </row>
    <row r="262" spans="3:6" x14ac:dyDescent="0.25">
      <c r="C262" t="s">
        <v>230</v>
      </c>
      <c r="D262" t="s">
        <v>182</v>
      </c>
    </row>
    <row r="263" spans="3:6" x14ac:dyDescent="0.25">
      <c r="C263" t="s">
        <v>231</v>
      </c>
      <c r="D263" t="s">
        <v>183</v>
      </c>
    </row>
    <row r="264" spans="3:6" x14ac:dyDescent="0.25">
      <c r="C264" t="s">
        <v>232</v>
      </c>
      <c r="D264" t="s">
        <v>184</v>
      </c>
    </row>
    <row r="265" spans="3:6" x14ac:dyDescent="0.25">
      <c r="C265" t="s">
        <v>233</v>
      </c>
      <c r="D265" t="s">
        <v>185</v>
      </c>
    </row>
    <row r="266" spans="3:6" x14ac:dyDescent="0.25">
      <c r="C266" t="s">
        <v>593</v>
      </c>
      <c r="D266" t="str">
        <f>"Grid ("&amp;E266&amp;") - "&amp;F266</f>
        <v>Grid (M BAGS) - DAY</v>
      </c>
      <c r="E266" t="s">
        <v>681</v>
      </c>
      <c r="F266" t="s">
        <v>679</v>
      </c>
    </row>
    <row r="267" spans="3:6" x14ac:dyDescent="0.25">
      <c r="C267" t="s">
        <v>594</v>
      </c>
      <c r="D267" t="str">
        <f t="shared" ref="D267:D269" si="4">"Grid ("&amp;E267&amp;") - "&amp;F267</f>
        <v>Grid (M BAGS) - WTD</v>
      </c>
      <c r="E267" t="s">
        <v>681</v>
      </c>
      <c r="F267" t="s">
        <v>259</v>
      </c>
    </row>
    <row r="268" spans="3:6" x14ac:dyDescent="0.25">
      <c r="C268" t="s">
        <v>595</v>
      </c>
      <c r="D268" t="str">
        <f t="shared" si="4"/>
        <v>Grid (M BAGS) - MTD</v>
      </c>
      <c r="E268" t="s">
        <v>681</v>
      </c>
      <c r="F268" t="s">
        <v>260</v>
      </c>
    </row>
    <row r="269" spans="3:6" x14ac:dyDescent="0.25">
      <c r="C269" t="s">
        <v>596</v>
      </c>
      <c r="D269" t="str">
        <f t="shared" si="4"/>
        <v>Grid (M BAGS) - YTD</v>
      </c>
      <c r="E269" t="s">
        <v>681</v>
      </c>
      <c r="F269" t="s">
        <v>261</v>
      </c>
    </row>
    <row r="270" spans="3:6" x14ac:dyDescent="0.25">
      <c r="C270" t="s">
        <v>597</v>
      </c>
      <c r="D270" t="str">
        <f>"Grid ("&amp;E270&amp;") - "&amp;F270</f>
        <v>Grid (M SLG) - DAY</v>
      </c>
      <c r="E270" t="s">
        <v>680</v>
      </c>
      <c r="F270" t="s">
        <v>679</v>
      </c>
    </row>
    <row r="271" spans="3:6" x14ac:dyDescent="0.25">
      <c r="C271" t="s">
        <v>598</v>
      </c>
      <c r="D271" t="str">
        <f t="shared" ref="D271:D273" si="5">"Grid ("&amp;E271&amp;") - "&amp;F271</f>
        <v>Grid (M SLG) - WTD</v>
      </c>
      <c r="E271" t="s">
        <v>680</v>
      </c>
      <c r="F271" t="s">
        <v>259</v>
      </c>
    </row>
    <row r="272" spans="3:6" x14ac:dyDescent="0.25">
      <c r="C272" t="s">
        <v>599</v>
      </c>
      <c r="D272" t="str">
        <f t="shared" si="5"/>
        <v>Grid (M SLG) - MTD</v>
      </c>
      <c r="E272" t="s">
        <v>680</v>
      </c>
      <c r="F272" t="s">
        <v>260</v>
      </c>
    </row>
    <row r="273" spans="3:6" x14ac:dyDescent="0.25">
      <c r="C273" t="s">
        <v>600</v>
      </c>
      <c r="D273" t="str">
        <f t="shared" si="5"/>
        <v>Grid (M SLG) - YTD</v>
      </c>
      <c r="E273" t="s">
        <v>680</v>
      </c>
      <c r="F273" t="s">
        <v>261</v>
      </c>
    </row>
    <row r="274" spans="3:6" x14ac:dyDescent="0.25">
      <c r="C274" t="s">
        <v>601</v>
      </c>
      <c r="D274" t="s">
        <v>675</v>
      </c>
    </row>
    <row r="275" spans="3:6" x14ac:dyDescent="0.25">
      <c r="C275" t="s">
        <v>602</v>
      </c>
      <c r="D275" t="s">
        <v>676</v>
      </c>
    </row>
    <row r="276" spans="3:6" x14ac:dyDescent="0.25">
      <c r="C276" t="s">
        <v>603</v>
      </c>
      <c r="D276" t="s">
        <v>677</v>
      </c>
    </row>
    <row r="277" spans="3:6" x14ac:dyDescent="0.25">
      <c r="C277" t="s">
        <v>604</v>
      </c>
      <c r="D277" t="s">
        <v>678</v>
      </c>
    </row>
    <row r="278" spans="3:6" x14ac:dyDescent="0.25">
      <c r="C278" t="s">
        <v>605</v>
      </c>
      <c r="D278" t="str">
        <f>"Grid ("&amp;E278&amp;") - "&amp;F278</f>
        <v>Grid (M SHOES) - DAY</v>
      </c>
      <c r="E278" t="s">
        <v>682</v>
      </c>
      <c r="F278" t="s">
        <v>679</v>
      </c>
    </row>
    <row r="279" spans="3:6" x14ac:dyDescent="0.25">
      <c r="C279" t="s">
        <v>606</v>
      </c>
      <c r="D279" t="str">
        <f t="shared" ref="D279:D281" si="6">"Grid ("&amp;E279&amp;") - "&amp;F279</f>
        <v>Grid (M SHOES) - WTD</v>
      </c>
      <c r="E279" t="s">
        <v>682</v>
      </c>
      <c r="F279" t="s">
        <v>259</v>
      </c>
    </row>
    <row r="280" spans="3:6" x14ac:dyDescent="0.25">
      <c r="C280" t="s">
        <v>607</v>
      </c>
      <c r="D280" t="str">
        <f t="shared" si="6"/>
        <v>Grid (M SHOES) - MTD</v>
      </c>
      <c r="E280" t="s">
        <v>682</v>
      </c>
      <c r="F280" t="s">
        <v>260</v>
      </c>
    </row>
    <row r="281" spans="3:6" x14ac:dyDescent="0.25">
      <c r="C281" t="s">
        <v>608</v>
      </c>
      <c r="D281" t="str">
        <f t="shared" si="6"/>
        <v>Grid (M SHOES) - YTD</v>
      </c>
      <c r="E281" t="s">
        <v>682</v>
      </c>
      <c r="F281" t="s">
        <v>261</v>
      </c>
    </row>
    <row r="282" spans="3:6" x14ac:dyDescent="0.25">
      <c r="C282" t="s">
        <v>609</v>
      </c>
      <c r="D282" t="str">
        <f>"Grid ("&amp;E282&amp;") - "&amp;F282</f>
        <v>Grid (M Accessories) - DAY</v>
      </c>
      <c r="E282" t="s">
        <v>683</v>
      </c>
      <c r="F282" t="s">
        <v>679</v>
      </c>
    </row>
    <row r="283" spans="3:6" x14ac:dyDescent="0.25">
      <c r="C283" t="s">
        <v>610</v>
      </c>
      <c r="D283" t="str">
        <f t="shared" ref="D283:D285" si="7">"Grid ("&amp;E283&amp;") - "&amp;F283</f>
        <v>Grid (M Accessories) - WTD</v>
      </c>
      <c r="E283" t="s">
        <v>683</v>
      </c>
      <c r="F283" t="s">
        <v>259</v>
      </c>
    </row>
    <row r="284" spans="3:6" x14ac:dyDescent="0.25">
      <c r="C284" t="s">
        <v>611</v>
      </c>
      <c r="D284" t="str">
        <f t="shared" si="7"/>
        <v>Grid (M Accessories) - MTD</v>
      </c>
      <c r="E284" t="s">
        <v>683</v>
      </c>
      <c r="F284" t="s">
        <v>260</v>
      </c>
    </row>
    <row r="285" spans="3:6" x14ac:dyDescent="0.25">
      <c r="C285" t="s">
        <v>612</v>
      </c>
      <c r="D285" t="str">
        <f t="shared" si="7"/>
        <v>Grid (M Accessories) - YTD</v>
      </c>
      <c r="E285" t="s">
        <v>683</v>
      </c>
      <c r="F285" t="s">
        <v>261</v>
      </c>
    </row>
    <row r="286" spans="3:6" x14ac:dyDescent="0.25">
      <c r="C286" t="s">
        <v>613</v>
      </c>
      <c r="D286" t="str">
        <f>"Grid ("&amp;E286&amp;") - "&amp;F286</f>
        <v>Grid (M Special) - DAY</v>
      </c>
      <c r="E286" t="s">
        <v>684</v>
      </c>
      <c r="F286" t="s">
        <v>679</v>
      </c>
    </row>
    <row r="287" spans="3:6" x14ac:dyDescent="0.25">
      <c r="C287" t="s">
        <v>614</v>
      </c>
      <c r="D287" t="str">
        <f t="shared" ref="D287:D289" si="8">"Grid ("&amp;E287&amp;") - "&amp;F287</f>
        <v>Grid (M Special) - WTD</v>
      </c>
      <c r="E287" t="s">
        <v>684</v>
      </c>
      <c r="F287" t="s">
        <v>259</v>
      </c>
    </row>
    <row r="288" spans="3:6" x14ac:dyDescent="0.25">
      <c r="C288" t="s">
        <v>615</v>
      </c>
      <c r="D288" t="str">
        <f t="shared" si="8"/>
        <v>Grid (M Special) - MTD</v>
      </c>
      <c r="E288" t="s">
        <v>684</v>
      </c>
      <c r="F288" t="s">
        <v>260</v>
      </c>
    </row>
    <row r="289" spans="3:6" x14ac:dyDescent="0.25">
      <c r="C289" t="s">
        <v>616</v>
      </c>
      <c r="D289" t="str">
        <f t="shared" si="8"/>
        <v>Grid (M Special) - YTD</v>
      </c>
      <c r="E289" t="s">
        <v>684</v>
      </c>
      <c r="F289" t="s">
        <v>261</v>
      </c>
    </row>
    <row r="290" spans="3:6" x14ac:dyDescent="0.25">
      <c r="C290" t="s">
        <v>234</v>
      </c>
      <c r="D290" t="s">
        <v>186</v>
      </c>
    </row>
    <row r="291" spans="3:6" x14ac:dyDescent="0.25">
      <c r="C291" t="s">
        <v>235</v>
      </c>
      <c r="D291" t="s">
        <v>187</v>
      </c>
    </row>
    <row r="292" spans="3:6" x14ac:dyDescent="0.25">
      <c r="C292" t="s">
        <v>236</v>
      </c>
      <c r="D292" t="s">
        <v>188</v>
      </c>
    </row>
    <row r="293" spans="3:6" x14ac:dyDescent="0.25">
      <c r="C293" t="s">
        <v>237</v>
      </c>
      <c r="D293" t="s">
        <v>189</v>
      </c>
    </row>
    <row r="294" spans="3:6" x14ac:dyDescent="0.25">
      <c r="C294" t="s">
        <v>238</v>
      </c>
      <c r="D294" t="s">
        <v>190</v>
      </c>
    </row>
    <row r="295" spans="3:6" x14ac:dyDescent="0.25">
      <c r="C295" t="s">
        <v>239</v>
      </c>
      <c r="D295" t="s">
        <v>191</v>
      </c>
    </row>
    <row r="296" spans="3:6" x14ac:dyDescent="0.25">
      <c r="C296" t="s">
        <v>240</v>
      </c>
      <c r="D296" t="s">
        <v>192</v>
      </c>
    </row>
    <row r="297" spans="3:6" x14ac:dyDescent="0.25">
      <c r="C297" t="s">
        <v>241</v>
      </c>
      <c r="D297" t="s">
        <v>193</v>
      </c>
    </row>
    <row r="298" spans="3:6" x14ac:dyDescent="0.25">
      <c r="C298" t="s">
        <v>242</v>
      </c>
      <c r="D298" t="s">
        <v>194</v>
      </c>
    </row>
    <row r="299" spans="3:6" x14ac:dyDescent="0.25">
      <c r="C299" t="s">
        <v>243</v>
      </c>
      <c r="D299" t="s">
        <v>195</v>
      </c>
    </row>
    <row r="300" spans="3:6" x14ac:dyDescent="0.25">
      <c r="C300" t="s">
        <v>244</v>
      </c>
      <c r="D300" t="s">
        <v>196</v>
      </c>
    </row>
    <row r="301" spans="3:6" x14ac:dyDescent="0.25">
      <c r="C301" t="s">
        <v>245</v>
      </c>
      <c r="D301" t="s">
        <v>197</v>
      </c>
    </row>
    <row r="302" spans="3:6" x14ac:dyDescent="0.25">
      <c r="C302" t="s">
        <v>246</v>
      </c>
      <c r="D302" t="s">
        <v>198</v>
      </c>
    </row>
    <row r="303" spans="3:6" x14ac:dyDescent="0.25">
      <c r="C303" t="s">
        <v>247</v>
      </c>
      <c r="D303" t="s">
        <v>199</v>
      </c>
    </row>
    <row r="304" spans="3:6" x14ac:dyDescent="0.25">
      <c r="C304" t="s">
        <v>248</v>
      </c>
      <c r="D304" t="s">
        <v>200</v>
      </c>
    </row>
    <row r="305" spans="1:4" x14ac:dyDescent="0.25">
      <c r="C305" t="s">
        <v>249</v>
      </c>
      <c r="D305" t="s">
        <v>201</v>
      </c>
    </row>
    <row r="306" spans="1:4" x14ac:dyDescent="0.25">
      <c r="C306" t="s">
        <v>250</v>
      </c>
      <c r="D306" t="s">
        <v>202</v>
      </c>
    </row>
    <row r="307" spans="1:4" x14ac:dyDescent="0.25">
      <c r="C307" t="s">
        <v>251</v>
      </c>
      <c r="D307" t="s">
        <v>203</v>
      </c>
    </row>
    <row r="308" spans="1:4" x14ac:dyDescent="0.25">
      <c r="C308" t="s">
        <v>252</v>
      </c>
      <c r="D308" t="s">
        <v>204</v>
      </c>
    </row>
    <row r="310" spans="1:4" x14ac:dyDescent="0.25">
      <c r="A310" t="s">
        <v>16</v>
      </c>
      <c r="B310" t="s">
        <v>67</v>
      </c>
      <c r="C310" t="str">
        <f>D233</f>
        <v>Overview</v>
      </c>
    </row>
    <row r="311" spans="1:4" x14ac:dyDescent="0.25">
      <c r="C311" t="str">
        <f t="shared" ref="C311:C374" si="9">D234</f>
        <v>Grid (ALL) - DAY</v>
      </c>
    </row>
    <row r="312" spans="1:4" x14ac:dyDescent="0.25">
      <c r="C312" t="str">
        <f t="shared" si="9"/>
        <v>Grid (ALL) - WTD</v>
      </c>
    </row>
    <row r="313" spans="1:4" x14ac:dyDescent="0.25">
      <c r="C313" t="str">
        <f t="shared" si="9"/>
        <v>Grid (ALL) - MTD</v>
      </c>
    </row>
    <row r="314" spans="1:4" x14ac:dyDescent="0.25">
      <c r="C314" t="str">
        <f t="shared" si="9"/>
        <v>Grid (ALL) - YTD</v>
      </c>
    </row>
    <row r="315" spans="1:4" x14ac:dyDescent="0.25">
      <c r="C315" t="str">
        <f t="shared" si="9"/>
        <v>Grid (W Bags) - DAY</v>
      </c>
    </row>
    <row r="316" spans="1:4" x14ac:dyDescent="0.25">
      <c r="C316" t="str">
        <f t="shared" si="9"/>
        <v>Grid (W Bags) - WTD</v>
      </c>
    </row>
    <row r="317" spans="1:4" x14ac:dyDescent="0.25">
      <c r="C317" t="str">
        <f t="shared" si="9"/>
        <v>Grid (W Bags) - MTD</v>
      </c>
    </row>
    <row r="318" spans="1:4" x14ac:dyDescent="0.25">
      <c r="C318" t="str">
        <f t="shared" si="9"/>
        <v>Grid (W Bags) - YTD</v>
      </c>
    </row>
    <row r="319" spans="1:4" x14ac:dyDescent="0.25">
      <c r="C319" t="str">
        <f t="shared" si="9"/>
        <v>Grid (W SLG) - DAY</v>
      </c>
    </row>
    <row r="320" spans="1:4" x14ac:dyDescent="0.25">
      <c r="C320" t="str">
        <f t="shared" si="9"/>
        <v>Grid (W SLG) - WTD</v>
      </c>
    </row>
    <row r="321" spans="3:3" x14ac:dyDescent="0.25">
      <c r="C321" t="str">
        <f t="shared" si="9"/>
        <v>Grid (W SLG) - MTD</v>
      </c>
    </row>
    <row r="322" spans="3:3" x14ac:dyDescent="0.25">
      <c r="C322" t="str">
        <f t="shared" si="9"/>
        <v>Grid (W SLG) - YTD</v>
      </c>
    </row>
    <row r="323" spans="3:3" x14ac:dyDescent="0.25">
      <c r="C323" t="str">
        <f t="shared" si="9"/>
        <v>Grid (W RTW) - DAY</v>
      </c>
    </row>
    <row r="324" spans="3:3" x14ac:dyDescent="0.25">
      <c r="C324" t="str">
        <f t="shared" si="9"/>
        <v>Grid (W RTW) - WTD</v>
      </c>
    </row>
    <row r="325" spans="3:3" x14ac:dyDescent="0.25">
      <c r="C325" t="str">
        <f t="shared" si="9"/>
        <v>Grid (W RTW) - MTD</v>
      </c>
    </row>
    <row r="326" spans="3:3" x14ac:dyDescent="0.25">
      <c r="C326" t="str">
        <f t="shared" si="9"/>
        <v>Grid (W RTW) - YTD</v>
      </c>
    </row>
    <row r="327" spans="3:3" x14ac:dyDescent="0.25">
      <c r="C327" t="str">
        <f t="shared" si="9"/>
        <v>Grid (W SHOES) - DAY</v>
      </c>
    </row>
    <row r="328" spans="3:3" x14ac:dyDescent="0.25">
      <c r="C328" t="str">
        <f t="shared" si="9"/>
        <v>Grid (W SHOES) - WTD</v>
      </c>
    </row>
    <row r="329" spans="3:3" x14ac:dyDescent="0.25">
      <c r="C329" t="str">
        <f t="shared" si="9"/>
        <v>Grid (W SHOES) - MTD</v>
      </c>
    </row>
    <row r="330" spans="3:3" x14ac:dyDescent="0.25">
      <c r="C330" t="str">
        <f t="shared" si="9"/>
        <v>Grid (W SHOES) - YTD</v>
      </c>
    </row>
    <row r="331" spans="3:3" x14ac:dyDescent="0.25">
      <c r="C331" t="str">
        <f t="shared" si="9"/>
        <v>Grid (W ACC) - DAY</v>
      </c>
    </row>
    <row r="332" spans="3:3" x14ac:dyDescent="0.25">
      <c r="C332" t="str">
        <f t="shared" si="9"/>
        <v>Grid (W ACC) - WTD</v>
      </c>
    </row>
    <row r="333" spans="3:3" x14ac:dyDescent="0.25">
      <c r="C333" t="str">
        <f t="shared" si="9"/>
        <v>Grid (W ACC) - MTD</v>
      </c>
    </row>
    <row r="334" spans="3:3" x14ac:dyDescent="0.25">
      <c r="C334" t="str">
        <f t="shared" si="9"/>
        <v>Grid (W ACC) - YTD</v>
      </c>
    </row>
    <row r="335" spans="3:3" x14ac:dyDescent="0.25">
      <c r="C335" t="str">
        <f t="shared" si="9"/>
        <v>Grid (Watches and Jewellery) - DAY</v>
      </c>
    </row>
    <row r="336" spans="3:3" x14ac:dyDescent="0.25">
      <c r="C336" t="str">
        <f t="shared" si="9"/>
        <v>Grid (Watches and Jewellery) - WTD</v>
      </c>
    </row>
    <row r="337" spans="3:3" x14ac:dyDescent="0.25">
      <c r="C337" t="str">
        <f t="shared" si="9"/>
        <v>Grid (Watches and Jewellery) - MTD</v>
      </c>
    </row>
    <row r="338" spans="3:3" x14ac:dyDescent="0.25">
      <c r="C338" t="str">
        <f t="shared" si="9"/>
        <v>Grid (Watches and Jewellery) - YTD</v>
      </c>
    </row>
    <row r="339" spans="3:3" x14ac:dyDescent="0.25">
      <c r="C339" t="str">
        <f t="shared" si="9"/>
        <v>Grid (MENS) - DAY</v>
      </c>
    </row>
    <row r="340" spans="3:3" x14ac:dyDescent="0.25">
      <c r="C340" t="str">
        <f t="shared" si="9"/>
        <v>Grid (MENS) - WTD</v>
      </c>
    </row>
    <row r="341" spans="3:3" x14ac:dyDescent="0.25">
      <c r="C341" t="str">
        <f t="shared" si="9"/>
        <v>Grid (MENS) - MTD</v>
      </c>
    </row>
    <row r="342" spans="3:3" x14ac:dyDescent="0.25">
      <c r="C342" t="str">
        <f t="shared" si="9"/>
        <v>Grid (MENS) - YTD</v>
      </c>
    </row>
    <row r="343" spans="3:3" x14ac:dyDescent="0.25">
      <c r="C343" t="str">
        <f t="shared" si="9"/>
        <v>Grid (M BAGS) - DAY</v>
      </c>
    </row>
    <row r="344" spans="3:3" x14ac:dyDescent="0.25">
      <c r="C344" t="str">
        <f t="shared" si="9"/>
        <v>Grid (M BAGS) - WTD</v>
      </c>
    </row>
    <row r="345" spans="3:3" x14ac:dyDescent="0.25">
      <c r="C345" t="str">
        <f t="shared" si="9"/>
        <v>Grid (M BAGS) - MTD</v>
      </c>
    </row>
    <row r="346" spans="3:3" x14ac:dyDescent="0.25">
      <c r="C346" t="str">
        <f t="shared" si="9"/>
        <v>Grid (M BAGS) - YTD</v>
      </c>
    </row>
    <row r="347" spans="3:3" x14ac:dyDescent="0.25">
      <c r="C347" t="str">
        <f t="shared" si="9"/>
        <v>Grid (M SLG) - DAY</v>
      </c>
    </row>
    <row r="348" spans="3:3" x14ac:dyDescent="0.25">
      <c r="C348" t="str">
        <f t="shared" si="9"/>
        <v>Grid (M SLG) - WTD</v>
      </c>
    </row>
    <row r="349" spans="3:3" x14ac:dyDescent="0.25">
      <c r="C349" t="str">
        <f t="shared" si="9"/>
        <v>Grid (M SLG) - MTD</v>
      </c>
    </row>
    <row r="350" spans="3:3" x14ac:dyDescent="0.25">
      <c r="C350" t="str">
        <f t="shared" si="9"/>
        <v>Grid (M SLG) - YTD</v>
      </c>
    </row>
    <row r="351" spans="3:3" x14ac:dyDescent="0.25">
      <c r="C351" t="str">
        <f t="shared" si="9"/>
        <v>Grid (M RTW) - DAY</v>
      </c>
    </row>
    <row r="352" spans="3:3" x14ac:dyDescent="0.25">
      <c r="C352" t="str">
        <f t="shared" si="9"/>
        <v>Grid (M RTW) - WTD</v>
      </c>
    </row>
    <row r="353" spans="3:3" x14ac:dyDescent="0.25">
      <c r="C353" t="str">
        <f t="shared" si="9"/>
        <v>Grid (M RTW) - MTD</v>
      </c>
    </row>
    <row r="354" spans="3:3" x14ac:dyDescent="0.25">
      <c r="C354" t="str">
        <f t="shared" si="9"/>
        <v>Grid (M RTW) - YTD</v>
      </c>
    </row>
    <row r="355" spans="3:3" x14ac:dyDescent="0.25">
      <c r="C355" t="str">
        <f t="shared" si="9"/>
        <v>Grid (M SHOES) - DAY</v>
      </c>
    </row>
    <row r="356" spans="3:3" x14ac:dyDescent="0.25">
      <c r="C356" t="str">
        <f t="shared" si="9"/>
        <v>Grid (M SHOES) - WTD</v>
      </c>
    </row>
    <row r="357" spans="3:3" x14ac:dyDescent="0.25">
      <c r="C357" t="str">
        <f t="shared" si="9"/>
        <v>Grid (M SHOES) - MTD</v>
      </c>
    </row>
    <row r="358" spans="3:3" x14ac:dyDescent="0.25">
      <c r="C358" t="str">
        <f t="shared" si="9"/>
        <v>Grid (M SHOES) - YTD</v>
      </c>
    </row>
    <row r="359" spans="3:3" x14ac:dyDescent="0.25">
      <c r="C359" t="str">
        <f t="shared" si="9"/>
        <v>Grid (M Accessories) - DAY</v>
      </c>
    </row>
    <row r="360" spans="3:3" x14ac:dyDescent="0.25">
      <c r="C360" t="str">
        <f t="shared" si="9"/>
        <v>Grid (M Accessories) - WTD</v>
      </c>
    </row>
    <row r="361" spans="3:3" x14ac:dyDescent="0.25">
      <c r="C361" t="str">
        <f t="shared" si="9"/>
        <v>Grid (M Accessories) - MTD</v>
      </c>
    </row>
    <row r="362" spans="3:3" x14ac:dyDescent="0.25">
      <c r="C362" t="str">
        <f t="shared" si="9"/>
        <v>Grid (M Accessories) - YTD</v>
      </c>
    </row>
    <row r="363" spans="3:3" x14ac:dyDescent="0.25">
      <c r="C363" t="str">
        <f t="shared" si="9"/>
        <v>Grid (M Special) - DAY</v>
      </c>
    </row>
    <row r="364" spans="3:3" x14ac:dyDescent="0.25">
      <c r="C364" t="str">
        <f t="shared" si="9"/>
        <v>Grid (M Special) - WTD</v>
      </c>
    </row>
    <row r="365" spans="3:3" x14ac:dyDescent="0.25">
      <c r="C365" t="str">
        <f t="shared" si="9"/>
        <v>Grid (M Special) - MTD</v>
      </c>
    </row>
    <row r="366" spans="3:3" x14ac:dyDescent="0.25">
      <c r="C366" t="str">
        <f t="shared" si="9"/>
        <v>Grid (M Special) - YTD</v>
      </c>
    </row>
    <row r="367" spans="3:3" x14ac:dyDescent="0.25">
      <c r="C367" t="str">
        <f t="shared" si="9"/>
        <v>Grid (BABY) - DAY</v>
      </c>
    </row>
    <row r="368" spans="3:3" x14ac:dyDescent="0.25">
      <c r="C368" t="str">
        <f t="shared" si="9"/>
        <v>Grid (BABY) - WTD</v>
      </c>
    </row>
    <row r="369" spans="3:3" x14ac:dyDescent="0.25">
      <c r="C369" t="str">
        <f t="shared" si="9"/>
        <v>Grid (BABY) - MTD</v>
      </c>
    </row>
    <row r="370" spans="3:3" x14ac:dyDescent="0.25">
      <c r="C370" t="str">
        <f t="shared" si="9"/>
        <v>Grid (BABY) - YTD</v>
      </c>
    </row>
    <row r="371" spans="3:3" x14ac:dyDescent="0.25">
      <c r="C371" t="str">
        <f t="shared" si="9"/>
        <v>Grid (STORE) - DAY</v>
      </c>
    </row>
    <row r="372" spans="3:3" x14ac:dyDescent="0.25">
      <c r="C372" t="str">
        <f t="shared" si="9"/>
        <v>Grid (STORE) - WTD</v>
      </c>
    </row>
    <row r="373" spans="3:3" x14ac:dyDescent="0.25">
      <c r="C373" t="str">
        <f t="shared" si="9"/>
        <v>Grid (STORE) - MTD</v>
      </c>
    </row>
    <row r="374" spans="3:3" x14ac:dyDescent="0.25">
      <c r="C374" t="str">
        <f t="shared" si="9"/>
        <v>Grid (STORE) - YTD</v>
      </c>
    </row>
    <row r="375" spans="3:3" x14ac:dyDescent="0.25">
      <c r="C375" t="str">
        <f t="shared" ref="C375:C385" si="10">D298</f>
        <v>Grid (Business Unit) - DAY</v>
      </c>
    </row>
    <row r="376" spans="3:3" x14ac:dyDescent="0.25">
      <c r="C376" t="str">
        <f t="shared" si="10"/>
        <v>Grid (Business Unit) - WTD</v>
      </c>
    </row>
    <row r="377" spans="3:3" x14ac:dyDescent="0.25">
      <c r="C377" t="str">
        <f t="shared" si="10"/>
        <v>Grid (Business Unit) - MTD</v>
      </c>
    </row>
    <row r="378" spans="3:3" x14ac:dyDescent="0.25">
      <c r="C378" t="str">
        <f t="shared" si="10"/>
        <v>Grid (Business Unit) - YTD</v>
      </c>
    </row>
    <row r="379" spans="3:3" x14ac:dyDescent="0.25">
      <c r="C379" t="str">
        <f t="shared" si="10"/>
        <v>Top Products - DAY</v>
      </c>
    </row>
    <row r="380" spans="3:3" x14ac:dyDescent="0.25">
      <c r="C380" t="str">
        <f t="shared" si="10"/>
        <v>Top Products - WTD</v>
      </c>
    </row>
    <row r="381" spans="3:3" x14ac:dyDescent="0.25">
      <c r="C381" t="str">
        <f t="shared" si="10"/>
        <v>Top Products - MTD</v>
      </c>
    </row>
    <row r="382" spans="3:3" x14ac:dyDescent="0.25">
      <c r="C382" t="str">
        <f t="shared" si="10"/>
        <v>Top Products - YTD</v>
      </c>
    </row>
    <row r="383" spans="3:3" x14ac:dyDescent="0.25">
      <c r="C383" t="str">
        <f t="shared" si="10"/>
        <v>Histogram (Country) YTD</v>
      </c>
    </row>
    <row r="384" spans="3:3" x14ac:dyDescent="0.25">
      <c r="C384" t="str">
        <f t="shared" si="10"/>
        <v>Histogram (Nationality) YTD</v>
      </c>
    </row>
    <row r="385" spans="1:7" x14ac:dyDescent="0.25">
      <c r="C385" t="str">
        <f t="shared" si="10"/>
        <v>Histogram (Business Unit) YTD</v>
      </c>
    </row>
    <row r="387" spans="1:7" x14ac:dyDescent="0.25">
      <c r="A387" t="s">
        <v>16</v>
      </c>
      <c r="B387" s="3" t="s">
        <v>25</v>
      </c>
      <c r="C387" t="s">
        <v>30</v>
      </c>
    </row>
    <row r="388" spans="1:7" x14ac:dyDescent="0.25">
      <c r="C388" t="s">
        <v>690</v>
      </c>
      <c r="E388" t="s">
        <v>691</v>
      </c>
    </row>
    <row r="389" spans="1:7" x14ac:dyDescent="0.25">
      <c r="C389" t="s">
        <v>156</v>
      </c>
    </row>
    <row r="390" spans="1:7" x14ac:dyDescent="0.25">
      <c r="C390" t="s">
        <v>702</v>
      </c>
      <c r="E390" t="s">
        <v>703</v>
      </c>
    </row>
    <row r="391" spans="1:7" x14ac:dyDescent="0.25">
      <c r="C391" t="s">
        <v>417</v>
      </c>
    </row>
    <row r="392" spans="1:7" x14ac:dyDescent="0.25">
      <c r="B392" s="3"/>
      <c r="C392" t="s">
        <v>147</v>
      </c>
    </row>
    <row r="393" spans="1:7" x14ac:dyDescent="0.25">
      <c r="B393" s="3"/>
      <c r="C393" t="s">
        <v>685</v>
      </c>
      <c r="E393" t="s">
        <v>706</v>
      </c>
      <c r="G393" t="s">
        <v>685</v>
      </c>
    </row>
    <row r="394" spans="1:7" x14ac:dyDescent="0.25">
      <c r="C394" t="s">
        <v>708</v>
      </c>
    </row>
    <row r="395" spans="1:7" x14ac:dyDescent="0.25">
      <c r="C395" t="s">
        <v>438</v>
      </c>
    </row>
    <row r="396" spans="1:7" x14ac:dyDescent="0.25">
      <c r="A396" t="s">
        <v>16</v>
      </c>
      <c r="B396" t="s">
        <v>147</v>
      </c>
      <c r="C396" t="s">
        <v>686</v>
      </c>
      <c r="E396" t="s">
        <v>71</v>
      </c>
    </row>
    <row r="398" spans="1:7" x14ac:dyDescent="0.25">
      <c r="A398" t="s">
        <v>16</v>
      </c>
      <c r="B398" s="3" t="s">
        <v>32</v>
      </c>
      <c r="C398" t="s">
        <v>400</v>
      </c>
    </row>
    <row r="399" spans="1:7" x14ac:dyDescent="0.25">
      <c r="C399" t="s">
        <v>418</v>
      </c>
      <c r="E399" t="s">
        <v>117</v>
      </c>
    </row>
    <row r="400" spans="1:7" x14ac:dyDescent="0.25">
      <c r="C400" t="s">
        <v>118</v>
      </c>
    </row>
    <row r="401" spans="1:7" x14ac:dyDescent="0.25">
      <c r="A401" t="s">
        <v>16</v>
      </c>
      <c r="B401" t="s">
        <v>118</v>
      </c>
      <c r="C401" t="s">
        <v>419</v>
      </c>
    </row>
    <row r="402" spans="1:7" x14ac:dyDescent="0.25">
      <c r="C402" t="s">
        <v>668</v>
      </c>
      <c r="G402" t="s">
        <v>347</v>
      </c>
    </row>
    <row r="403" spans="1:7" x14ac:dyDescent="0.25">
      <c r="C403" t="s">
        <v>422</v>
      </c>
    </row>
    <row r="404" spans="1:7" x14ac:dyDescent="0.25">
      <c r="C404" t="s">
        <v>586</v>
      </c>
    </row>
    <row r="405" spans="1:7" x14ac:dyDescent="0.25">
      <c r="C405" t="s">
        <v>424</v>
      </c>
    </row>
    <row r="406" spans="1:7" x14ac:dyDescent="0.25">
      <c r="C406" t="s">
        <v>688</v>
      </c>
      <c r="E406" t="s">
        <v>689</v>
      </c>
    </row>
    <row r="407" spans="1:7" x14ac:dyDescent="0.25">
      <c r="C407" t="s">
        <v>431</v>
      </c>
      <c r="E407" t="s">
        <v>314</v>
      </c>
    </row>
    <row r="408" spans="1:7" x14ac:dyDescent="0.25">
      <c r="C408" t="s">
        <v>586</v>
      </c>
    </row>
    <row r="409" spans="1:7" x14ac:dyDescent="0.25">
      <c r="A409" t="s">
        <v>16</v>
      </c>
      <c r="B409" t="s">
        <v>403</v>
      </c>
      <c r="C409" t="s">
        <v>310</v>
      </c>
    </row>
    <row r="410" spans="1:7" x14ac:dyDescent="0.25">
      <c r="C410" t="s">
        <v>24</v>
      </c>
    </row>
    <row r="411" spans="1:7" x14ac:dyDescent="0.25">
      <c r="C411" t="s">
        <v>312</v>
      </c>
    </row>
    <row r="412" spans="1:7" x14ac:dyDescent="0.25">
      <c r="C412" t="s">
        <v>311</v>
      </c>
    </row>
    <row r="414" spans="1:7" x14ac:dyDescent="0.25">
      <c r="B414" t="s">
        <v>311</v>
      </c>
      <c r="C414" t="s">
        <v>310</v>
      </c>
    </row>
    <row r="415" spans="1:7" x14ac:dyDescent="0.25">
      <c r="C415" t="s">
        <v>24</v>
      </c>
    </row>
    <row r="416" spans="1:7" x14ac:dyDescent="0.25">
      <c r="C416" t="s">
        <v>312</v>
      </c>
    </row>
    <row r="417" spans="1:7" x14ac:dyDescent="0.25">
      <c r="C417" t="s">
        <v>313</v>
      </c>
    </row>
    <row r="418" spans="1:7" x14ac:dyDescent="0.25">
      <c r="C418" t="s">
        <v>314</v>
      </c>
    </row>
    <row r="419" spans="1:7" x14ac:dyDescent="0.25">
      <c r="B419" t="s">
        <v>317</v>
      </c>
      <c r="C419" t="s">
        <v>316</v>
      </c>
    </row>
    <row r="420" spans="1:7" x14ac:dyDescent="0.25">
      <c r="C420" t="s">
        <v>315</v>
      </c>
    </row>
    <row r="421" spans="1:7" x14ac:dyDescent="0.25">
      <c r="C421" t="s">
        <v>151</v>
      </c>
    </row>
    <row r="423" spans="1:7" x14ac:dyDescent="0.25">
      <c r="A423" t="s">
        <v>15</v>
      </c>
      <c r="B423" t="s">
        <v>358</v>
      </c>
      <c r="C423" t="s">
        <v>360</v>
      </c>
      <c r="D423" t="s">
        <v>657</v>
      </c>
      <c r="G423" t="s">
        <v>362</v>
      </c>
    </row>
    <row r="424" spans="1:7" x14ac:dyDescent="0.25">
      <c r="C424" t="s">
        <v>253</v>
      </c>
      <c r="D424" t="s">
        <v>656</v>
      </c>
    </row>
    <row r="425" spans="1:7" x14ac:dyDescent="0.25">
      <c r="C425" t="s">
        <v>365</v>
      </c>
      <c r="D425" t="s">
        <v>657</v>
      </c>
    </row>
    <row r="426" spans="1:7" x14ac:dyDescent="0.25">
      <c r="C426" t="s">
        <v>367</v>
      </c>
      <c r="D426" t="s">
        <v>724</v>
      </c>
      <c r="G426" t="s">
        <v>701</v>
      </c>
    </row>
    <row r="427" spans="1:7" x14ac:dyDescent="0.25">
      <c r="G427" t="s">
        <v>724</v>
      </c>
    </row>
    <row r="428" spans="1:7" x14ac:dyDescent="0.25">
      <c r="A428" t="s">
        <v>15</v>
      </c>
      <c r="B428" t="s">
        <v>405</v>
      </c>
      <c r="C428" t="s">
        <v>406</v>
      </c>
    </row>
    <row r="429" spans="1:7" x14ac:dyDescent="0.25">
      <c r="C429" t="s">
        <v>407</v>
      </c>
    </row>
    <row r="430" spans="1:7" x14ac:dyDescent="0.25">
      <c r="C430" t="s">
        <v>409</v>
      </c>
    </row>
    <row r="432" spans="1:7" x14ac:dyDescent="0.25">
      <c r="A432" t="s">
        <v>16</v>
      </c>
      <c r="B432" t="s">
        <v>273</v>
      </c>
      <c r="C432" t="s">
        <v>578</v>
      </c>
      <c r="E432" t="s">
        <v>430</v>
      </c>
      <c r="G432" t="s">
        <v>288</v>
      </c>
    </row>
    <row r="433" spans="1:3" x14ac:dyDescent="0.25">
      <c r="A433" t="s">
        <v>16</v>
      </c>
      <c r="B433" t="s">
        <v>274</v>
      </c>
      <c r="C433" t="s">
        <v>289</v>
      </c>
    </row>
    <row r="434" spans="1:3" x14ac:dyDescent="0.25">
      <c r="A434" t="s">
        <v>16</v>
      </c>
      <c r="B434" t="s">
        <v>275</v>
      </c>
      <c r="C434" t="s">
        <v>290</v>
      </c>
    </row>
    <row r="435" spans="1:3" x14ac:dyDescent="0.25">
      <c r="A435" t="s">
        <v>16</v>
      </c>
      <c r="B435" t="s">
        <v>276</v>
      </c>
      <c r="C435" t="s">
        <v>291</v>
      </c>
    </row>
    <row r="436" spans="1:3" x14ac:dyDescent="0.25">
      <c r="A436" t="s">
        <v>16</v>
      </c>
      <c r="B436" t="s">
        <v>658</v>
      </c>
      <c r="C436" t="s">
        <v>659</v>
      </c>
    </row>
    <row r="437" spans="1:3" x14ac:dyDescent="0.25">
      <c r="A437" t="s">
        <v>16</v>
      </c>
      <c r="B437" t="s">
        <v>660</v>
      </c>
      <c r="C437" t="s">
        <v>661</v>
      </c>
    </row>
    <row r="438" spans="1:3" x14ac:dyDescent="0.25">
      <c r="A438" t="s">
        <v>16</v>
      </c>
      <c r="B438" t="s">
        <v>277</v>
      </c>
      <c r="C438" t="s">
        <v>292</v>
      </c>
    </row>
    <row r="439" spans="1:3" x14ac:dyDescent="0.25">
      <c r="A439" t="s">
        <v>16</v>
      </c>
      <c r="B439" t="s">
        <v>278</v>
      </c>
      <c r="C439" t="s">
        <v>293</v>
      </c>
    </row>
    <row r="440" spans="1:3" x14ac:dyDescent="0.25">
      <c r="A440" t="s">
        <v>16</v>
      </c>
      <c r="B440" t="s">
        <v>279</v>
      </c>
      <c r="C440" t="s">
        <v>294</v>
      </c>
    </row>
    <row r="441" spans="1:3" x14ac:dyDescent="0.25">
      <c r="A441" t="s">
        <v>16</v>
      </c>
      <c r="B441" t="s">
        <v>280</v>
      </c>
      <c r="C441" t="s">
        <v>295</v>
      </c>
    </row>
    <row r="442" spans="1:3" x14ac:dyDescent="0.25">
      <c r="A442" t="s">
        <v>16</v>
      </c>
      <c r="B442" t="s">
        <v>281</v>
      </c>
      <c r="C442" t="s">
        <v>296</v>
      </c>
    </row>
    <row r="443" spans="1:3" x14ac:dyDescent="0.25">
      <c r="A443" t="s">
        <v>16</v>
      </c>
      <c r="B443" t="s">
        <v>282</v>
      </c>
      <c r="C443" t="s">
        <v>297</v>
      </c>
    </row>
    <row r="444" spans="1:3" x14ac:dyDescent="0.25">
      <c r="A444" t="s">
        <v>16</v>
      </c>
      <c r="B444" t="s">
        <v>283</v>
      </c>
      <c r="C444" t="s">
        <v>298</v>
      </c>
    </row>
    <row r="445" spans="1:3" x14ac:dyDescent="0.25">
      <c r="A445" t="s">
        <v>16</v>
      </c>
      <c r="B445" t="s">
        <v>284</v>
      </c>
      <c r="C445" t="s">
        <v>299</v>
      </c>
    </row>
    <row r="446" spans="1:3" x14ac:dyDescent="0.25">
      <c r="A446" t="s">
        <v>16</v>
      </c>
      <c r="B446" t="s">
        <v>285</v>
      </c>
      <c r="C446" t="s">
        <v>300</v>
      </c>
    </row>
    <row r="447" spans="1:3" x14ac:dyDescent="0.25">
      <c r="A447" t="s">
        <v>16</v>
      </c>
      <c r="B447" t="s">
        <v>621</v>
      </c>
      <c r="C447" t="s">
        <v>631</v>
      </c>
    </row>
    <row r="448" spans="1:3" x14ac:dyDescent="0.25">
      <c r="A448" t="s">
        <v>16</v>
      </c>
      <c r="B448" t="s">
        <v>622</v>
      </c>
      <c r="C448" t="s">
        <v>636</v>
      </c>
    </row>
    <row r="449" spans="1:4" x14ac:dyDescent="0.25">
      <c r="A449" t="s">
        <v>16</v>
      </c>
      <c r="B449" t="s">
        <v>623</v>
      </c>
      <c r="C449" t="s">
        <v>632</v>
      </c>
    </row>
    <row r="450" spans="1:4" x14ac:dyDescent="0.25">
      <c r="A450" t="s">
        <v>16</v>
      </c>
      <c r="B450" t="s">
        <v>645</v>
      </c>
      <c r="C450" t="s">
        <v>643</v>
      </c>
    </row>
    <row r="451" spans="1:4" x14ac:dyDescent="0.25">
      <c r="A451" t="s">
        <v>16</v>
      </c>
      <c r="B451" t="s">
        <v>646</v>
      </c>
      <c r="C451" t="s">
        <v>644</v>
      </c>
    </row>
    <row r="452" spans="1:4" x14ac:dyDescent="0.25">
      <c r="A452" t="s">
        <v>16</v>
      </c>
      <c r="B452" t="s">
        <v>624</v>
      </c>
      <c r="C452" t="s">
        <v>633</v>
      </c>
    </row>
    <row r="453" spans="1:4" x14ac:dyDescent="0.25">
      <c r="A453" t="s">
        <v>16</v>
      </c>
      <c r="B453" t="s">
        <v>625</v>
      </c>
      <c r="C453" t="s">
        <v>638</v>
      </c>
    </row>
    <row r="454" spans="1:4" x14ac:dyDescent="0.25">
      <c r="A454" t="s">
        <v>16</v>
      </c>
      <c r="B454" t="s">
        <v>626</v>
      </c>
      <c r="C454" t="s">
        <v>634</v>
      </c>
    </row>
    <row r="455" spans="1:4" x14ac:dyDescent="0.25">
      <c r="A455" t="s">
        <v>16</v>
      </c>
      <c r="B455" t="s">
        <v>627</v>
      </c>
      <c r="C455" t="s">
        <v>637</v>
      </c>
    </row>
    <row r="456" spans="1:4" x14ac:dyDescent="0.25">
      <c r="A456" t="s">
        <v>16</v>
      </c>
      <c r="B456" t="s">
        <v>628</v>
      </c>
      <c r="C456" t="s">
        <v>639</v>
      </c>
    </row>
    <row r="457" spans="1:4" x14ac:dyDescent="0.25">
      <c r="A457" t="s">
        <v>16</v>
      </c>
      <c r="B457" t="s">
        <v>629</v>
      </c>
      <c r="C457" t="s">
        <v>640</v>
      </c>
    </row>
    <row r="458" spans="1:4" x14ac:dyDescent="0.25">
      <c r="A458" t="s">
        <v>16</v>
      </c>
      <c r="B458" t="s">
        <v>630</v>
      </c>
      <c r="C458" t="s">
        <v>635</v>
      </c>
    </row>
    <row r="459" spans="1:4" x14ac:dyDescent="0.25">
      <c r="A459" t="s">
        <v>16</v>
      </c>
      <c r="B459" t="s">
        <v>648</v>
      </c>
      <c r="C459" t="s">
        <v>649</v>
      </c>
    </row>
    <row r="460" spans="1:4" x14ac:dyDescent="0.25">
      <c r="A460" t="s">
        <v>16</v>
      </c>
      <c r="B460" t="s">
        <v>286</v>
      </c>
      <c r="C460" t="s">
        <v>301</v>
      </c>
    </row>
    <row r="461" spans="1:4" x14ac:dyDescent="0.25">
      <c r="A461" t="s">
        <v>16</v>
      </c>
      <c r="B461" t="s">
        <v>287</v>
      </c>
      <c r="C461" t="s">
        <v>302</v>
      </c>
    </row>
    <row r="463" spans="1:4" x14ac:dyDescent="0.25">
      <c r="A463" t="s">
        <v>15</v>
      </c>
      <c r="B463" t="s">
        <v>9</v>
      </c>
      <c r="C463" t="s">
        <v>19</v>
      </c>
      <c r="D463" t="s">
        <v>20</v>
      </c>
    </row>
    <row r="464" spans="1:4" x14ac:dyDescent="0.25">
      <c r="C464" t="s">
        <v>154</v>
      </c>
      <c r="D464" t="s">
        <v>155</v>
      </c>
    </row>
    <row r="465" spans="1:5" x14ac:dyDescent="0.25">
      <c r="A465" t="s">
        <v>16</v>
      </c>
      <c r="B465" s="3" t="s">
        <v>0</v>
      </c>
      <c r="C465" t="s">
        <v>21</v>
      </c>
      <c r="D465" s="2"/>
      <c r="E465" t="s">
        <v>398</v>
      </c>
    </row>
    <row r="466" spans="1:5" x14ac:dyDescent="0.25">
      <c r="C466" t="s">
        <v>1</v>
      </c>
    </row>
    <row r="467" spans="1:5" x14ac:dyDescent="0.25">
      <c r="C467" t="s">
        <v>339</v>
      </c>
      <c r="E467" t="s">
        <v>104</v>
      </c>
    </row>
    <row r="468" spans="1:5" x14ac:dyDescent="0.25">
      <c r="C468" t="s">
        <v>107</v>
      </c>
      <c r="E468" t="s">
        <v>108</v>
      </c>
    </row>
    <row r="469" spans="1:5" x14ac:dyDescent="0.25">
      <c r="A469" t="s">
        <v>16</v>
      </c>
      <c r="B469" s="1" t="s">
        <v>107</v>
      </c>
      <c r="C469" t="s">
        <v>440</v>
      </c>
      <c r="E469" s="1" t="s">
        <v>344</v>
      </c>
    </row>
    <row r="470" spans="1:5" x14ac:dyDescent="0.25">
      <c r="B470" s="1"/>
      <c r="C470" t="s">
        <v>22</v>
      </c>
      <c r="E470" s="1" t="s">
        <v>105</v>
      </c>
    </row>
    <row r="471" spans="1:5" x14ac:dyDescent="0.25">
      <c r="C471" t="s">
        <v>34</v>
      </c>
      <c r="E471" t="s">
        <v>106</v>
      </c>
    </row>
    <row r="472" spans="1:5" x14ac:dyDescent="0.25">
      <c r="C472" t="s">
        <v>412</v>
      </c>
      <c r="E472" t="s">
        <v>38</v>
      </c>
    </row>
    <row r="473" spans="1:5" x14ac:dyDescent="0.25">
      <c r="C473" t="s">
        <v>7</v>
      </c>
      <c r="E473" t="s">
        <v>110</v>
      </c>
    </row>
    <row r="474" spans="1:5" x14ac:dyDescent="0.25">
      <c r="C474" t="s">
        <v>449</v>
      </c>
      <c r="E474" t="s">
        <v>450</v>
      </c>
    </row>
    <row r="475" spans="1:5" x14ac:dyDescent="0.25">
      <c r="C475" t="s">
        <v>452</v>
      </c>
      <c r="E475" t="s">
        <v>453</v>
      </c>
    </row>
    <row r="476" spans="1:5" x14ac:dyDescent="0.25">
      <c r="C476" t="s">
        <v>345</v>
      </c>
      <c r="E476" t="s">
        <v>111</v>
      </c>
    </row>
    <row r="478" spans="1:5" x14ac:dyDescent="0.25">
      <c r="A478" t="s">
        <v>16</v>
      </c>
      <c r="B478" t="s">
        <v>411</v>
      </c>
      <c r="C478" t="s">
        <v>37</v>
      </c>
    </row>
    <row r="479" spans="1:5" x14ac:dyDescent="0.25">
      <c r="C479" t="s">
        <v>456</v>
      </c>
      <c r="E479" t="s">
        <v>455</v>
      </c>
    </row>
    <row r="480" spans="1:5" x14ac:dyDescent="0.25">
      <c r="C480" t="s">
        <v>27</v>
      </c>
    </row>
    <row r="482" spans="1:5" x14ac:dyDescent="0.25">
      <c r="A482" t="s">
        <v>16</v>
      </c>
      <c r="B482" t="s">
        <v>451</v>
      </c>
      <c r="C482" t="s">
        <v>454</v>
      </c>
      <c r="E482" t="s">
        <v>455</v>
      </c>
    </row>
    <row r="483" spans="1:5" x14ac:dyDescent="0.25">
      <c r="C483" t="s">
        <v>27</v>
      </c>
    </row>
    <row r="485" spans="1:5" x14ac:dyDescent="0.25">
      <c r="A485" t="s">
        <v>16</v>
      </c>
      <c r="B485" s="3" t="s">
        <v>156</v>
      </c>
      <c r="C485" t="s">
        <v>157</v>
      </c>
    </row>
    <row r="486" spans="1:5" x14ac:dyDescent="0.25">
      <c r="B486" s="3"/>
      <c r="C486" t="s">
        <v>306</v>
      </c>
    </row>
    <row r="487" spans="1:5" x14ac:dyDescent="0.25">
      <c r="A487" t="s">
        <v>16</v>
      </c>
      <c r="B487" t="s">
        <v>306</v>
      </c>
      <c r="C487" t="s">
        <v>408</v>
      </c>
    </row>
    <row r="488" spans="1:5" x14ac:dyDescent="0.25">
      <c r="C488" t="s">
        <v>303</v>
      </c>
    </row>
    <row r="489" spans="1:5" x14ac:dyDescent="0.25">
      <c r="C489" t="s">
        <v>304</v>
      </c>
    </row>
    <row r="490" spans="1:5" x14ac:dyDescent="0.25">
      <c r="C490" t="s">
        <v>404</v>
      </c>
    </row>
    <row r="491" spans="1:5" x14ac:dyDescent="0.25">
      <c r="C491" t="s">
        <v>410</v>
      </c>
    </row>
    <row r="492" spans="1:5" x14ac:dyDescent="0.25">
      <c r="C492" t="s">
        <v>413</v>
      </c>
    </row>
    <row r="493" spans="1:5" x14ac:dyDescent="0.25">
      <c r="C493" t="s">
        <v>305</v>
      </c>
      <c r="E493" t="s">
        <v>104</v>
      </c>
    </row>
    <row r="495" spans="1:5" x14ac:dyDescent="0.25">
      <c r="A495" t="s">
        <v>16</v>
      </c>
      <c r="B495" t="s">
        <v>414</v>
      </c>
      <c r="C495" t="s">
        <v>37</v>
      </c>
    </row>
    <row r="496" spans="1:5" x14ac:dyDescent="0.25">
      <c r="C496" t="s">
        <v>415</v>
      </c>
    </row>
    <row r="498" spans="1:3" x14ac:dyDescent="0.25">
      <c r="A498" t="s">
        <v>16</v>
      </c>
      <c r="B498" t="s">
        <v>429</v>
      </c>
      <c r="C498" t="s">
        <v>425</v>
      </c>
    </row>
    <row r="499" spans="1:3" x14ac:dyDescent="0.25">
      <c r="C499" t="s">
        <v>428</v>
      </c>
    </row>
    <row r="500" spans="1:3" x14ac:dyDescent="0.25">
      <c r="C500" t="s">
        <v>129</v>
      </c>
    </row>
    <row r="501" spans="1:3" x14ac:dyDescent="0.25">
      <c r="C501" t="s">
        <v>427</v>
      </c>
    </row>
    <row r="502" spans="1:3" x14ac:dyDescent="0.25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6"/>
        <v/>
      </c>
      <c r="B10" t="str">
        <f t="shared" si="7"/>
        <v/>
      </c>
    </row>
    <row r="11" spans="1:14" x14ac:dyDescent="0.25">
      <c r="A11" t="str">
        <f t="shared" si="6"/>
        <v>constants</v>
      </c>
      <c r="B11" t="str">
        <f t="shared" si="7"/>
        <v>key</v>
      </c>
      <c r="C11" t="s">
        <v>15</v>
      </c>
      <c r="D11" t="s">
        <v>358</v>
      </c>
      <c r="E11" t="s">
        <v>360</v>
      </c>
      <c r="F11" t="s">
        <v>362</v>
      </c>
    </row>
    <row r="12" spans="1:14" x14ac:dyDescent="0.25">
      <c r="A12" t="str">
        <f t="shared" si="6"/>
        <v>constants</v>
      </c>
      <c r="B12" t="str">
        <f t="shared" si="7"/>
        <v>key</v>
      </c>
      <c r="E12" t="s">
        <v>253</v>
      </c>
      <c r="F12" t="s">
        <v>361</v>
      </c>
    </row>
    <row r="13" spans="1:14" x14ac:dyDescent="0.25">
      <c r="A13" t="str">
        <f t="shared" si="6"/>
        <v>constants</v>
      </c>
      <c r="B13" t="str">
        <f t="shared" si="7"/>
        <v>key</v>
      </c>
      <c r="E13" t="s">
        <v>365</v>
      </c>
      <c r="F13" t="s">
        <v>363</v>
      </c>
    </row>
    <row r="14" spans="1:14" x14ac:dyDescent="0.25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367</v>
      </c>
      <c r="F14" t="s">
        <v>359</v>
      </c>
    </row>
    <row r="15" spans="1:14" x14ac:dyDescent="0.25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 x14ac:dyDescent="0.25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 x14ac:dyDescent="0.25">
      <c r="A17" t="str">
        <f t="shared" si="8"/>
        <v/>
      </c>
      <c r="B17" t="str">
        <f t="shared" si="9"/>
        <v/>
      </c>
    </row>
    <row r="18" spans="1:13" x14ac:dyDescent="0.25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372</v>
      </c>
      <c r="G18" t="s">
        <v>148</v>
      </c>
    </row>
    <row r="19" spans="1:13" x14ac:dyDescent="0.25">
      <c r="A19" t="str">
        <f t="shared" si="8"/>
        <v>main</v>
      </c>
      <c r="B19" t="str">
        <f t="shared" si="9"/>
        <v>list</v>
      </c>
      <c r="D19" s="3"/>
      <c r="E19" t="s">
        <v>374</v>
      </c>
      <c r="F19" s="3"/>
    </row>
    <row r="20" spans="1:13" x14ac:dyDescent="0.25">
      <c r="A20" t="str">
        <f t="shared" si="8"/>
        <v>main</v>
      </c>
      <c r="B20" t="str">
        <f t="shared" si="9"/>
        <v>list</v>
      </c>
      <c r="D20" s="3"/>
      <c r="E20" t="s">
        <v>375</v>
      </c>
      <c r="F20" s="3" t="s">
        <v>373</v>
      </c>
    </row>
    <row r="21" spans="1:13" x14ac:dyDescent="0.25">
      <c r="A21" t="str">
        <f t="shared" si="8"/>
        <v>main</v>
      </c>
      <c r="B21" t="str">
        <f t="shared" si="9"/>
        <v>list</v>
      </c>
      <c r="E21" t="s">
        <v>0</v>
      </c>
    </row>
    <row r="22" spans="1:13" x14ac:dyDescent="0.25">
      <c r="A22" t="str">
        <f t="shared" si="8"/>
        <v>main</v>
      </c>
      <c r="B22" t="str">
        <f t="shared" si="9"/>
        <v>list</v>
      </c>
      <c r="E22" t="s">
        <v>95</v>
      </c>
    </row>
    <row r="23" spans="1:13" x14ac:dyDescent="0.25">
      <c r="A23" t="str">
        <f t="shared" si="8"/>
        <v>main</v>
      </c>
      <c r="B23" t="str">
        <f t="shared" si="9"/>
        <v>list</v>
      </c>
      <c r="E23" t="s">
        <v>370</v>
      </c>
      <c r="G23" t="s">
        <v>371</v>
      </c>
    </row>
    <row r="24" spans="1:13" x14ac:dyDescent="0.25">
      <c r="A24" t="str">
        <f t="shared" si="8"/>
        <v>main</v>
      </c>
      <c r="B24" t="str">
        <f t="shared" si="9"/>
        <v>list</v>
      </c>
      <c r="E24" t="s">
        <v>1</v>
      </c>
    </row>
    <row r="25" spans="1:13" x14ac:dyDescent="0.25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createPDF:imagelist,./Output/Images/,./Output/APAC_Daily_Sales_20221204093512.pdf</v>
      </c>
    </row>
    <row r="26" spans="1:13" x14ac:dyDescent="0.25">
      <c r="A26" t="str">
        <f t="shared" si="8"/>
        <v>main</v>
      </c>
      <c r="B26" t="str">
        <f t="shared" si="9"/>
        <v>list</v>
      </c>
      <c r="E26" t="s">
        <v>364</v>
      </c>
      <c r="G26" t="s">
        <v>150</v>
      </c>
    </row>
    <row r="27" spans="1:13" x14ac:dyDescent="0.25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366</v>
      </c>
      <c r="G27" t="s">
        <v>71</v>
      </c>
      <c r="M27" s="4" t="str">
        <f ca="1">TEXT(NOW(),"YYYYMMDDHHMMSS")</f>
        <v>20221204093512</v>
      </c>
    </row>
    <row r="28" spans="1:13" x14ac:dyDescent="0.25">
      <c r="A28" t="str">
        <f t="shared" si="6"/>
        <v/>
      </c>
      <c r="B28" t="str">
        <f t="shared" si="7"/>
        <v/>
      </c>
    </row>
    <row r="29" spans="1:13" x14ac:dyDescent="0.25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 x14ac:dyDescent="0.25">
      <c r="A30" t="str">
        <f t="shared" si="10"/>
        <v>logon_OKTA</v>
      </c>
      <c r="B30" t="str">
        <f t="shared" si="11"/>
        <v>list</v>
      </c>
      <c r="E30" t="s">
        <v>376</v>
      </c>
    </row>
    <row r="31" spans="1:13" x14ac:dyDescent="0.25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339</v>
      </c>
      <c r="G31" t="s">
        <v>104</v>
      </c>
    </row>
    <row r="32" spans="1:13" x14ac:dyDescent="0.25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 x14ac:dyDescent="0.25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343</v>
      </c>
      <c r="G33" s="1" t="s">
        <v>344</v>
      </c>
    </row>
    <row r="34" spans="1:7" x14ac:dyDescent="0.25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 x14ac:dyDescent="0.25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 x14ac:dyDescent="0.25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 x14ac:dyDescent="0.25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 x14ac:dyDescent="0.25">
      <c r="A38" t="str">
        <f t="shared" si="12"/>
        <v>logon_OKTA2</v>
      </c>
      <c r="B38" t="str">
        <f t="shared" si="13"/>
        <v>list</v>
      </c>
      <c r="E38" t="s">
        <v>345</v>
      </c>
      <c r="G38" t="s">
        <v>111</v>
      </c>
    </row>
    <row r="39" spans="1:7" x14ac:dyDescent="0.25">
      <c r="A39" t="str">
        <f t="shared" si="12"/>
        <v/>
      </c>
      <c r="B39" t="str">
        <f t="shared" si="13"/>
        <v/>
      </c>
    </row>
    <row r="40" spans="1:7" x14ac:dyDescent="0.25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 x14ac:dyDescent="0.25">
      <c r="A41" t="str">
        <f t="shared" si="12"/>
        <v/>
      </c>
      <c r="B41" t="str">
        <f t="shared" si="13"/>
        <v/>
      </c>
    </row>
    <row r="42" spans="1:7" x14ac:dyDescent="0.25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 x14ac:dyDescent="0.25">
      <c r="A43" t="str">
        <f t="shared" si="12"/>
        <v>logon_DCLICK</v>
      </c>
      <c r="B43" t="str">
        <f t="shared" si="13"/>
        <v>list</v>
      </c>
      <c r="E43" t="s">
        <v>1</v>
      </c>
    </row>
    <row r="44" spans="1:7" x14ac:dyDescent="0.25">
      <c r="A44" t="str">
        <f t="shared" si="12"/>
        <v>logon_DCLICK</v>
      </c>
      <c r="B44" t="str">
        <f t="shared" si="13"/>
        <v>list</v>
      </c>
      <c r="E44" t="s">
        <v>339</v>
      </c>
      <c r="G44" t="s">
        <v>104</v>
      </c>
    </row>
    <row r="45" spans="1:7" x14ac:dyDescent="0.25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 x14ac:dyDescent="0.25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346</v>
      </c>
      <c r="G46" t="s">
        <v>115</v>
      </c>
    </row>
    <row r="47" spans="1:7" x14ac:dyDescent="0.25">
      <c r="A47" t="str">
        <f t="shared" si="12"/>
        <v/>
      </c>
      <c r="B47" t="str">
        <f t="shared" si="13"/>
        <v/>
      </c>
    </row>
    <row r="48" spans="1:7" x14ac:dyDescent="0.25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 x14ac:dyDescent="0.25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 x14ac:dyDescent="0.25">
      <c r="A50" t="str">
        <f t="shared" si="12"/>
        <v>openPages</v>
      </c>
      <c r="B50" t="str">
        <f t="shared" si="13"/>
        <v>list</v>
      </c>
      <c r="E50" t="s">
        <v>118</v>
      </c>
    </row>
    <row r="51" spans="1:7" x14ac:dyDescent="0.25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347</v>
      </c>
    </row>
    <row r="52" spans="1:7" x14ac:dyDescent="0.25">
      <c r="A52" t="str">
        <f t="shared" si="12"/>
        <v>openPages2</v>
      </c>
      <c r="B52" t="str">
        <f t="shared" si="13"/>
        <v>list</v>
      </c>
      <c r="E52" t="s">
        <v>122</v>
      </c>
    </row>
    <row r="53" spans="1:7" x14ac:dyDescent="0.25">
      <c r="A53" t="str">
        <f t="shared" si="12"/>
        <v>openPages2</v>
      </c>
      <c r="B53" t="str">
        <f t="shared" si="13"/>
        <v>list</v>
      </c>
      <c r="E53" t="s">
        <v>57</v>
      </c>
    </row>
    <row r="54" spans="1:7" x14ac:dyDescent="0.25">
      <c r="A54" t="str">
        <f t="shared" si="12"/>
        <v>openPages2</v>
      </c>
      <c r="B54" t="str">
        <f t="shared" si="13"/>
        <v>list</v>
      </c>
      <c r="E54" t="s">
        <v>56</v>
      </c>
    </row>
    <row r="55" spans="1:7" x14ac:dyDescent="0.25">
      <c r="A55" t="str">
        <f t="shared" si="12"/>
        <v>openPages2</v>
      </c>
      <c r="B55" t="str">
        <f t="shared" si="13"/>
        <v>list</v>
      </c>
      <c r="E55" t="s">
        <v>17</v>
      </c>
    </row>
    <row r="56" spans="1:7" x14ac:dyDescent="0.25">
      <c r="A56" t="str">
        <f t="shared" si="12"/>
        <v>openPages2</v>
      </c>
      <c r="B56" t="str">
        <f t="shared" si="13"/>
        <v>list</v>
      </c>
      <c r="E56" t="s">
        <v>368</v>
      </c>
      <c r="G56" t="s">
        <v>64</v>
      </c>
    </row>
    <row r="57" spans="1:7" x14ac:dyDescent="0.25">
      <c r="A57" t="str">
        <f t="shared" si="12"/>
        <v>openPages2</v>
      </c>
      <c r="B57" t="str">
        <f t="shared" si="13"/>
        <v>list</v>
      </c>
      <c r="E57" t="s">
        <v>58</v>
      </c>
    </row>
    <row r="58" spans="1:7" x14ac:dyDescent="0.25">
      <c r="A58" t="str">
        <f t="shared" si="12"/>
        <v>openPages2</v>
      </c>
      <c r="B58" t="str">
        <f t="shared" si="13"/>
        <v>list</v>
      </c>
      <c r="E58" t="s">
        <v>17</v>
      </c>
    </row>
    <row r="59" spans="1:7" x14ac:dyDescent="0.25">
      <c r="A59" t="str">
        <f t="shared" si="12"/>
        <v>openPages2</v>
      </c>
      <c r="B59" t="str">
        <f t="shared" si="13"/>
        <v>list</v>
      </c>
      <c r="E59" t="s">
        <v>369</v>
      </c>
    </row>
    <row r="60" spans="1:7" x14ac:dyDescent="0.25">
      <c r="A60" t="str">
        <f t="shared" si="12"/>
        <v/>
      </c>
      <c r="B60" t="str">
        <f t="shared" si="13"/>
        <v/>
      </c>
    </row>
    <row r="61" spans="1:7" x14ac:dyDescent="0.25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348</v>
      </c>
      <c r="G61" t="s">
        <v>126</v>
      </c>
    </row>
    <row r="62" spans="1:7" x14ac:dyDescent="0.25">
      <c r="A62" t="str">
        <f t="shared" si="12"/>
        <v>CheckIfTouchOff</v>
      </c>
      <c r="B62" t="str">
        <f t="shared" si="13"/>
        <v>list</v>
      </c>
      <c r="E62" t="s">
        <v>349</v>
      </c>
      <c r="G62" t="s">
        <v>127</v>
      </c>
    </row>
    <row r="63" spans="1:7" x14ac:dyDescent="0.25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350</v>
      </c>
      <c r="G63" t="s">
        <v>128</v>
      </c>
    </row>
    <row r="64" spans="1:7" x14ac:dyDescent="0.25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 x14ac:dyDescent="0.25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 x14ac:dyDescent="0.25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 x14ac:dyDescent="0.25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 x14ac:dyDescent="0.25">
      <c r="A68" t="str">
        <f t="shared" si="12"/>
        <v>disableTouchOn</v>
      </c>
      <c r="B68" t="str">
        <f t="shared" si="13"/>
        <v>list</v>
      </c>
      <c r="E68" t="s">
        <v>351</v>
      </c>
      <c r="G68" t="s">
        <v>133</v>
      </c>
    </row>
    <row r="69" spans="1:7" x14ac:dyDescent="0.25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 x14ac:dyDescent="0.25">
      <c r="A70" t="str">
        <f t="shared" si="12"/>
        <v/>
      </c>
      <c r="B70" t="str">
        <f t="shared" si="13"/>
        <v/>
      </c>
    </row>
    <row r="71" spans="1:7" x14ac:dyDescent="0.25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 x14ac:dyDescent="0.25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 x14ac:dyDescent="0.25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 x14ac:dyDescent="0.25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342</v>
      </c>
      <c r="G74" t="s">
        <v>102</v>
      </c>
    </row>
    <row r="75" spans="1:7" x14ac:dyDescent="0.25">
      <c r="A75" t="str">
        <f t="shared" si="14"/>
        <v/>
      </c>
      <c r="B75" t="str">
        <f t="shared" si="15"/>
        <v/>
      </c>
    </row>
    <row r="76" spans="1:7" x14ac:dyDescent="0.25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340</v>
      </c>
      <c r="G76" t="s">
        <v>143</v>
      </c>
    </row>
    <row r="77" spans="1:7" x14ac:dyDescent="0.25">
      <c r="E77" t="s">
        <v>352</v>
      </c>
    </row>
    <row r="78" spans="1:7" x14ac:dyDescent="0.25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 x14ac:dyDescent="0.25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 x14ac:dyDescent="0.25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353</v>
      </c>
    </row>
    <row r="81" spans="1:7" x14ac:dyDescent="0.25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 x14ac:dyDescent="0.25">
      <c r="A82" t="str">
        <f t="shared" si="14"/>
        <v>DownloadImage2</v>
      </c>
      <c r="B82" t="str">
        <f t="shared" si="15"/>
        <v>list</v>
      </c>
      <c r="E82" t="s">
        <v>354</v>
      </c>
      <c r="G82" t="s">
        <v>355</v>
      </c>
    </row>
    <row r="83" spans="1:7" x14ac:dyDescent="0.25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 x14ac:dyDescent="0.25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356</v>
      </c>
    </row>
    <row r="85" spans="1:7" x14ac:dyDescent="0.25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 x14ac:dyDescent="0.25">
      <c r="A86" t="str">
        <f t="shared" si="18"/>
        <v>DownloadImage2</v>
      </c>
      <c r="B86" t="str">
        <f t="shared" si="19"/>
        <v>list</v>
      </c>
      <c r="E86" t="s">
        <v>357</v>
      </c>
    </row>
    <row r="87" spans="1:7" x14ac:dyDescent="0.25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 x14ac:dyDescent="0.25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 x14ac:dyDescent="0.25">
      <c r="A89" t="str">
        <f t="shared" si="18"/>
        <v>DownloadImage2</v>
      </c>
      <c r="B89" t="str">
        <f t="shared" si="19"/>
        <v>list</v>
      </c>
      <c r="E89" t="s">
        <v>341</v>
      </c>
      <c r="G89" t="s">
        <v>145</v>
      </c>
    </row>
    <row r="90" spans="1:7" x14ac:dyDescent="0.25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 x14ac:dyDescent="0.25">
      <c r="A91" t="str">
        <f t="shared" si="18"/>
        <v/>
      </c>
      <c r="B91" t="str">
        <f t="shared" si="19"/>
        <v/>
      </c>
    </row>
    <row r="92" spans="1:7" x14ac:dyDescent="0.25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 x14ac:dyDescent="0.25">
      <c r="A93" t="str">
        <f t="shared" si="18"/>
        <v>imagelist</v>
      </c>
      <c r="B93" t="str">
        <f t="shared" si="19"/>
        <v>list</v>
      </c>
      <c r="E93" t="s">
        <v>91</v>
      </c>
    </row>
    <row r="94" spans="1:7" x14ac:dyDescent="0.25">
      <c r="A94" t="str">
        <f t="shared" si="18"/>
        <v>imagelist</v>
      </c>
      <c r="B94" t="str">
        <f t="shared" si="19"/>
        <v>list</v>
      </c>
      <c r="E94" t="s">
        <v>76</v>
      </c>
    </row>
    <row r="95" spans="1:7" x14ac:dyDescent="0.25">
      <c r="A95" t="str">
        <f t="shared" si="18"/>
        <v>imagelist</v>
      </c>
      <c r="B95" t="str">
        <f t="shared" si="19"/>
        <v>list</v>
      </c>
      <c r="E95" t="s">
        <v>77</v>
      </c>
    </row>
    <row r="96" spans="1:7" x14ac:dyDescent="0.25">
      <c r="A96" t="str">
        <f t="shared" si="18"/>
        <v>imagelist</v>
      </c>
      <c r="B96" t="str">
        <f t="shared" si="19"/>
        <v>list</v>
      </c>
      <c r="E96" t="s">
        <v>78</v>
      </c>
    </row>
    <row r="97" spans="1:5" x14ac:dyDescent="0.25">
      <c r="A97" t="str">
        <f t="shared" si="18"/>
        <v>imagelist</v>
      </c>
      <c r="B97" t="str">
        <f t="shared" si="19"/>
        <v>list</v>
      </c>
      <c r="E97" t="s">
        <v>85</v>
      </c>
    </row>
    <row r="98" spans="1:5" x14ac:dyDescent="0.25">
      <c r="A98" t="str">
        <f t="shared" si="16"/>
        <v>imagelist</v>
      </c>
      <c r="B98" t="str">
        <f t="shared" si="17"/>
        <v>list</v>
      </c>
      <c r="E98" t="s">
        <v>79</v>
      </c>
    </row>
    <row r="99" spans="1:5" x14ac:dyDescent="0.25">
      <c r="A99" t="str">
        <f t="shared" si="16"/>
        <v>imagelist</v>
      </c>
      <c r="B99" t="str">
        <f t="shared" si="17"/>
        <v>list</v>
      </c>
      <c r="E99" t="s">
        <v>86</v>
      </c>
    </row>
    <row r="100" spans="1:5" x14ac:dyDescent="0.2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 x14ac:dyDescent="0.2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 x14ac:dyDescent="0.2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 x14ac:dyDescent="0.2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 x14ac:dyDescent="0.2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 x14ac:dyDescent="0.2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 x14ac:dyDescent="0.2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 x14ac:dyDescent="0.2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 x14ac:dyDescent="0.25">
      <c r="A108" t="str">
        <f t="shared" si="16"/>
        <v/>
      </c>
      <c r="B108" t="str">
        <f t="shared" si="17"/>
        <v/>
      </c>
    </row>
    <row r="109" spans="1:5" x14ac:dyDescent="0.25">
      <c r="A109" t="str">
        <f t="shared" si="16"/>
        <v/>
      </c>
      <c r="B109" t="str">
        <f t="shared" si="17"/>
        <v/>
      </c>
    </row>
    <row r="110" spans="1:5" x14ac:dyDescent="0.2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 x14ac:dyDescent="0.2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 x14ac:dyDescent="0.25">
      <c r="A112" t="str">
        <f t="shared" si="16"/>
        <v/>
      </c>
      <c r="B112" t="str">
        <f t="shared" si="17"/>
        <v/>
      </c>
    </row>
    <row r="113" spans="1:7" x14ac:dyDescent="0.25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 x14ac:dyDescent="0.25">
      <c r="A114" t="str">
        <f t="shared" si="16"/>
        <v/>
      </c>
      <c r="B114" t="str">
        <f t="shared" si="17"/>
        <v/>
      </c>
    </row>
    <row r="115" spans="1:7" x14ac:dyDescent="0.25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 x14ac:dyDescent="0.25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 x14ac:dyDescent="0.25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 x14ac:dyDescent="0.25">
      <c r="A118" t="str">
        <f t="shared" si="16"/>
        <v/>
      </c>
      <c r="B118" t="str">
        <f t="shared" si="17"/>
        <v/>
      </c>
    </row>
    <row r="119" spans="1:7" x14ac:dyDescent="0.25">
      <c r="A119" t="str">
        <f t="shared" si="16"/>
        <v/>
      </c>
      <c r="B119" t="str">
        <f t="shared" si="17"/>
        <v/>
      </c>
    </row>
    <row r="120" spans="1:7" x14ac:dyDescent="0.25">
      <c r="A120" t="str">
        <f t="shared" si="16"/>
        <v/>
      </c>
      <c r="B120" t="str">
        <f t="shared" si="17"/>
        <v/>
      </c>
    </row>
    <row r="121" spans="1:7" x14ac:dyDescent="0.25">
      <c r="A121" t="str">
        <f t="shared" si="16"/>
        <v/>
      </c>
      <c r="B121" t="str">
        <f t="shared" si="17"/>
        <v/>
      </c>
    </row>
    <row r="122" spans="1:7" x14ac:dyDescent="0.25">
      <c r="A122" t="str">
        <f t="shared" si="16"/>
        <v/>
      </c>
      <c r="B122" t="str">
        <f t="shared" si="17"/>
        <v/>
      </c>
    </row>
    <row r="123" spans="1:7" x14ac:dyDescent="0.25">
      <c r="A123" t="str">
        <f t="shared" si="16"/>
        <v/>
      </c>
      <c r="B123" t="str">
        <f t="shared" si="17"/>
        <v/>
      </c>
    </row>
    <row r="124" spans="1:7" x14ac:dyDescent="0.25">
      <c r="A124" t="str">
        <f t="shared" si="16"/>
        <v/>
      </c>
      <c r="B124" t="str">
        <f t="shared" si="17"/>
        <v/>
      </c>
    </row>
    <row r="125" spans="1:7" x14ac:dyDescent="0.25">
      <c r="A125" t="str">
        <f t="shared" si="16"/>
        <v/>
      </c>
      <c r="B125" t="str">
        <f t="shared" si="17"/>
        <v/>
      </c>
    </row>
    <row r="126" spans="1:7" x14ac:dyDescent="0.25">
      <c r="A126" t="str">
        <f t="shared" si="16"/>
        <v/>
      </c>
      <c r="B126" t="str">
        <f t="shared" si="17"/>
        <v/>
      </c>
    </row>
    <row r="127" spans="1:7" x14ac:dyDescent="0.25">
      <c r="A127" t="str">
        <f t="shared" si="16"/>
        <v/>
      </c>
      <c r="B127" t="str">
        <f t="shared" si="17"/>
        <v/>
      </c>
    </row>
    <row r="128" spans="1:7" x14ac:dyDescent="0.25">
      <c r="A128" t="str">
        <f t="shared" si="16"/>
        <v/>
      </c>
      <c r="B128" t="str">
        <f t="shared" si="17"/>
        <v/>
      </c>
    </row>
    <row r="129" spans="1:2" x14ac:dyDescent="0.25">
      <c r="A129" t="str">
        <f t="shared" si="16"/>
        <v/>
      </c>
      <c r="B129" t="str">
        <f t="shared" si="17"/>
        <v/>
      </c>
    </row>
    <row r="130" spans="1:2" x14ac:dyDescent="0.25">
      <c r="A130" t="str">
        <f t="shared" si="16"/>
        <v/>
      </c>
      <c r="B130" t="str">
        <f t="shared" si="17"/>
        <v/>
      </c>
    </row>
    <row r="131" spans="1:2" x14ac:dyDescent="0.25">
      <c r="A131" t="str">
        <f t="shared" si="16"/>
        <v/>
      </c>
      <c r="B131" t="str">
        <f t="shared" si="17"/>
        <v/>
      </c>
    </row>
    <row r="132" spans="1:2" x14ac:dyDescent="0.25">
      <c r="A132" t="str">
        <f t="shared" si="16"/>
        <v/>
      </c>
      <c r="B132" t="str">
        <f t="shared" si="17"/>
        <v/>
      </c>
    </row>
    <row r="133" spans="1:2" x14ac:dyDescent="0.25">
      <c r="A133" t="str">
        <f t="shared" si="16"/>
        <v/>
      </c>
      <c r="B133" t="str">
        <f t="shared" si="17"/>
        <v/>
      </c>
    </row>
    <row r="134" spans="1:2" x14ac:dyDescent="0.25">
      <c r="A134" t="str">
        <f t="shared" si="16"/>
        <v/>
      </c>
      <c r="B134" t="str">
        <f t="shared" si="17"/>
        <v/>
      </c>
    </row>
    <row r="135" spans="1:2" x14ac:dyDescent="0.25">
      <c r="A135" t="str">
        <f t="shared" si="16"/>
        <v/>
      </c>
      <c r="B135" t="str">
        <f t="shared" si="17"/>
        <v/>
      </c>
    </row>
    <row r="136" spans="1:2" x14ac:dyDescent="0.25">
      <c r="A136" t="str">
        <f t="shared" si="16"/>
        <v/>
      </c>
      <c r="B136" t="str">
        <f t="shared" si="17"/>
        <v/>
      </c>
    </row>
    <row r="137" spans="1:2" x14ac:dyDescent="0.25">
      <c r="A137" t="str">
        <f t="shared" si="16"/>
        <v/>
      </c>
      <c r="B137" t="str">
        <f t="shared" si="17"/>
        <v/>
      </c>
    </row>
    <row r="138" spans="1:2" x14ac:dyDescent="0.25">
      <c r="A138" t="str">
        <f t="shared" si="16"/>
        <v/>
      </c>
      <c r="B138" t="str">
        <f t="shared" si="17"/>
        <v/>
      </c>
    </row>
    <row r="139" spans="1:2" x14ac:dyDescent="0.25">
      <c r="A139" t="str">
        <f t="shared" si="16"/>
        <v/>
      </c>
      <c r="B139" t="str">
        <f t="shared" si="17"/>
        <v/>
      </c>
    </row>
    <row r="140" spans="1:2" x14ac:dyDescent="0.25">
      <c r="A140" t="str">
        <f t="shared" si="16"/>
        <v/>
      </c>
      <c r="B140" t="str">
        <f t="shared" si="17"/>
        <v/>
      </c>
    </row>
    <row r="141" spans="1:2" x14ac:dyDescent="0.25">
      <c r="A141" t="str">
        <f t="shared" si="16"/>
        <v/>
      </c>
      <c r="B141" t="str">
        <f t="shared" si="17"/>
        <v/>
      </c>
    </row>
    <row r="142" spans="1:2" x14ac:dyDescent="0.25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 x14ac:dyDescent="0.25">
      <c r="A143" t="str">
        <f t="shared" si="20"/>
        <v/>
      </c>
      <c r="B143" t="str">
        <f t="shared" si="21"/>
        <v/>
      </c>
    </row>
    <row r="144" spans="1:2" x14ac:dyDescent="0.25">
      <c r="A144" t="str">
        <f t="shared" si="20"/>
        <v/>
      </c>
      <c r="B144" t="str">
        <f t="shared" si="21"/>
        <v/>
      </c>
    </row>
    <row r="145" spans="1:2" x14ac:dyDescent="0.25">
      <c r="A145" t="str">
        <f t="shared" si="20"/>
        <v/>
      </c>
      <c r="B145" t="str">
        <f t="shared" si="21"/>
        <v/>
      </c>
    </row>
    <row r="146" spans="1:2" x14ac:dyDescent="0.25">
      <c r="A146" t="str">
        <f t="shared" si="20"/>
        <v/>
      </c>
      <c r="B146" t="str">
        <f t="shared" si="21"/>
        <v/>
      </c>
    </row>
    <row r="147" spans="1:2" x14ac:dyDescent="0.25">
      <c r="A147" t="str">
        <f t="shared" si="20"/>
        <v/>
      </c>
      <c r="B147" t="str">
        <f t="shared" si="21"/>
        <v/>
      </c>
    </row>
    <row r="148" spans="1:2" x14ac:dyDescent="0.25">
      <c r="A148" t="str">
        <f t="shared" si="20"/>
        <v/>
      </c>
      <c r="B148" t="str">
        <f t="shared" si="21"/>
        <v/>
      </c>
    </row>
    <row r="149" spans="1:2" x14ac:dyDescent="0.25">
      <c r="A149" t="str">
        <f t="shared" si="20"/>
        <v/>
      </c>
      <c r="B149" t="str">
        <f t="shared" si="21"/>
        <v/>
      </c>
    </row>
    <row r="150" spans="1:2" x14ac:dyDescent="0.25">
      <c r="A150" t="str">
        <f t="shared" si="20"/>
        <v/>
      </c>
      <c r="B150" t="str">
        <f t="shared" si="21"/>
        <v/>
      </c>
    </row>
    <row r="151" spans="1:2" x14ac:dyDescent="0.25">
      <c r="A151" t="str">
        <f t="shared" si="20"/>
        <v/>
      </c>
      <c r="B151" t="str">
        <f t="shared" si="21"/>
        <v/>
      </c>
    </row>
    <row r="152" spans="1:2" x14ac:dyDescent="0.25">
      <c r="A152" t="str">
        <f t="shared" si="20"/>
        <v/>
      </c>
      <c r="B152" t="str">
        <f t="shared" si="21"/>
        <v/>
      </c>
    </row>
    <row r="153" spans="1:2" x14ac:dyDescent="0.25">
      <c r="A153" t="str">
        <f t="shared" si="20"/>
        <v/>
      </c>
      <c r="B153" t="str">
        <f t="shared" si="21"/>
        <v/>
      </c>
    </row>
    <row r="154" spans="1:2" x14ac:dyDescent="0.25">
      <c r="A154" t="str">
        <f t="shared" si="20"/>
        <v/>
      </c>
      <c r="B154" t="str">
        <f t="shared" si="21"/>
        <v/>
      </c>
    </row>
    <row r="155" spans="1:2" x14ac:dyDescent="0.25">
      <c r="A155" t="str">
        <f t="shared" si="20"/>
        <v/>
      </c>
      <c r="B155" t="str">
        <f t="shared" si="21"/>
        <v/>
      </c>
    </row>
    <row r="156" spans="1:2" x14ac:dyDescent="0.25">
      <c r="A156" t="str">
        <f t="shared" si="20"/>
        <v/>
      </c>
      <c r="B156" t="str">
        <f t="shared" si="21"/>
        <v/>
      </c>
    </row>
    <row r="157" spans="1:2" x14ac:dyDescent="0.25">
      <c r="A157" t="str">
        <f t="shared" si="20"/>
        <v/>
      </c>
      <c r="B157" t="str">
        <f t="shared" si="21"/>
        <v/>
      </c>
    </row>
    <row r="158" spans="1:2" x14ac:dyDescent="0.25">
      <c r="A158" t="str">
        <f t="shared" si="20"/>
        <v/>
      </c>
      <c r="B158" t="str">
        <f t="shared" si="21"/>
        <v/>
      </c>
    </row>
    <row r="159" spans="1:2" x14ac:dyDescent="0.25">
      <c r="A159" t="str">
        <f t="shared" si="20"/>
        <v/>
      </c>
      <c r="B159" t="str">
        <f t="shared" si="21"/>
        <v/>
      </c>
    </row>
    <row r="160" spans="1:2" x14ac:dyDescent="0.25">
      <c r="A160" t="str">
        <f t="shared" si="20"/>
        <v/>
      </c>
      <c r="B160" t="str">
        <f t="shared" si="21"/>
        <v/>
      </c>
    </row>
    <row r="161" spans="1:2" x14ac:dyDescent="0.25">
      <c r="A161" t="str">
        <f t="shared" si="20"/>
        <v/>
      </c>
      <c r="B161" t="str">
        <f t="shared" si="21"/>
        <v/>
      </c>
    </row>
    <row r="162" spans="1:2" x14ac:dyDescent="0.25">
      <c r="A162" t="str">
        <f t="shared" si="20"/>
        <v/>
      </c>
      <c r="B162" t="str">
        <f t="shared" si="21"/>
        <v/>
      </c>
    </row>
    <row r="163" spans="1:2" x14ac:dyDescent="0.25">
      <c r="A163" t="str">
        <f t="shared" si="20"/>
        <v/>
      </c>
      <c r="B163" t="str">
        <f t="shared" si="21"/>
        <v/>
      </c>
    </row>
    <row r="164" spans="1:2" x14ac:dyDescent="0.25">
      <c r="A164" t="str">
        <f t="shared" si="20"/>
        <v/>
      </c>
      <c r="B164" t="str">
        <f t="shared" si="21"/>
        <v/>
      </c>
    </row>
    <row r="165" spans="1:2" x14ac:dyDescent="0.25">
      <c r="A165" t="str">
        <f t="shared" si="20"/>
        <v/>
      </c>
      <c r="B165" t="str">
        <f t="shared" si="21"/>
        <v/>
      </c>
    </row>
    <row r="166" spans="1:2" x14ac:dyDescent="0.25">
      <c r="A166" t="str">
        <f t="shared" si="20"/>
        <v/>
      </c>
      <c r="B166" t="str">
        <f t="shared" si="21"/>
        <v/>
      </c>
    </row>
    <row r="167" spans="1:2" x14ac:dyDescent="0.25">
      <c r="A167" t="str">
        <f t="shared" si="20"/>
        <v/>
      </c>
      <c r="B167" t="str">
        <f t="shared" si="21"/>
        <v/>
      </c>
    </row>
    <row r="168" spans="1:2" x14ac:dyDescent="0.25">
      <c r="A168" t="str">
        <f t="shared" si="20"/>
        <v/>
      </c>
      <c r="B168" t="str">
        <f t="shared" si="21"/>
        <v/>
      </c>
    </row>
    <row r="169" spans="1:2" x14ac:dyDescent="0.25">
      <c r="A169" t="str">
        <f t="shared" si="20"/>
        <v/>
      </c>
      <c r="B169" t="str">
        <f t="shared" si="21"/>
        <v/>
      </c>
    </row>
    <row r="170" spans="1:2" x14ac:dyDescent="0.25">
      <c r="A170" t="str">
        <f t="shared" si="20"/>
        <v/>
      </c>
      <c r="B170" t="str">
        <f t="shared" si="21"/>
        <v/>
      </c>
    </row>
    <row r="171" spans="1:2" x14ac:dyDescent="0.25">
      <c r="A171" t="str">
        <f t="shared" si="20"/>
        <v/>
      </c>
      <c r="B171" t="str">
        <f t="shared" si="21"/>
        <v/>
      </c>
    </row>
    <row r="172" spans="1:2" x14ac:dyDescent="0.25">
      <c r="A172" t="str">
        <f t="shared" si="20"/>
        <v/>
      </c>
      <c r="B172" t="str">
        <f t="shared" si="21"/>
        <v/>
      </c>
    </row>
    <row r="173" spans="1:2" x14ac:dyDescent="0.25">
      <c r="A173" t="str">
        <f t="shared" si="20"/>
        <v/>
      </c>
      <c r="B173" t="str">
        <f t="shared" si="21"/>
        <v/>
      </c>
    </row>
    <row r="174" spans="1:2" x14ac:dyDescent="0.25">
      <c r="A174" t="str">
        <f t="shared" si="20"/>
        <v/>
      </c>
      <c r="B174" t="str">
        <f t="shared" si="21"/>
        <v/>
      </c>
    </row>
    <row r="175" spans="1:2" x14ac:dyDescent="0.25">
      <c r="A175" t="str">
        <f t="shared" si="20"/>
        <v/>
      </c>
      <c r="B175" t="str">
        <f t="shared" si="21"/>
        <v/>
      </c>
    </row>
    <row r="176" spans="1:2" x14ac:dyDescent="0.25">
      <c r="A176" t="str">
        <f t="shared" si="20"/>
        <v/>
      </c>
      <c r="B176" t="str">
        <f t="shared" si="21"/>
        <v/>
      </c>
    </row>
    <row r="177" spans="1:2" x14ac:dyDescent="0.25">
      <c r="A177" t="str">
        <f t="shared" si="20"/>
        <v/>
      </c>
      <c r="B177" t="str">
        <f t="shared" si="21"/>
        <v/>
      </c>
    </row>
    <row r="178" spans="1:2" x14ac:dyDescent="0.25">
      <c r="A178" t="str">
        <f t="shared" si="20"/>
        <v/>
      </c>
      <c r="B178" t="str">
        <f t="shared" si="21"/>
        <v/>
      </c>
    </row>
    <row r="179" spans="1:2" x14ac:dyDescent="0.25">
      <c r="A179" t="str">
        <f t="shared" si="20"/>
        <v/>
      </c>
      <c r="B179" t="str">
        <f t="shared" si="21"/>
        <v/>
      </c>
    </row>
    <row r="180" spans="1:2" x14ac:dyDescent="0.25">
      <c r="A180" t="str">
        <f t="shared" si="20"/>
        <v/>
      </c>
      <c r="B180" t="str">
        <f t="shared" si="21"/>
        <v/>
      </c>
    </row>
    <row r="181" spans="1:2" x14ac:dyDescent="0.25">
      <c r="A181" t="str">
        <f t="shared" si="20"/>
        <v/>
      </c>
      <c r="B181" t="str">
        <f t="shared" si="21"/>
        <v/>
      </c>
    </row>
    <row r="182" spans="1:2" x14ac:dyDescent="0.25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 x14ac:dyDescent="0.25">
      <c r="A183" t="str">
        <f t="shared" si="22"/>
        <v/>
      </c>
      <c r="B183" t="str">
        <f t="shared" si="23"/>
        <v/>
      </c>
    </row>
    <row r="184" spans="1:2" x14ac:dyDescent="0.25">
      <c r="A184" t="str">
        <f t="shared" si="22"/>
        <v/>
      </c>
      <c r="B184" t="str">
        <f t="shared" si="23"/>
        <v/>
      </c>
    </row>
    <row r="185" spans="1:2" x14ac:dyDescent="0.25">
      <c r="A185" t="str">
        <f t="shared" si="22"/>
        <v/>
      </c>
      <c r="B185" t="str">
        <f t="shared" si="23"/>
        <v/>
      </c>
    </row>
    <row r="186" spans="1:2" x14ac:dyDescent="0.25">
      <c r="A186" t="str">
        <f t="shared" si="22"/>
        <v/>
      </c>
      <c r="B186" t="str">
        <f t="shared" si="23"/>
        <v/>
      </c>
    </row>
    <row r="187" spans="1:2" x14ac:dyDescent="0.25">
      <c r="A187" t="str">
        <f t="shared" si="22"/>
        <v/>
      </c>
      <c r="B187" t="str">
        <f t="shared" si="23"/>
        <v/>
      </c>
    </row>
    <row r="188" spans="1:2" x14ac:dyDescent="0.25">
      <c r="A188" t="str">
        <f t="shared" si="22"/>
        <v/>
      </c>
      <c r="B188" t="str">
        <f t="shared" si="23"/>
        <v/>
      </c>
    </row>
    <row r="189" spans="1:2" x14ac:dyDescent="0.25">
      <c r="A189" t="str">
        <f t="shared" si="22"/>
        <v/>
      </c>
      <c r="B189" t="str">
        <f t="shared" si="23"/>
        <v/>
      </c>
    </row>
    <row r="190" spans="1:2" x14ac:dyDescent="0.25">
      <c r="A190" t="str">
        <f t="shared" si="22"/>
        <v/>
      </c>
      <c r="B190" t="str">
        <f t="shared" si="23"/>
        <v/>
      </c>
    </row>
    <row r="191" spans="1:2" x14ac:dyDescent="0.25">
      <c r="A191" t="str">
        <f t="shared" si="22"/>
        <v/>
      </c>
      <c r="B191" t="str">
        <f t="shared" si="23"/>
        <v/>
      </c>
    </row>
    <row r="192" spans="1:2" x14ac:dyDescent="0.25">
      <c r="A192" t="str">
        <f t="shared" si="22"/>
        <v/>
      </c>
      <c r="B192" t="str">
        <f t="shared" si="23"/>
        <v/>
      </c>
    </row>
    <row r="193" spans="1:2" x14ac:dyDescent="0.25">
      <c r="A193" t="str">
        <f t="shared" si="22"/>
        <v/>
      </c>
      <c r="B193" t="str">
        <f t="shared" si="23"/>
        <v/>
      </c>
    </row>
    <row r="194" spans="1:2" x14ac:dyDescent="0.25">
      <c r="A194" t="str">
        <f t="shared" si="22"/>
        <v/>
      </c>
      <c r="B194" t="str">
        <f t="shared" si="23"/>
        <v/>
      </c>
    </row>
    <row r="195" spans="1:2" x14ac:dyDescent="0.25">
      <c r="A195" t="str">
        <f t="shared" si="22"/>
        <v/>
      </c>
      <c r="B195" t="str">
        <f t="shared" si="23"/>
        <v/>
      </c>
    </row>
    <row r="196" spans="1:2" x14ac:dyDescent="0.25">
      <c r="A196" t="str">
        <f t="shared" si="22"/>
        <v/>
      </c>
      <c r="B196" t="str">
        <f t="shared" si="23"/>
        <v/>
      </c>
    </row>
    <row r="197" spans="1:2" x14ac:dyDescent="0.25">
      <c r="A197" t="str">
        <f t="shared" si="22"/>
        <v/>
      </c>
      <c r="B197" t="str">
        <f t="shared" si="23"/>
        <v/>
      </c>
    </row>
    <row r="198" spans="1:2" x14ac:dyDescent="0.25">
      <c r="A198" t="str">
        <f t="shared" si="22"/>
        <v/>
      </c>
      <c r="B198" t="str">
        <f t="shared" si="23"/>
        <v/>
      </c>
    </row>
    <row r="199" spans="1:2" x14ac:dyDescent="0.25">
      <c r="A199" t="str">
        <f t="shared" si="22"/>
        <v/>
      </c>
      <c r="B199" t="str">
        <f t="shared" si="23"/>
        <v/>
      </c>
    </row>
    <row r="200" spans="1:2" x14ac:dyDescent="0.25">
      <c r="A200" t="str">
        <f t="shared" si="22"/>
        <v/>
      </c>
      <c r="B200" t="str">
        <f t="shared" si="23"/>
        <v/>
      </c>
    </row>
    <row r="201" spans="1:2" x14ac:dyDescent="0.25">
      <c r="A201" t="str">
        <f t="shared" si="22"/>
        <v/>
      </c>
      <c r="B201" t="str">
        <f t="shared" si="23"/>
        <v/>
      </c>
    </row>
    <row r="202" spans="1:2" x14ac:dyDescent="0.25">
      <c r="A202" t="str">
        <f t="shared" si="22"/>
        <v/>
      </c>
      <c r="B202" t="str">
        <f t="shared" si="23"/>
        <v/>
      </c>
    </row>
    <row r="203" spans="1:2" x14ac:dyDescent="0.25">
      <c r="A203" t="str">
        <f t="shared" si="22"/>
        <v/>
      </c>
      <c r="B203" t="str">
        <f t="shared" si="23"/>
        <v/>
      </c>
    </row>
    <row r="204" spans="1:2" x14ac:dyDescent="0.25">
      <c r="A204" t="str">
        <f t="shared" si="22"/>
        <v/>
      </c>
      <c r="B204" t="str">
        <f t="shared" si="23"/>
        <v/>
      </c>
    </row>
    <row r="205" spans="1:2" x14ac:dyDescent="0.25">
      <c r="A205" t="str">
        <f t="shared" si="22"/>
        <v/>
      </c>
      <c r="B205" t="str">
        <f t="shared" si="23"/>
        <v/>
      </c>
    </row>
    <row r="206" spans="1:2" x14ac:dyDescent="0.25">
      <c r="A206" t="str">
        <f t="shared" si="22"/>
        <v/>
      </c>
      <c r="B206" t="str">
        <f t="shared" si="23"/>
        <v/>
      </c>
    </row>
    <row r="207" spans="1:2" x14ac:dyDescent="0.25">
      <c r="A207" t="str">
        <f t="shared" si="22"/>
        <v/>
      </c>
      <c r="B207" t="str">
        <f t="shared" si="23"/>
        <v/>
      </c>
    </row>
    <row r="208" spans="1:2" x14ac:dyDescent="0.25">
      <c r="A208" t="str">
        <f t="shared" si="22"/>
        <v/>
      </c>
      <c r="B208" t="str">
        <f t="shared" si="23"/>
        <v/>
      </c>
    </row>
    <row r="209" spans="1:2" x14ac:dyDescent="0.25">
      <c r="A209" t="str">
        <f t="shared" si="22"/>
        <v/>
      </c>
      <c r="B209" t="str">
        <f t="shared" si="23"/>
        <v/>
      </c>
    </row>
    <row r="210" spans="1:2" x14ac:dyDescent="0.25">
      <c r="A210" t="str">
        <f t="shared" si="22"/>
        <v/>
      </c>
      <c r="B210" t="str">
        <f t="shared" si="23"/>
        <v/>
      </c>
    </row>
    <row r="211" spans="1:2" x14ac:dyDescent="0.25">
      <c r="A211" t="str">
        <f t="shared" si="22"/>
        <v/>
      </c>
      <c r="B211" t="str">
        <f t="shared" si="23"/>
        <v/>
      </c>
    </row>
    <row r="212" spans="1:2" x14ac:dyDescent="0.25">
      <c r="A212" t="str">
        <f t="shared" si="22"/>
        <v/>
      </c>
      <c r="B212" t="str">
        <f t="shared" si="23"/>
        <v/>
      </c>
    </row>
    <row r="213" spans="1:2" x14ac:dyDescent="0.25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 x14ac:dyDescent="0.25">
      <c r="A214" t="str">
        <f t="shared" si="24"/>
        <v/>
      </c>
      <c r="B214" t="str">
        <f t="shared" si="25"/>
        <v/>
      </c>
    </row>
    <row r="215" spans="1:2" x14ac:dyDescent="0.25">
      <c r="A215" t="str">
        <f t="shared" si="24"/>
        <v/>
      </c>
      <c r="B215" t="str">
        <f t="shared" si="25"/>
        <v/>
      </c>
    </row>
    <row r="216" spans="1:2" x14ac:dyDescent="0.25">
      <c r="A216" t="str">
        <f t="shared" si="24"/>
        <v/>
      </c>
      <c r="B216" t="str">
        <f t="shared" si="25"/>
        <v/>
      </c>
    </row>
    <row r="217" spans="1:2" x14ac:dyDescent="0.25">
      <c r="A217" t="str">
        <f t="shared" si="24"/>
        <v/>
      </c>
      <c r="B217" t="str">
        <f t="shared" si="25"/>
        <v/>
      </c>
    </row>
    <row r="218" spans="1:2" x14ac:dyDescent="0.25">
      <c r="A218" t="str">
        <f t="shared" si="24"/>
        <v/>
      </c>
      <c r="B218" t="str">
        <f t="shared" si="25"/>
        <v/>
      </c>
    </row>
    <row r="219" spans="1:2" x14ac:dyDescent="0.25">
      <c r="A219" t="str">
        <f t="shared" si="24"/>
        <v/>
      </c>
      <c r="B219" t="str">
        <f t="shared" si="25"/>
        <v/>
      </c>
    </row>
    <row r="220" spans="1:2" x14ac:dyDescent="0.25">
      <c r="A220" t="str">
        <f t="shared" si="24"/>
        <v/>
      </c>
      <c r="B220" t="str">
        <f t="shared" si="25"/>
        <v/>
      </c>
    </row>
    <row r="221" spans="1:2" x14ac:dyDescent="0.25">
      <c r="A221" t="str">
        <f t="shared" si="24"/>
        <v/>
      </c>
      <c r="B221" t="str">
        <f t="shared" si="25"/>
        <v/>
      </c>
    </row>
    <row r="222" spans="1:2" x14ac:dyDescent="0.25">
      <c r="A222" t="str">
        <f t="shared" si="24"/>
        <v/>
      </c>
      <c r="B222" t="str">
        <f t="shared" si="25"/>
        <v/>
      </c>
    </row>
    <row r="223" spans="1:2" x14ac:dyDescent="0.25">
      <c r="A223" t="str">
        <f t="shared" si="24"/>
        <v/>
      </c>
      <c r="B223" t="str">
        <f t="shared" si="25"/>
        <v/>
      </c>
    </row>
    <row r="224" spans="1:2" x14ac:dyDescent="0.25">
      <c r="A224" t="str">
        <f t="shared" si="24"/>
        <v/>
      </c>
      <c r="B224" t="str">
        <f t="shared" si="25"/>
        <v/>
      </c>
    </row>
    <row r="225" spans="1:2" x14ac:dyDescent="0.25">
      <c r="A225" t="str">
        <f t="shared" si="24"/>
        <v/>
      </c>
      <c r="B225" t="str">
        <f t="shared" si="25"/>
        <v/>
      </c>
    </row>
    <row r="226" spans="1:2" x14ac:dyDescent="0.25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185" workbookViewId="0">
      <selection activeCell="E153" sqref="E153:E200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3"/>
        <v/>
      </c>
      <c r="B10" t="str">
        <f t="shared" si="4"/>
        <v/>
      </c>
    </row>
    <row r="27" spans="1:7" x14ac:dyDescent="0.25">
      <c r="A27" t="str">
        <f>IF(D27="",IF(E27="","",A10),D27)</f>
        <v/>
      </c>
      <c r="B27" t="str">
        <f>IF(C27="",IF(E27="","",B10),C27)</f>
        <v/>
      </c>
    </row>
    <row r="28" spans="1:7" x14ac:dyDescent="0.25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 x14ac:dyDescent="0.25">
      <c r="A29" t="str">
        <f t="shared" si="3"/>
        <v>URL</v>
      </c>
      <c r="B29" t="str">
        <f t="shared" si="4"/>
        <v>key</v>
      </c>
      <c r="E29" t="s">
        <v>154</v>
      </c>
      <c r="F29" t="s">
        <v>155</v>
      </c>
    </row>
    <row r="30" spans="1:7" x14ac:dyDescent="0.25">
      <c r="A30" t="str">
        <f t="shared" si="3"/>
        <v/>
      </c>
      <c r="B30" t="str">
        <f t="shared" si="4"/>
        <v/>
      </c>
    </row>
    <row r="31" spans="1:7" x14ac:dyDescent="0.25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 x14ac:dyDescent="0.25">
      <c r="A32" t="str">
        <f t="shared" si="3"/>
        <v>main</v>
      </c>
      <c r="B32" t="str">
        <f t="shared" si="4"/>
        <v>list</v>
      </c>
      <c r="E32" t="s">
        <v>0</v>
      </c>
    </row>
    <row r="33" spans="1:7" x14ac:dyDescent="0.25">
      <c r="A33" t="str">
        <f t="shared" si="3"/>
        <v>main</v>
      </c>
      <c r="B33" t="str">
        <f t="shared" si="4"/>
        <v>list</v>
      </c>
      <c r="E33" t="s">
        <v>156</v>
      </c>
    </row>
    <row r="34" spans="1:7" x14ac:dyDescent="0.25">
      <c r="E34" t="s">
        <v>310</v>
      </c>
    </row>
    <row r="35" spans="1:7" x14ac:dyDescent="0.25">
      <c r="E35" t="s">
        <v>24</v>
      </c>
    </row>
    <row r="36" spans="1:7" x14ac:dyDescent="0.25">
      <c r="E36" t="s">
        <v>312</v>
      </c>
    </row>
    <row r="37" spans="1:7" x14ac:dyDescent="0.25">
      <c r="E37" t="s">
        <v>311</v>
      </c>
    </row>
    <row r="39" spans="1:7" x14ac:dyDescent="0.25">
      <c r="D39" t="s">
        <v>311</v>
      </c>
      <c r="E39" t="s">
        <v>310</v>
      </c>
    </row>
    <row r="40" spans="1:7" x14ac:dyDescent="0.25">
      <c r="E40" t="s">
        <v>24</v>
      </c>
    </row>
    <row r="41" spans="1:7" x14ac:dyDescent="0.25">
      <c r="E41" t="s">
        <v>312</v>
      </c>
    </row>
    <row r="42" spans="1:7" x14ac:dyDescent="0.25">
      <c r="E42" t="s">
        <v>313</v>
      </c>
    </row>
    <row r="43" spans="1:7" x14ac:dyDescent="0.25">
      <c r="E43" t="s">
        <v>314</v>
      </c>
    </row>
    <row r="44" spans="1:7" x14ac:dyDescent="0.25">
      <c r="D44" t="s">
        <v>317</v>
      </c>
      <c r="E44" t="s">
        <v>316</v>
      </c>
    </row>
    <row r="45" spans="1:7" x14ac:dyDescent="0.25">
      <c r="E45" t="s">
        <v>315</v>
      </c>
    </row>
    <row r="46" spans="1:7" x14ac:dyDescent="0.25">
      <c r="E46" t="s">
        <v>151</v>
      </c>
    </row>
    <row r="48" spans="1:7" x14ac:dyDescent="0.25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 x14ac:dyDescent="0.25">
      <c r="A49" t="str">
        <f t="shared" si="3"/>
        <v>main</v>
      </c>
      <c r="B49" t="str">
        <f t="shared" si="4"/>
        <v>list</v>
      </c>
      <c r="E49" t="s">
        <v>1</v>
      </c>
    </row>
    <row r="50" spans="1:13" x14ac:dyDescent="0.25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createPDF:imagelist,./Output/Images/,./Output/APAC_Daily_Sales_20221204093512.pdf</v>
      </c>
    </row>
    <row r="51" spans="1:13" x14ac:dyDescent="0.25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 x14ac:dyDescent="0.25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20221204093512</v>
      </c>
    </row>
    <row r="53" spans="1:13" x14ac:dyDescent="0.25">
      <c r="A53" t="str">
        <f t="shared" si="3"/>
        <v/>
      </c>
      <c r="B53" t="str">
        <f t="shared" si="4"/>
        <v/>
      </c>
    </row>
    <row r="54" spans="1:13" x14ac:dyDescent="0.25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 x14ac:dyDescent="0.25">
      <c r="A55" t="str">
        <f t="shared" si="3"/>
        <v>logon_OKTA</v>
      </c>
      <c r="B55" t="str">
        <f t="shared" si="4"/>
        <v>list</v>
      </c>
      <c r="E55" t="s">
        <v>1</v>
      </c>
    </row>
    <row r="56" spans="1:13" x14ac:dyDescent="0.25">
      <c r="A56" t="str">
        <f t="shared" si="3"/>
        <v>logon_OKTA</v>
      </c>
      <c r="B56" t="str">
        <f t="shared" si="4"/>
        <v>list</v>
      </c>
      <c r="E56" t="s">
        <v>339</v>
      </c>
      <c r="G56" t="s">
        <v>104</v>
      </c>
    </row>
    <row r="57" spans="1:13" x14ac:dyDescent="0.25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 x14ac:dyDescent="0.25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 x14ac:dyDescent="0.25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 x14ac:dyDescent="0.25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 x14ac:dyDescent="0.25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 x14ac:dyDescent="0.25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 x14ac:dyDescent="0.25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 x14ac:dyDescent="0.25">
      <c r="A64" t="str">
        <f t="shared" si="5"/>
        <v/>
      </c>
      <c r="B64" t="str">
        <f t="shared" si="6"/>
        <v/>
      </c>
    </row>
    <row r="65" spans="1:7" x14ac:dyDescent="0.25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 x14ac:dyDescent="0.25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 x14ac:dyDescent="0.25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156</v>
      </c>
      <c r="E67" t="s">
        <v>157</v>
      </c>
    </row>
    <row r="68" spans="1:7" x14ac:dyDescent="0.25">
      <c r="A68" t="str">
        <f t="shared" si="7"/>
        <v>logon_iCristal</v>
      </c>
      <c r="B68" t="str">
        <f t="shared" si="8"/>
        <v>list</v>
      </c>
      <c r="D68" s="3"/>
      <c r="E68" t="s">
        <v>306</v>
      </c>
    </row>
    <row r="69" spans="1:7" x14ac:dyDescent="0.25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306</v>
      </c>
      <c r="E69" t="s">
        <v>307</v>
      </c>
    </row>
    <row r="70" spans="1:7" x14ac:dyDescent="0.25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303</v>
      </c>
    </row>
    <row r="71" spans="1:7" x14ac:dyDescent="0.25">
      <c r="A71" t="str">
        <f t="shared" si="9"/>
        <v>checkLastDataUpdate</v>
      </c>
      <c r="B71" t="str">
        <f t="shared" si="10"/>
        <v>list</v>
      </c>
      <c r="E71" t="s">
        <v>304</v>
      </c>
    </row>
    <row r="72" spans="1:7" x14ac:dyDescent="0.25">
      <c r="A72" t="str">
        <f t="shared" si="9"/>
        <v>checkLastDataUpdate</v>
      </c>
      <c r="B72" t="str">
        <f t="shared" si="10"/>
        <v>list</v>
      </c>
      <c r="E72" t="s">
        <v>308</v>
      </c>
    </row>
    <row r="73" spans="1:7" x14ac:dyDescent="0.25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309</v>
      </c>
    </row>
    <row r="74" spans="1:7" x14ac:dyDescent="0.25">
      <c r="A74" t="str">
        <f t="shared" si="11"/>
        <v>checkLastDataUpdate</v>
      </c>
      <c r="B74" t="str">
        <f t="shared" si="12"/>
        <v>list</v>
      </c>
      <c r="E74" t="s">
        <v>305</v>
      </c>
      <c r="G74" t="s">
        <v>104</v>
      </c>
    </row>
    <row r="75" spans="1:7" x14ac:dyDescent="0.25">
      <c r="A75" t="str">
        <f t="shared" si="11"/>
        <v/>
      </c>
      <c r="B75" t="str">
        <f t="shared" si="12"/>
        <v/>
      </c>
    </row>
    <row r="76" spans="1:7" x14ac:dyDescent="0.25">
      <c r="A76" t="str">
        <f t="shared" si="11"/>
        <v/>
      </c>
      <c r="B76" t="str">
        <f t="shared" si="12"/>
        <v/>
      </c>
    </row>
    <row r="77" spans="1:7" x14ac:dyDescent="0.25">
      <c r="A77" t="str">
        <f t="shared" si="5"/>
        <v/>
      </c>
      <c r="B77" t="str">
        <f t="shared" si="6"/>
        <v/>
      </c>
    </row>
    <row r="78" spans="1:7" x14ac:dyDescent="0.25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 x14ac:dyDescent="0.25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 x14ac:dyDescent="0.25">
      <c r="A80" t="str">
        <f t="shared" si="5"/>
        <v>openPages</v>
      </c>
      <c r="B80" t="str">
        <f t="shared" si="6"/>
        <v>list</v>
      </c>
      <c r="E80" t="s">
        <v>118</v>
      </c>
    </row>
    <row r="81" spans="1:7" x14ac:dyDescent="0.25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 x14ac:dyDescent="0.25">
      <c r="A82" t="str">
        <f t="shared" si="5"/>
        <v>openPages2</v>
      </c>
      <c r="B82" t="str">
        <f t="shared" si="6"/>
        <v>list</v>
      </c>
      <c r="E82" t="s">
        <v>122</v>
      </c>
    </row>
    <row r="83" spans="1:7" x14ac:dyDescent="0.25">
      <c r="A83" t="str">
        <f t="shared" si="3"/>
        <v>openPages2</v>
      </c>
      <c r="B83" t="str">
        <f t="shared" si="4"/>
        <v>list</v>
      </c>
      <c r="E83" t="s">
        <v>57</v>
      </c>
    </row>
    <row r="84" spans="1:7" x14ac:dyDescent="0.25">
      <c r="A84" t="str">
        <f t="shared" si="3"/>
        <v>openPages2</v>
      </c>
      <c r="B84" t="str">
        <f t="shared" si="4"/>
        <v>list</v>
      </c>
      <c r="E84" t="s">
        <v>56</v>
      </c>
    </row>
    <row r="85" spans="1:7" x14ac:dyDescent="0.25">
      <c r="A85" t="str">
        <f t="shared" si="3"/>
        <v>openPages2</v>
      </c>
      <c r="B85" t="str">
        <f t="shared" si="4"/>
        <v>list</v>
      </c>
      <c r="E85" t="s">
        <v>17</v>
      </c>
    </row>
    <row r="86" spans="1:7" x14ac:dyDescent="0.25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 x14ac:dyDescent="0.25">
      <c r="A87" t="str">
        <f t="shared" si="3"/>
        <v>openPages2</v>
      </c>
      <c r="B87" t="str">
        <f t="shared" si="4"/>
        <v>list</v>
      </c>
      <c r="E87" t="s">
        <v>58</v>
      </c>
    </row>
    <row r="88" spans="1:7" x14ac:dyDescent="0.25">
      <c r="A88" t="str">
        <f t="shared" si="3"/>
        <v>openPages2</v>
      </c>
      <c r="B88" t="str">
        <f t="shared" si="4"/>
        <v>list</v>
      </c>
      <c r="E88" t="s">
        <v>17</v>
      </c>
    </row>
    <row r="89" spans="1:7" x14ac:dyDescent="0.25">
      <c r="A89" t="str">
        <f t="shared" si="3"/>
        <v>openPages2</v>
      </c>
      <c r="B89" t="str">
        <f t="shared" si="4"/>
        <v>list</v>
      </c>
      <c r="E89" t="s">
        <v>75</v>
      </c>
    </row>
    <row r="90" spans="1:7" x14ac:dyDescent="0.25">
      <c r="A90" t="str">
        <f t="shared" si="3"/>
        <v/>
      </c>
      <c r="B90" t="str">
        <f t="shared" si="4"/>
        <v/>
      </c>
    </row>
    <row r="91" spans="1:7" x14ac:dyDescent="0.25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 x14ac:dyDescent="0.25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 x14ac:dyDescent="0.25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 x14ac:dyDescent="0.25">
      <c r="A94" t="str">
        <f t="shared" si="3"/>
        <v>disableTouchOn</v>
      </c>
      <c r="B94" t="str">
        <f t="shared" si="4"/>
        <v>list</v>
      </c>
      <c r="E94" t="s">
        <v>2</v>
      </c>
    </row>
    <row r="95" spans="1:7" x14ac:dyDescent="0.25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 x14ac:dyDescent="0.25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 x14ac:dyDescent="0.25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 x14ac:dyDescent="0.25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 x14ac:dyDescent="0.25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 x14ac:dyDescent="0.25">
      <c r="A100" t="str">
        <f t="shared" si="3"/>
        <v/>
      </c>
      <c r="B100" t="str">
        <f t="shared" si="4"/>
        <v/>
      </c>
    </row>
    <row r="101" spans="1:7" x14ac:dyDescent="0.25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 x14ac:dyDescent="0.25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 x14ac:dyDescent="0.25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 x14ac:dyDescent="0.25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342</v>
      </c>
      <c r="G104" t="s">
        <v>102</v>
      </c>
    </row>
    <row r="105" spans="1:7" x14ac:dyDescent="0.25">
      <c r="A105" t="str">
        <f t="shared" si="13"/>
        <v/>
      </c>
      <c r="B105" t="str">
        <f t="shared" si="14"/>
        <v/>
      </c>
    </row>
    <row r="106" spans="1:7" x14ac:dyDescent="0.25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340</v>
      </c>
      <c r="G106" t="s">
        <v>143</v>
      </c>
    </row>
    <row r="107" spans="1:7" x14ac:dyDescent="0.25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 x14ac:dyDescent="0.25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 x14ac:dyDescent="0.25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 x14ac:dyDescent="0.25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 x14ac:dyDescent="0.25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 x14ac:dyDescent="0.25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 x14ac:dyDescent="0.25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 x14ac:dyDescent="0.25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 x14ac:dyDescent="0.25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 x14ac:dyDescent="0.25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 x14ac:dyDescent="0.25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 x14ac:dyDescent="0.25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 x14ac:dyDescent="0.25">
      <c r="A119" t="str">
        <f t="shared" si="13"/>
        <v>DownloadImage2</v>
      </c>
      <c r="B119" t="str">
        <f t="shared" si="14"/>
        <v>list</v>
      </c>
      <c r="E119" t="s">
        <v>341</v>
      </c>
      <c r="G119" t="s">
        <v>145</v>
      </c>
    </row>
    <row r="120" spans="1:7" x14ac:dyDescent="0.25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 x14ac:dyDescent="0.25">
      <c r="A121" t="str">
        <f t="shared" si="13"/>
        <v/>
      </c>
      <c r="B121" t="str">
        <f t="shared" si="14"/>
        <v/>
      </c>
    </row>
    <row r="122" spans="1:7" x14ac:dyDescent="0.25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 x14ac:dyDescent="0.25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 x14ac:dyDescent="0.25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 x14ac:dyDescent="0.25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 x14ac:dyDescent="0.25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 x14ac:dyDescent="0.25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 x14ac:dyDescent="0.25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 x14ac:dyDescent="0.25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 x14ac:dyDescent="0.25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 x14ac:dyDescent="0.25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 x14ac:dyDescent="0.25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 x14ac:dyDescent="0.25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 x14ac:dyDescent="0.25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 x14ac:dyDescent="0.25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 x14ac:dyDescent="0.25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 x14ac:dyDescent="0.25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 x14ac:dyDescent="0.25">
      <c r="A138" t="str">
        <f t="shared" si="13"/>
        <v/>
      </c>
      <c r="B138" t="str">
        <f t="shared" si="14"/>
        <v/>
      </c>
    </row>
    <row r="139" spans="1:6" x14ac:dyDescent="0.25">
      <c r="A139" t="str">
        <f t="shared" si="13"/>
        <v/>
      </c>
      <c r="B139" t="str">
        <f t="shared" si="14"/>
        <v/>
      </c>
    </row>
    <row r="140" spans="1:6" x14ac:dyDescent="0.25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 x14ac:dyDescent="0.25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 x14ac:dyDescent="0.25">
      <c r="A142" t="str">
        <f t="shared" si="13"/>
        <v/>
      </c>
      <c r="B142" t="str">
        <f t="shared" si="14"/>
        <v/>
      </c>
    </row>
    <row r="143" spans="1:6" x14ac:dyDescent="0.25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 x14ac:dyDescent="0.25">
      <c r="A144" t="str">
        <f t="shared" si="13"/>
        <v/>
      </c>
      <c r="B144" t="str">
        <f t="shared" si="14"/>
        <v/>
      </c>
    </row>
    <row r="145" spans="1:7" x14ac:dyDescent="0.25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 x14ac:dyDescent="0.25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 x14ac:dyDescent="0.25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 x14ac:dyDescent="0.25">
      <c r="A148" t="str">
        <f t="shared" si="13"/>
        <v/>
      </c>
      <c r="B148" t="str">
        <f t="shared" si="14"/>
        <v/>
      </c>
    </row>
    <row r="149" spans="1:7" x14ac:dyDescent="0.25">
      <c r="A149" t="str">
        <f t="shared" si="13"/>
        <v/>
      </c>
      <c r="B149" t="str">
        <f t="shared" si="14"/>
        <v/>
      </c>
    </row>
    <row r="150" spans="1:7" x14ac:dyDescent="0.25">
      <c r="A150" t="str">
        <f t="shared" si="13"/>
        <v/>
      </c>
      <c r="B150" t="str">
        <f t="shared" si="14"/>
        <v/>
      </c>
    </row>
    <row r="151" spans="1:7" x14ac:dyDescent="0.25">
      <c r="A151" t="str">
        <f t="shared" si="13"/>
        <v/>
      </c>
      <c r="B151" t="str">
        <f t="shared" si="14"/>
        <v/>
      </c>
    </row>
    <row r="152" spans="1:7" x14ac:dyDescent="0.25">
      <c r="A152" t="str">
        <f t="shared" si="13"/>
        <v/>
      </c>
      <c r="B152" t="str">
        <f t="shared" si="14"/>
        <v/>
      </c>
    </row>
    <row r="153" spans="1:7" x14ac:dyDescent="0.25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 x14ac:dyDescent="0.25">
      <c r="A154" t="str">
        <f t="shared" si="13"/>
        <v>pageTitles</v>
      </c>
      <c r="B154" t="str">
        <f t="shared" si="14"/>
        <v>list</v>
      </c>
      <c r="E154" t="s">
        <v>158</v>
      </c>
    </row>
    <row r="155" spans="1:7" x14ac:dyDescent="0.25">
      <c r="A155" t="str">
        <f t="shared" si="13"/>
        <v>pageTitles</v>
      </c>
      <c r="B155" t="str">
        <f t="shared" si="14"/>
        <v>list</v>
      </c>
      <c r="E155" t="s">
        <v>159</v>
      </c>
    </row>
    <row r="156" spans="1:7" x14ac:dyDescent="0.25">
      <c r="A156" t="str">
        <f t="shared" si="13"/>
        <v>pageTitles</v>
      </c>
      <c r="B156" t="str">
        <f t="shared" si="14"/>
        <v>list</v>
      </c>
      <c r="E156" t="s">
        <v>160</v>
      </c>
    </row>
    <row r="157" spans="1:7" x14ac:dyDescent="0.25">
      <c r="A157" t="str">
        <f t="shared" si="13"/>
        <v>pageTitles</v>
      </c>
      <c r="B157" t="str">
        <f t="shared" si="14"/>
        <v>list</v>
      </c>
      <c r="E157" t="s">
        <v>161</v>
      </c>
    </row>
    <row r="158" spans="1:7" x14ac:dyDescent="0.25">
      <c r="A158" t="str">
        <f t="shared" si="13"/>
        <v>pageTitles</v>
      </c>
      <c r="B158" t="str">
        <f t="shared" si="14"/>
        <v>list</v>
      </c>
      <c r="E158" t="s">
        <v>162</v>
      </c>
    </row>
    <row r="159" spans="1:7" x14ac:dyDescent="0.25">
      <c r="A159" t="str">
        <f t="shared" si="13"/>
        <v>pageTitles</v>
      </c>
      <c r="B159" t="str">
        <f t="shared" si="14"/>
        <v>list</v>
      </c>
      <c r="E159" t="s">
        <v>163</v>
      </c>
    </row>
    <row r="160" spans="1:7" x14ac:dyDescent="0.25">
      <c r="A160" t="str">
        <f t="shared" si="13"/>
        <v>pageTitles</v>
      </c>
      <c r="B160" t="str">
        <f t="shared" si="14"/>
        <v>list</v>
      </c>
      <c r="E160" t="s">
        <v>164</v>
      </c>
    </row>
    <row r="161" spans="1:5" x14ac:dyDescent="0.25">
      <c r="A161" t="str">
        <f t="shared" si="13"/>
        <v>pageTitles</v>
      </c>
      <c r="B161" t="str">
        <f t="shared" si="14"/>
        <v>list</v>
      </c>
      <c r="E161" t="s">
        <v>165</v>
      </c>
    </row>
    <row r="162" spans="1:5" x14ac:dyDescent="0.25">
      <c r="A162" t="str">
        <f t="shared" si="13"/>
        <v>pageTitles</v>
      </c>
      <c r="B162" t="str">
        <f t="shared" si="14"/>
        <v>list</v>
      </c>
      <c r="E162" t="s">
        <v>166</v>
      </c>
    </row>
    <row r="163" spans="1:5" x14ac:dyDescent="0.25">
      <c r="A163" t="str">
        <f t="shared" si="13"/>
        <v>pageTitles</v>
      </c>
      <c r="B163" t="str">
        <f t="shared" si="14"/>
        <v>list</v>
      </c>
      <c r="E163" t="s">
        <v>167</v>
      </c>
    </row>
    <row r="164" spans="1:5" x14ac:dyDescent="0.25">
      <c r="A164" t="str">
        <f t="shared" si="13"/>
        <v>pageTitles</v>
      </c>
      <c r="B164" t="str">
        <f t="shared" si="14"/>
        <v>list</v>
      </c>
      <c r="E164" t="s">
        <v>168</v>
      </c>
    </row>
    <row r="165" spans="1:5" x14ac:dyDescent="0.25">
      <c r="A165" t="str">
        <f t="shared" si="13"/>
        <v>pageTitles</v>
      </c>
      <c r="B165" t="str">
        <f t="shared" si="14"/>
        <v>list</v>
      </c>
      <c r="E165" t="s">
        <v>169</v>
      </c>
    </row>
    <row r="166" spans="1:5" x14ac:dyDescent="0.2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170</v>
      </c>
    </row>
    <row r="167" spans="1:5" x14ac:dyDescent="0.25">
      <c r="A167" t="str">
        <f t="shared" si="15"/>
        <v>pageTitles</v>
      </c>
      <c r="B167" t="str">
        <f t="shared" si="16"/>
        <v>list</v>
      </c>
      <c r="E167" t="s">
        <v>171</v>
      </c>
    </row>
    <row r="168" spans="1:5" x14ac:dyDescent="0.25">
      <c r="A168" t="str">
        <f t="shared" si="15"/>
        <v>pageTitles</v>
      </c>
      <c r="B168" t="str">
        <f t="shared" si="16"/>
        <v>list</v>
      </c>
      <c r="E168" t="s">
        <v>172</v>
      </c>
    </row>
    <row r="169" spans="1:5" x14ac:dyDescent="0.25">
      <c r="A169" t="str">
        <f t="shared" si="15"/>
        <v>pageTitles</v>
      </c>
      <c r="B169" t="str">
        <f t="shared" si="16"/>
        <v>list</v>
      </c>
      <c r="E169" t="s">
        <v>173</v>
      </c>
    </row>
    <row r="170" spans="1:5" x14ac:dyDescent="0.25">
      <c r="A170" t="str">
        <f t="shared" si="15"/>
        <v>pageTitles</v>
      </c>
      <c r="B170" t="str">
        <f t="shared" si="16"/>
        <v>list</v>
      </c>
      <c r="E170" t="s">
        <v>174</v>
      </c>
    </row>
    <row r="171" spans="1:5" x14ac:dyDescent="0.25">
      <c r="A171" t="str">
        <f t="shared" si="15"/>
        <v>pageTitles</v>
      </c>
      <c r="B171" t="str">
        <f t="shared" si="16"/>
        <v>list</v>
      </c>
      <c r="E171" t="s">
        <v>175</v>
      </c>
    </row>
    <row r="172" spans="1:5" x14ac:dyDescent="0.25">
      <c r="A172" t="str">
        <f t="shared" si="15"/>
        <v>pageTitles</v>
      </c>
      <c r="B172" t="str">
        <f t="shared" si="16"/>
        <v>list</v>
      </c>
      <c r="E172" t="s">
        <v>176</v>
      </c>
    </row>
    <row r="173" spans="1:5" x14ac:dyDescent="0.25">
      <c r="A173" t="str">
        <f t="shared" si="15"/>
        <v>pageTitles</v>
      </c>
      <c r="B173" t="str">
        <f t="shared" si="16"/>
        <v>list</v>
      </c>
      <c r="E173" t="s">
        <v>177</v>
      </c>
    </row>
    <row r="174" spans="1:5" x14ac:dyDescent="0.25">
      <c r="A174" t="str">
        <f t="shared" si="15"/>
        <v>pageTitles</v>
      </c>
      <c r="B174" t="str">
        <f t="shared" si="16"/>
        <v>list</v>
      </c>
      <c r="E174" t="s">
        <v>178</v>
      </c>
    </row>
    <row r="175" spans="1:5" x14ac:dyDescent="0.25">
      <c r="A175" t="str">
        <f t="shared" si="15"/>
        <v>pageTitles</v>
      </c>
      <c r="B175" t="str">
        <f t="shared" si="16"/>
        <v>list</v>
      </c>
      <c r="E175" t="s">
        <v>179</v>
      </c>
    </row>
    <row r="176" spans="1:5" x14ac:dyDescent="0.25">
      <c r="A176" t="str">
        <f t="shared" si="15"/>
        <v>pageTitles</v>
      </c>
      <c r="B176" t="str">
        <f t="shared" si="16"/>
        <v>list</v>
      </c>
      <c r="E176" t="s">
        <v>180</v>
      </c>
    </row>
    <row r="177" spans="1:5" x14ac:dyDescent="0.25">
      <c r="A177" t="str">
        <f t="shared" si="15"/>
        <v>pageTitles</v>
      </c>
      <c r="B177" t="str">
        <f t="shared" si="16"/>
        <v>list</v>
      </c>
      <c r="E177" t="s">
        <v>181</v>
      </c>
    </row>
    <row r="178" spans="1:5" x14ac:dyDescent="0.25">
      <c r="A178" t="str">
        <f t="shared" si="15"/>
        <v>pageTitles</v>
      </c>
      <c r="B178" t="str">
        <f t="shared" si="16"/>
        <v>list</v>
      </c>
      <c r="E178" t="s">
        <v>182</v>
      </c>
    </row>
    <row r="179" spans="1:5" x14ac:dyDescent="0.25">
      <c r="A179" t="str">
        <f t="shared" si="15"/>
        <v>pageTitles</v>
      </c>
      <c r="B179" t="str">
        <f t="shared" si="16"/>
        <v>list</v>
      </c>
      <c r="E179" t="s">
        <v>183</v>
      </c>
    </row>
    <row r="180" spans="1:5" x14ac:dyDescent="0.25">
      <c r="A180" t="str">
        <f t="shared" si="15"/>
        <v>pageTitles</v>
      </c>
      <c r="B180" t="str">
        <f t="shared" si="16"/>
        <v>list</v>
      </c>
      <c r="E180" t="s">
        <v>184</v>
      </c>
    </row>
    <row r="181" spans="1:5" x14ac:dyDescent="0.25">
      <c r="A181" t="str">
        <f t="shared" si="15"/>
        <v>pageTitles</v>
      </c>
      <c r="B181" t="str">
        <f t="shared" si="16"/>
        <v>list</v>
      </c>
      <c r="E181" t="s">
        <v>185</v>
      </c>
    </row>
    <row r="182" spans="1:5" x14ac:dyDescent="0.25">
      <c r="A182" t="str">
        <f t="shared" si="15"/>
        <v>pageTitles</v>
      </c>
      <c r="B182" t="str">
        <f t="shared" si="16"/>
        <v>list</v>
      </c>
      <c r="E182" t="s">
        <v>186</v>
      </c>
    </row>
    <row r="183" spans="1:5" x14ac:dyDescent="0.25">
      <c r="A183" t="str">
        <f t="shared" si="15"/>
        <v>pageTitles</v>
      </c>
      <c r="B183" t="str">
        <f t="shared" si="16"/>
        <v>list</v>
      </c>
      <c r="E183" t="s">
        <v>187</v>
      </c>
    </row>
    <row r="184" spans="1:5" x14ac:dyDescent="0.25">
      <c r="A184" t="str">
        <f t="shared" si="15"/>
        <v>pageTitles</v>
      </c>
      <c r="B184" t="str">
        <f t="shared" si="16"/>
        <v>list</v>
      </c>
      <c r="E184" t="s">
        <v>188</v>
      </c>
    </row>
    <row r="185" spans="1:5" x14ac:dyDescent="0.25">
      <c r="A185" t="str">
        <f t="shared" si="15"/>
        <v>pageTitles</v>
      </c>
      <c r="B185" t="str">
        <f t="shared" si="16"/>
        <v>list</v>
      </c>
      <c r="E185" t="s">
        <v>189</v>
      </c>
    </row>
    <row r="186" spans="1:5" x14ac:dyDescent="0.25">
      <c r="A186" t="str">
        <f t="shared" si="15"/>
        <v>pageTitles</v>
      </c>
      <c r="B186" t="str">
        <f t="shared" si="16"/>
        <v>list</v>
      </c>
      <c r="E186" t="s">
        <v>190</v>
      </c>
    </row>
    <row r="187" spans="1:5" x14ac:dyDescent="0.25">
      <c r="A187" t="str">
        <f t="shared" si="15"/>
        <v>pageTitles</v>
      </c>
      <c r="B187" t="str">
        <f t="shared" si="16"/>
        <v>list</v>
      </c>
      <c r="E187" t="s">
        <v>191</v>
      </c>
    </row>
    <row r="188" spans="1:5" x14ac:dyDescent="0.25">
      <c r="A188" t="str">
        <f t="shared" si="15"/>
        <v>pageTitles</v>
      </c>
      <c r="B188" t="str">
        <f t="shared" si="16"/>
        <v>list</v>
      </c>
      <c r="E188" t="s">
        <v>192</v>
      </c>
    </row>
    <row r="189" spans="1:5" x14ac:dyDescent="0.25">
      <c r="A189" t="str">
        <f t="shared" si="15"/>
        <v>pageTitles</v>
      </c>
      <c r="B189" t="str">
        <f t="shared" si="16"/>
        <v>list</v>
      </c>
      <c r="E189" t="s">
        <v>193</v>
      </c>
    </row>
    <row r="190" spans="1:5" x14ac:dyDescent="0.25">
      <c r="A190" t="str">
        <f t="shared" si="15"/>
        <v>pageTitles</v>
      </c>
      <c r="B190" t="str">
        <f t="shared" si="16"/>
        <v>list</v>
      </c>
      <c r="E190" t="s">
        <v>194</v>
      </c>
    </row>
    <row r="191" spans="1:5" x14ac:dyDescent="0.25">
      <c r="A191" t="str">
        <f t="shared" si="15"/>
        <v>pageTitles</v>
      </c>
      <c r="B191" t="str">
        <f t="shared" si="16"/>
        <v>list</v>
      </c>
      <c r="E191" t="s">
        <v>195</v>
      </c>
    </row>
    <row r="192" spans="1:5" x14ac:dyDescent="0.25">
      <c r="A192" t="str">
        <f t="shared" si="15"/>
        <v>pageTitles</v>
      </c>
      <c r="B192" t="str">
        <f t="shared" si="16"/>
        <v>list</v>
      </c>
      <c r="E192" t="s">
        <v>196</v>
      </c>
    </row>
    <row r="193" spans="1:6" x14ac:dyDescent="0.25">
      <c r="A193" t="str">
        <f t="shared" si="15"/>
        <v>pageTitles</v>
      </c>
      <c r="B193" t="str">
        <f t="shared" si="16"/>
        <v>list</v>
      </c>
      <c r="E193" t="s">
        <v>197</v>
      </c>
    </row>
    <row r="194" spans="1:6" x14ac:dyDescent="0.25">
      <c r="A194" t="str">
        <f t="shared" si="15"/>
        <v>pageTitles</v>
      </c>
      <c r="B194" t="str">
        <f t="shared" si="16"/>
        <v>list</v>
      </c>
      <c r="E194" t="s">
        <v>198</v>
      </c>
    </row>
    <row r="195" spans="1:6" x14ac:dyDescent="0.25">
      <c r="A195" t="str">
        <f t="shared" si="15"/>
        <v>pageTitles</v>
      </c>
      <c r="B195" t="str">
        <f t="shared" si="16"/>
        <v>list</v>
      </c>
      <c r="E195" t="s">
        <v>199</v>
      </c>
    </row>
    <row r="196" spans="1:6" x14ac:dyDescent="0.25">
      <c r="A196" t="str">
        <f t="shared" si="15"/>
        <v>pageTitles</v>
      </c>
      <c r="B196" t="str">
        <f t="shared" si="16"/>
        <v>list</v>
      </c>
      <c r="E196" t="s">
        <v>200</v>
      </c>
    </row>
    <row r="197" spans="1:6" x14ac:dyDescent="0.25">
      <c r="A197" t="str">
        <f t="shared" si="15"/>
        <v>pageTitles</v>
      </c>
      <c r="B197" t="str">
        <f t="shared" si="16"/>
        <v>list</v>
      </c>
      <c r="E197" t="s">
        <v>201</v>
      </c>
    </row>
    <row r="198" spans="1:6" x14ac:dyDescent="0.25">
      <c r="A198" t="str">
        <f t="shared" si="15"/>
        <v>pageTitles</v>
      </c>
      <c r="B198" t="str">
        <f t="shared" si="16"/>
        <v>list</v>
      </c>
      <c r="E198" t="s">
        <v>202</v>
      </c>
    </row>
    <row r="199" spans="1:6" x14ac:dyDescent="0.25">
      <c r="A199" t="str">
        <f t="shared" si="15"/>
        <v>pageTitles</v>
      </c>
      <c r="B199" t="str">
        <f t="shared" si="16"/>
        <v>list</v>
      </c>
      <c r="E199" t="s">
        <v>203</v>
      </c>
    </row>
    <row r="200" spans="1:6" x14ac:dyDescent="0.25">
      <c r="A200" t="str">
        <f t="shared" si="15"/>
        <v>pageTitles</v>
      </c>
      <c r="B200" t="str">
        <f t="shared" si="16"/>
        <v>list</v>
      </c>
      <c r="E200" t="s">
        <v>204</v>
      </c>
    </row>
    <row r="201" spans="1:6" x14ac:dyDescent="0.25">
      <c r="A201" t="str">
        <f t="shared" si="15"/>
        <v/>
      </c>
      <c r="B201" t="str">
        <f t="shared" si="16"/>
        <v/>
      </c>
    </row>
    <row r="202" spans="1:6" x14ac:dyDescent="0.25">
      <c r="A202" t="str">
        <f t="shared" si="15"/>
        <v/>
      </c>
      <c r="B202" t="str">
        <f t="shared" si="16"/>
        <v/>
      </c>
    </row>
    <row r="203" spans="1:6" x14ac:dyDescent="0.25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205</v>
      </c>
      <c r="F203" t="s">
        <v>68</v>
      </c>
    </row>
    <row r="204" spans="1:6" x14ac:dyDescent="0.25">
      <c r="A204" t="str">
        <f t="shared" si="15"/>
        <v>imagelist</v>
      </c>
      <c r="B204" t="str">
        <f t="shared" si="16"/>
        <v>list</v>
      </c>
      <c r="E204" t="s">
        <v>206</v>
      </c>
      <c r="F204" t="s">
        <v>158</v>
      </c>
    </row>
    <row r="205" spans="1:6" x14ac:dyDescent="0.25">
      <c r="A205" t="str">
        <f t="shared" si="15"/>
        <v>imagelist</v>
      </c>
      <c r="B205" t="str">
        <f t="shared" si="16"/>
        <v>list</v>
      </c>
      <c r="E205" t="s">
        <v>207</v>
      </c>
      <c r="F205" t="s">
        <v>159</v>
      </c>
    </row>
    <row r="206" spans="1:6" x14ac:dyDescent="0.25">
      <c r="A206" t="str">
        <f t="shared" si="15"/>
        <v>imagelist</v>
      </c>
      <c r="B206" t="str">
        <f t="shared" si="16"/>
        <v>list</v>
      </c>
      <c r="E206" t="s">
        <v>208</v>
      </c>
      <c r="F206" t="s">
        <v>160</v>
      </c>
    </row>
    <row r="207" spans="1:6" x14ac:dyDescent="0.25">
      <c r="A207" t="str">
        <f t="shared" si="15"/>
        <v>imagelist</v>
      </c>
      <c r="B207" t="str">
        <f t="shared" si="16"/>
        <v>list</v>
      </c>
      <c r="E207" t="s">
        <v>209</v>
      </c>
      <c r="F207" t="s">
        <v>161</v>
      </c>
    </row>
    <row r="208" spans="1:6" x14ac:dyDescent="0.25">
      <c r="A208" t="str">
        <f t="shared" si="15"/>
        <v>imagelist</v>
      </c>
      <c r="B208" t="str">
        <f t="shared" si="16"/>
        <v>list</v>
      </c>
      <c r="E208" t="s">
        <v>210</v>
      </c>
      <c r="F208" t="s">
        <v>162</v>
      </c>
    </row>
    <row r="209" spans="1:6" x14ac:dyDescent="0.25">
      <c r="A209" t="str">
        <f t="shared" si="15"/>
        <v>imagelist</v>
      </c>
      <c r="B209" t="str">
        <f t="shared" si="16"/>
        <v>list</v>
      </c>
      <c r="E209" t="s">
        <v>211</v>
      </c>
      <c r="F209" t="s">
        <v>163</v>
      </c>
    </row>
    <row r="210" spans="1:6" x14ac:dyDescent="0.25">
      <c r="A210" t="str">
        <f t="shared" si="15"/>
        <v>imagelist</v>
      </c>
      <c r="B210" t="str">
        <f t="shared" si="16"/>
        <v>list</v>
      </c>
      <c r="E210" t="s">
        <v>212</v>
      </c>
      <c r="F210" t="s">
        <v>164</v>
      </c>
    </row>
    <row r="211" spans="1:6" x14ac:dyDescent="0.25">
      <c r="A211" t="str">
        <f t="shared" si="15"/>
        <v>imagelist</v>
      </c>
      <c r="B211" t="str">
        <f t="shared" si="16"/>
        <v>list</v>
      </c>
      <c r="E211" t="s">
        <v>213</v>
      </c>
      <c r="F211" t="s">
        <v>165</v>
      </c>
    </row>
    <row r="212" spans="1:6" x14ac:dyDescent="0.25">
      <c r="A212" t="str">
        <f t="shared" si="15"/>
        <v>imagelist</v>
      </c>
      <c r="B212" t="str">
        <f t="shared" si="16"/>
        <v>list</v>
      </c>
      <c r="E212" t="s">
        <v>214</v>
      </c>
      <c r="F212" t="s">
        <v>166</v>
      </c>
    </row>
    <row r="213" spans="1:6" x14ac:dyDescent="0.25">
      <c r="A213" t="str">
        <f t="shared" si="15"/>
        <v>imagelist</v>
      </c>
      <c r="B213" t="str">
        <f t="shared" si="16"/>
        <v>list</v>
      </c>
      <c r="E213" t="s">
        <v>215</v>
      </c>
      <c r="F213" t="s">
        <v>167</v>
      </c>
    </row>
    <row r="214" spans="1:6" x14ac:dyDescent="0.25">
      <c r="A214" t="str">
        <f t="shared" si="15"/>
        <v>imagelist</v>
      </c>
      <c r="B214" t="str">
        <f t="shared" si="16"/>
        <v>list</v>
      </c>
      <c r="E214" t="s">
        <v>216</v>
      </c>
      <c r="F214" t="s">
        <v>168</v>
      </c>
    </row>
    <row r="215" spans="1:6" x14ac:dyDescent="0.25">
      <c r="A215" t="str">
        <f t="shared" si="15"/>
        <v>imagelist</v>
      </c>
      <c r="B215" t="str">
        <f t="shared" si="16"/>
        <v>list</v>
      </c>
      <c r="E215" t="s">
        <v>217</v>
      </c>
      <c r="F215" t="s">
        <v>169</v>
      </c>
    </row>
    <row r="216" spans="1:6" x14ac:dyDescent="0.25">
      <c r="A216" t="str">
        <f t="shared" si="15"/>
        <v>imagelist</v>
      </c>
      <c r="B216" t="str">
        <f t="shared" si="16"/>
        <v>list</v>
      </c>
      <c r="E216" t="s">
        <v>218</v>
      </c>
      <c r="F216" t="s">
        <v>170</v>
      </c>
    </row>
    <row r="217" spans="1:6" x14ac:dyDescent="0.25">
      <c r="A217" t="str">
        <f t="shared" si="15"/>
        <v>imagelist</v>
      </c>
      <c r="B217" t="str">
        <f t="shared" si="16"/>
        <v>list</v>
      </c>
      <c r="E217" t="s">
        <v>219</v>
      </c>
      <c r="F217" t="s">
        <v>171</v>
      </c>
    </row>
    <row r="218" spans="1:6" x14ac:dyDescent="0.25">
      <c r="A218" t="str">
        <f t="shared" si="15"/>
        <v>imagelist</v>
      </c>
      <c r="B218" t="str">
        <f t="shared" si="16"/>
        <v>list</v>
      </c>
      <c r="E218" t="s">
        <v>220</v>
      </c>
      <c r="F218" t="s">
        <v>172</v>
      </c>
    </row>
    <row r="219" spans="1:6" x14ac:dyDescent="0.25">
      <c r="A219" t="str">
        <f t="shared" si="15"/>
        <v>imagelist</v>
      </c>
      <c r="B219" t="str">
        <f t="shared" si="16"/>
        <v>list</v>
      </c>
      <c r="E219" t="s">
        <v>221</v>
      </c>
      <c r="F219" t="s">
        <v>173</v>
      </c>
    </row>
    <row r="220" spans="1:6" x14ac:dyDescent="0.25">
      <c r="A220" t="str">
        <f t="shared" si="15"/>
        <v>imagelist</v>
      </c>
      <c r="B220" t="str">
        <f t="shared" si="16"/>
        <v>list</v>
      </c>
      <c r="E220" t="s">
        <v>222</v>
      </c>
      <c r="F220" t="s">
        <v>174</v>
      </c>
    </row>
    <row r="221" spans="1:6" x14ac:dyDescent="0.25">
      <c r="A221" t="str">
        <f t="shared" si="15"/>
        <v>imagelist</v>
      </c>
      <c r="B221" t="str">
        <f t="shared" si="16"/>
        <v>list</v>
      </c>
      <c r="E221" t="s">
        <v>223</v>
      </c>
      <c r="F221" t="s">
        <v>175</v>
      </c>
    </row>
    <row r="222" spans="1:6" x14ac:dyDescent="0.25">
      <c r="A222" t="str">
        <f t="shared" si="15"/>
        <v>imagelist</v>
      </c>
      <c r="B222" t="str">
        <f t="shared" si="16"/>
        <v>list</v>
      </c>
      <c r="E222" t="s">
        <v>224</v>
      </c>
      <c r="F222" t="s">
        <v>176</v>
      </c>
    </row>
    <row r="223" spans="1:6" x14ac:dyDescent="0.25">
      <c r="A223" t="str">
        <f t="shared" si="15"/>
        <v>imagelist</v>
      </c>
      <c r="B223" t="str">
        <f t="shared" si="16"/>
        <v>list</v>
      </c>
      <c r="E223" t="s">
        <v>225</v>
      </c>
      <c r="F223" t="s">
        <v>177</v>
      </c>
    </row>
    <row r="224" spans="1:6" x14ac:dyDescent="0.25">
      <c r="A224" t="str">
        <f t="shared" si="15"/>
        <v>imagelist</v>
      </c>
      <c r="B224" t="str">
        <f t="shared" si="16"/>
        <v>list</v>
      </c>
      <c r="E224" t="s">
        <v>226</v>
      </c>
      <c r="F224" t="s">
        <v>178</v>
      </c>
    </row>
    <row r="225" spans="1:6" x14ac:dyDescent="0.25">
      <c r="A225" t="str">
        <f t="shared" si="15"/>
        <v>imagelist</v>
      </c>
      <c r="B225" t="str">
        <f t="shared" si="16"/>
        <v>list</v>
      </c>
      <c r="E225" t="s">
        <v>227</v>
      </c>
      <c r="F225" t="s">
        <v>179</v>
      </c>
    </row>
    <row r="226" spans="1:6" x14ac:dyDescent="0.25">
      <c r="A226" t="str">
        <f t="shared" si="15"/>
        <v>imagelist</v>
      </c>
      <c r="B226" t="str">
        <f t="shared" si="16"/>
        <v>list</v>
      </c>
      <c r="E226" t="s">
        <v>228</v>
      </c>
      <c r="F226" t="s">
        <v>180</v>
      </c>
    </row>
    <row r="227" spans="1:6" x14ac:dyDescent="0.25">
      <c r="A227" t="str">
        <f t="shared" si="15"/>
        <v>imagelist</v>
      </c>
      <c r="B227" t="str">
        <f t="shared" si="16"/>
        <v>list</v>
      </c>
      <c r="E227" t="s">
        <v>229</v>
      </c>
      <c r="F227" t="s">
        <v>181</v>
      </c>
    </row>
    <row r="228" spans="1:6" x14ac:dyDescent="0.25">
      <c r="A228" t="str">
        <f t="shared" si="15"/>
        <v>imagelist</v>
      </c>
      <c r="B228" t="str">
        <f t="shared" si="16"/>
        <v>list</v>
      </c>
      <c r="E228" t="s">
        <v>230</v>
      </c>
      <c r="F228" t="s">
        <v>182</v>
      </c>
    </row>
    <row r="229" spans="1:6" x14ac:dyDescent="0.25">
      <c r="A229" t="str">
        <f t="shared" si="15"/>
        <v>imagelist</v>
      </c>
      <c r="B229" t="str">
        <f t="shared" si="16"/>
        <v>list</v>
      </c>
      <c r="E229" t="s">
        <v>231</v>
      </c>
      <c r="F229" t="s">
        <v>183</v>
      </c>
    </row>
    <row r="230" spans="1:6" x14ac:dyDescent="0.25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232</v>
      </c>
      <c r="F230" t="s">
        <v>184</v>
      </c>
    </row>
    <row r="231" spans="1:6" x14ac:dyDescent="0.25">
      <c r="A231" t="str">
        <f t="shared" si="17"/>
        <v>imagelist</v>
      </c>
      <c r="B231" t="str">
        <f t="shared" si="18"/>
        <v>list</v>
      </c>
      <c r="E231" t="s">
        <v>233</v>
      </c>
      <c r="F231" t="s">
        <v>185</v>
      </c>
    </row>
    <row r="232" spans="1:6" x14ac:dyDescent="0.25">
      <c r="A232" t="str">
        <f t="shared" si="17"/>
        <v>imagelist</v>
      </c>
      <c r="B232" t="str">
        <f t="shared" si="18"/>
        <v>list</v>
      </c>
      <c r="E232" t="s">
        <v>234</v>
      </c>
      <c r="F232" t="s">
        <v>186</v>
      </c>
    </row>
    <row r="233" spans="1:6" x14ac:dyDescent="0.25">
      <c r="A233" t="str">
        <f t="shared" si="17"/>
        <v>imagelist</v>
      </c>
      <c r="B233" t="str">
        <f t="shared" si="18"/>
        <v>list</v>
      </c>
      <c r="E233" t="s">
        <v>235</v>
      </c>
      <c r="F233" t="s">
        <v>187</v>
      </c>
    </row>
    <row r="234" spans="1:6" x14ac:dyDescent="0.25">
      <c r="A234" t="str">
        <f t="shared" si="17"/>
        <v>imagelist</v>
      </c>
      <c r="B234" t="str">
        <f t="shared" si="18"/>
        <v>list</v>
      </c>
      <c r="E234" t="s">
        <v>236</v>
      </c>
      <c r="F234" t="s">
        <v>188</v>
      </c>
    </row>
    <row r="235" spans="1:6" x14ac:dyDescent="0.25">
      <c r="A235" t="str">
        <f t="shared" si="17"/>
        <v>imagelist</v>
      </c>
      <c r="B235" t="str">
        <f t="shared" si="18"/>
        <v>list</v>
      </c>
      <c r="E235" t="s">
        <v>237</v>
      </c>
      <c r="F235" t="s">
        <v>189</v>
      </c>
    </row>
    <row r="236" spans="1:6" x14ac:dyDescent="0.25">
      <c r="A236" t="str">
        <f t="shared" si="17"/>
        <v>imagelist</v>
      </c>
      <c r="B236" t="str">
        <f t="shared" si="18"/>
        <v>list</v>
      </c>
      <c r="E236" t="s">
        <v>238</v>
      </c>
      <c r="F236" t="s">
        <v>190</v>
      </c>
    </row>
    <row r="237" spans="1:6" x14ac:dyDescent="0.25">
      <c r="A237" t="str">
        <f t="shared" si="17"/>
        <v>imagelist</v>
      </c>
      <c r="B237" t="str">
        <f t="shared" si="18"/>
        <v>list</v>
      </c>
      <c r="E237" t="s">
        <v>239</v>
      </c>
      <c r="F237" t="s">
        <v>191</v>
      </c>
    </row>
    <row r="238" spans="1:6" x14ac:dyDescent="0.25">
      <c r="A238" t="str">
        <f t="shared" si="17"/>
        <v>imagelist</v>
      </c>
      <c r="B238" t="str">
        <f t="shared" si="18"/>
        <v>list</v>
      </c>
      <c r="E238" t="s">
        <v>240</v>
      </c>
      <c r="F238" t="s">
        <v>192</v>
      </c>
    </row>
    <row r="239" spans="1:6" x14ac:dyDescent="0.25">
      <c r="A239" t="str">
        <f t="shared" si="17"/>
        <v>imagelist</v>
      </c>
      <c r="B239" t="str">
        <f t="shared" si="18"/>
        <v>list</v>
      </c>
      <c r="E239" t="s">
        <v>241</v>
      </c>
      <c r="F239" t="s">
        <v>193</v>
      </c>
    </row>
    <row r="240" spans="1:6" x14ac:dyDescent="0.25">
      <c r="A240" t="str">
        <f t="shared" si="17"/>
        <v>imagelist</v>
      </c>
      <c r="B240" t="str">
        <f t="shared" si="18"/>
        <v>list</v>
      </c>
      <c r="E240" t="s">
        <v>242</v>
      </c>
      <c r="F240" t="s">
        <v>194</v>
      </c>
    </row>
    <row r="241" spans="1:15" x14ac:dyDescent="0.25">
      <c r="A241" t="str">
        <f t="shared" si="17"/>
        <v>imagelist</v>
      </c>
      <c r="B241" t="str">
        <f t="shared" si="18"/>
        <v>list</v>
      </c>
      <c r="E241" t="s">
        <v>243</v>
      </c>
      <c r="F241" t="s">
        <v>195</v>
      </c>
    </row>
    <row r="242" spans="1:15" x14ac:dyDescent="0.25">
      <c r="A242" t="str">
        <f t="shared" si="17"/>
        <v>imagelist</v>
      </c>
      <c r="B242" t="str">
        <f t="shared" si="18"/>
        <v>list</v>
      </c>
      <c r="E242" t="s">
        <v>244</v>
      </c>
      <c r="F242" t="s">
        <v>196</v>
      </c>
    </row>
    <row r="243" spans="1:15" x14ac:dyDescent="0.25">
      <c r="A243" t="str">
        <f t="shared" si="17"/>
        <v>imagelist</v>
      </c>
      <c r="B243" t="str">
        <f t="shared" si="18"/>
        <v>list</v>
      </c>
      <c r="E243" t="s">
        <v>245</v>
      </c>
      <c r="F243" t="s">
        <v>197</v>
      </c>
    </row>
    <row r="244" spans="1:15" x14ac:dyDescent="0.25">
      <c r="A244" t="str">
        <f t="shared" si="17"/>
        <v>imagelist</v>
      </c>
      <c r="B244" t="str">
        <f t="shared" si="18"/>
        <v>list</v>
      </c>
      <c r="E244" t="s">
        <v>246</v>
      </c>
      <c r="F244" t="s">
        <v>198</v>
      </c>
    </row>
    <row r="245" spans="1:15" x14ac:dyDescent="0.25">
      <c r="A245" t="str">
        <f t="shared" si="17"/>
        <v>imagelist</v>
      </c>
      <c r="B245" t="str">
        <f t="shared" si="18"/>
        <v>list</v>
      </c>
      <c r="E245" t="s">
        <v>247</v>
      </c>
      <c r="F245" t="s">
        <v>199</v>
      </c>
    </row>
    <row r="246" spans="1:15" x14ac:dyDescent="0.25">
      <c r="A246" t="str">
        <f t="shared" si="17"/>
        <v>imagelist</v>
      </c>
      <c r="B246" t="str">
        <f t="shared" si="18"/>
        <v>list</v>
      </c>
      <c r="E246" t="s">
        <v>248</v>
      </c>
      <c r="F246" t="s">
        <v>200</v>
      </c>
    </row>
    <row r="247" spans="1:15" x14ac:dyDescent="0.25">
      <c r="A247" t="str">
        <f t="shared" si="17"/>
        <v>imagelist</v>
      </c>
      <c r="B247" t="str">
        <f t="shared" si="18"/>
        <v>list</v>
      </c>
      <c r="E247" t="s">
        <v>249</v>
      </c>
      <c r="F247" t="s">
        <v>201</v>
      </c>
    </row>
    <row r="248" spans="1:15" x14ac:dyDescent="0.25">
      <c r="A248" t="str">
        <f t="shared" si="17"/>
        <v>imagelist</v>
      </c>
      <c r="B248" t="str">
        <f t="shared" si="18"/>
        <v>list</v>
      </c>
      <c r="E248" t="s">
        <v>250</v>
      </c>
      <c r="F248" t="s">
        <v>202</v>
      </c>
    </row>
    <row r="249" spans="1:15" x14ac:dyDescent="0.25">
      <c r="A249" t="str">
        <f t="shared" si="17"/>
        <v>imagelist</v>
      </c>
      <c r="B249" t="str">
        <f t="shared" si="18"/>
        <v>list</v>
      </c>
      <c r="E249" t="s">
        <v>251</v>
      </c>
      <c r="F249" t="s">
        <v>203</v>
      </c>
    </row>
    <row r="250" spans="1:15" x14ac:dyDescent="0.25">
      <c r="A250" t="str">
        <f t="shared" si="17"/>
        <v>imagelist</v>
      </c>
      <c r="B250" t="str">
        <f t="shared" si="18"/>
        <v>list</v>
      </c>
      <c r="E250" t="s">
        <v>252</v>
      </c>
      <c r="F250" t="s">
        <v>204</v>
      </c>
    </row>
    <row r="251" spans="1:15" x14ac:dyDescent="0.25">
      <c r="A251" t="str">
        <f t="shared" si="17"/>
        <v/>
      </c>
      <c r="B251" t="str">
        <f t="shared" si="18"/>
        <v/>
      </c>
    </row>
    <row r="252" spans="1:15" x14ac:dyDescent="0.25">
      <c r="A252" t="str">
        <f t="shared" si="17"/>
        <v/>
      </c>
      <c r="B252" t="str">
        <f t="shared" si="18"/>
        <v/>
      </c>
      <c r="E252" t="s">
        <v>66</v>
      </c>
      <c r="G252" t="s">
        <v>319</v>
      </c>
      <c r="I252" t="s">
        <v>320</v>
      </c>
      <c r="O252" t="s">
        <v>68</v>
      </c>
    </row>
    <row r="253" spans="1:15" x14ac:dyDescent="0.2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253</v>
      </c>
      <c r="E253" t="s">
        <v>205</v>
      </c>
      <c r="F253" t="s">
        <v>254</v>
      </c>
      <c r="G253" t="s">
        <v>318</v>
      </c>
      <c r="H253">
        <v>3</v>
      </c>
      <c r="O253" t="s">
        <v>158</v>
      </c>
    </row>
    <row r="254" spans="1:15" x14ac:dyDescent="0.25">
      <c r="A254" t="str">
        <f t="shared" si="17"/>
        <v>saveFile</v>
      </c>
      <c r="B254" t="str">
        <f t="shared" si="18"/>
        <v>list</v>
      </c>
      <c r="E254" t="s">
        <v>206</v>
      </c>
      <c r="F254" t="s">
        <v>255</v>
      </c>
      <c r="G254" t="s">
        <v>321</v>
      </c>
      <c r="H254">
        <v>3</v>
      </c>
      <c r="I254" t="s">
        <v>256</v>
      </c>
      <c r="O254" t="s">
        <v>159</v>
      </c>
    </row>
    <row r="255" spans="1:15" x14ac:dyDescent="0.25">
      <c r="A255" t="str">
        <f t="shared" si="17"/>
        <v>saveFile</v>
      </c>
      <c r="B255" t="str">
        <f t="shared" si="18"/>
        <v>list</v>
      </c>
      <c r="E255" t="s">
        <v>207</v>
      </c>
      <c r="I255" t="s">
        <v>322</v>
      </c>
      <c r="O255" t="s">
        <v>160</v>
      </c>
    </row>
    <row r="256" spans="1:15" x14ac:dyDescent="0.25">
      <c r="A256" t="str">
        <f t="shared" si="17"/>
        <v>saveFile</v>
      </c>
      <c r="B256" t="str">
        <f t="shared" si="18"/>
        <v>list</v>
      </c>
      <c r="E256" t="s">
        <v>208</v>
      </c>
      <c r="I256" t="s">
        <v>323</v>
      </c>
      <c r="O256" t="s">
        <v>161</v>
      </c>
    </row>
    <row r="257" spans="1:15" x14ac:dyDescent="0.25">
      <c r="A257" t="str">
        <f t="shared" si="17"/>
        <v>saveFile</v>
      </c>
      <c r="B257" t="str">
        <f t="shared" si="18"/>
        <v>list</v>
      </c>
      <c r="E257" t="s">
        <v>209</v>
      </c>
      <c r="I257" t="s">
        <v>324</v>
      </c>
      <c r="O257" t="s">
        <v>162</v>
      </c>
    </row>
    <row r="258" spans="1:15" x14ac:dyDescent="0.25">
      <c r="A258" t="str">
        <f t="shared" si="17"/>
        <v>saveFile</v>
      </c>
      <c r="B258" t="str">
        <f t="shared" si="18"/>
        <v>list</v>
      </c>
      <c r="E258" t="s">
        <v>210</v>
      </c>
      <c r="I258" t="s">
        <v>325</v>
      </c>
      <c r="O258" t="s">
        <v>163</v>
      </c>
    </row>
    <row r="259" spans="1:15" x14ac:dyDescent="0.25">
      <c r="A259" t="str">
        <f t="shared" si="17"/>
        <v>saveFile</v>
      </c>
      <c r="B259" t="str">
        <f t="shared" si="18"/>
        <v>list</v>
      </c>
      <c r="E259" t="s">
        <v>211</v>
      </c>
      <c r="I259" t="s">
        <v>322</v>
      </c>
      <c r="O259" t="s">
        <v>164</v>
      </c>
    </row>
    <row r="260" spans="1:15" x14ac:dyDescent="0.25">
      <c r="A260" t="str">
        <f t="shared" si="17"/>
        <v>saveFile</v>
      </c>
      <c r="B260" t="str">
        <f t="shared" si="18"/>
        <v>list</v>
      </c>
      <c r="E260" t="s">
        <v>212</v>
      </c>
      <c r="I260" t="s">
        <v>323</v>
      </c>
      <c r="O260" t="s">
        <v>165</v>
      </c>
    </row>
    <row r="261" spans="1:15" x14ac:dyDescent="0.25">
      <c r="A261" t="str">
        <f t="shared" si="17"/>
        <v>saveFile</v>
      </c>
      <c r="B261" t="str">
        <f t="shared" si="18"/>
        <v>list</v>
      </c>
      <c r="E261" t="s">
        <v>213</v>
      </c>
      <c r="I261" t="s">
        <v>324</v>
      </c>
      <c r="O261" t="s">
        <v>166</v>
      </c>
    </row>
    <row r="262" spans="1:15" x14ac:dyDescent="0.25">
      <c r="A262" t="str">
        <f t="shared" si="17"/>
        <v>WSLG</v>
      </c>
      <c r="B262" t="str">
        <f t="shared" si="18"/>
        <v>Day</v>
      </c>
      <c r="C262" t="s">
        <v>258</v>
      </c>
      <c r="D262" t="s">
        <v>257</v>
      </c>
      <c r="E262" t="str">
        <f>"grid_"&amp;C262&amp;"_"&amp;D262&amp;".png"</f>
        <v>grid_Day_WSLG.png</v>
      </c>
      <c r="I262" t="s">
        <v>326</v>
      </c>
      <c r="O262" t="s">
        <v>167</v>
      </c>
    </row>
    <row r="263" spans="1:15" x14ac:dyDescent="0.25">
      <c r="A263" t="str">
        <f t="shared" si="17"/>
        <v>WSLG</v>
      </c>
      <c r="B263" t="str">
        <f t="shared" si="18"/>
        <v>WTD</v>
      </c>
      <c r="C263" t="s">
        <v>259</v>
      </c>
      <c r="D263" t="s">
        <v>257</v>
      </c>
      <c r="E263" t="str">
        <f t="shared" ref="E263:E265" si="19">"grid_"&amp;C263&amp;"_"&amp;D263&amp;".png"</f>
        <v>grid_WTD_WSLG.png</v>
      </c>
      <c r="I263" t="s">
        <v>322</v>
      </c>
      <c r="O263" t="s">
        <v>168</v>
      </c>
    </row>
    <row r="264" spans="1:15" x14ac:dyDescent="0.25">
      <c r="A264" t="str">
        <f t="shared" si="17"/>
        <v>WSLG</v>
      </c>
      <c r="B264" t="str">
        <f t="shared" si="18"/>
        <v>MTD</v>
      </c>
      <c r="C264" t="s">
        <v>260</v>
      </c>
      <c r="D264" t="s">
        <v>257</v>
      </c>
      <c r="E264" t="str">
        <f t="shared" si="19"/>
        <v>grid_MTD_WSLG.png</v>
      </c>
      <c r="I264" t="s">
        <v>323</v>
      </c>
      <c r="O264" t="s">
        <v>169</v>
      </c>
    </row>
    <row r="265" spans="1:15" x14ac:dyDescent="0.25">
      <c r="A265" t="str">
        <f t="shared" si="17"/>
        <v>WSLG</v>
      </c>
      <c r="B265" t="str">
        <f t="shared" si="18"/>
        <v>YTD</v>
      </c>
      <c r="C265" t="s">
        <v>261</v>
      </c>
      <c r="D265" t="s">
        <v>257</v>
      </c>
      <c r="E265" t="str">
        <f t="shared" si="19"/>
        <v>grid_YTD_WSLG.png</v>
      </c>
      <c r="I265" t="s">
        <v>324</v>
      </c>
      <c r="O265" t="s">
        <v>170</v>
      </c>
    </row>
    <row r="266" spans="1:15" x14ac:dyDescent="0.25">
      <c r="A266" t="str">
        <f t="shared" si="17"/>
        <v>WRTW</v>
      </c>
      <c r="B266" t="str">
        <f t="shared" si="18"/>
        <v>Day</v>
      </c>
      <c r="C266" t="s">
        <v>258</v>
      </c>
      <c r="D266" t="s">
        <v>262</v>
      </c>
      <c r="E266" t="str">
        <f>"grid_"&amp;C266&amp;"_"&amp;D266&amp;".png"</f>
        <v>grid_Day_WRTW.png</v>
      </c>
      <c r="I266" t="s">
        <v>327</v>
      </c>
      <c r="O266" t="s">
        <v>171</v>
      </c>
    </row>
    <row r="267" spans="1:15" x14ac:dyDescent="0.25">
      <c r="A267" t="str">
        <f t="shared" si="17"/>
        <v>WRTW</v>
      </c>
      <c r="B267" t="str">
        <f t="shared" si="18"/>
        <v>WTD</v>
      </c>
      <c r="C267" t="s">
        <v>259</v>
      </c>
      <c r="D267" t="s">
        <v>262</v>
      </c>
      <c r="E267" t="str">
        <f t="shared" ref="E267:E269" si="20">"grid_"&amp;C267&amp;"_"&amp;D267&amp;".png"</f>
        <v>grid_WTD_WRTW.png</v>
      </c>
      <c r="I267" t="s">
        <v>322</v>
      </c>
      <c r="O267" t="s">
        <v>172</v>
      </c>
    </row>
    <row r="268" spans="1:15" x14ac:dyDescent="0.25">
      <c r="A268" t="str">
        <f t="shared" si="17"/>
        <v>WRTW</v>
      </c>
      <c r="B268" t="str">
        <f t="shared" si="18"/>
        <v>MTD</v>
      </c>
      <c r="C268" t="s">
        <v>260</v>
      </c>
      <c r="D268" t="s">
        <v>262</v>
      </c>
      <c r="E268" t="str">
        <f t="shared" si="20"/>
        <v>grid_MTD_WRTW.png</v>
      </c>
      <c r="I268" t="s">
        <v>323</v>
      </c>
      <c r="O268" t="s">
        <v>173</v>
      </c>
    </row>
    <row r="269" spans="1:15" x14ac:dyDescent="0.25">
      <c r="A269" t="str">
        <f t="shared" si="17"/>
        <v>WRTW</v>
      </c>
      <c r="B269" t="str">
        <f t="shared" si="18"/>
        <v>YTD</v>
      </c>
      <c r="C269" t="s">
        <v>261</v>
      </c>
      <c r="D269" t="s">
        <v>262</v>
      </c>
      <c r="E269" t="str">
        <f t="shared" si="20"/>
        <v>grid_YTD_WRTW.png</v>
      </c>
      <c r="I269" t="s">
        <v>324</v>
      </c>
      <c r="O269" t="s">
        <v>174</v>
      </c>
    </row>
    <row r="270" spans="1:15" x14ac:dyDescent="0.25">
      <c r="A270" t="str">
        <f t="shared" si="17"/>
        <v>WSHOES</v>
      </c>
      <c r="B270" t="str">
        <f t="shared" si="18"/>
        <v>Day</v>
      </c>
      <c r="C270" t="s">
        <v>258</v>
      </c>
      <c r="D270" t="s">
        <v>263</v>
      </c>
      <c r="E270" t="str">
        <f>"grid_"&amp;C270&amp;"_"&amp;D270&amp;".png"</f>
        <v>grid_Day_WSHOES.png</v>
      </c>
      <c r="I270" t="s">
        <v>328</v>
      </c>
      <c r="O270" t="s">
        <v>175</v>
      </c>
    </row>
    <row r="271" spans="1:15" x14ac:dyDescent="0.25">
      <c r="A271" t="str">
        <f t="shared" si="17"/>
        <v>WSHOES</v>
      </c>
      <c r="B271" t="str">
        <f t="shared" si="18"/>
        <v>WTD</v>
      </c>
      <c r="C271" t="s">
        <v>259</v>
      </c>
      <c r="D271" t="s">
        <v>263</v>
      </c>
      <c r="E271" t="str">
        <f t="shared" ref="E271:E273" si="21">"grid_"&amp;C271&amp;"_"&amp;D271&amp;".png"</f>
        <v>grid_WTD_WSHOES.png</v>
      </c>
      <c r="I271" t="s">
        <v>322</v>
      </c>
      <c r="O271" t="s">
        <v>176</v>
      </c>
    </row>
    <row r="272" spans="1:15" x14ac:dyDescent="0.25">
      <c r="A272" t="str">
        <f t="shared" si="17"/>
        <v>WSHOES</v>
      </c>
      <c r="B272" t="str">
        <f t="shared" si="18"/>
        <v>MTD</v>
      </c>
      <c r="C272" t="s">
        <v>260</v>
      </c>
      <c r="D272" t="s">
        <v>263</v>
      </c>
      <c r="E272" t="str">
        <f t="shared" si="21"/>
        <v>grid_MTD_WSHOES.png</v>
      </c>
      <c r="I272" t="s">
        <v>323</v>
      </c>
      <c r="O272" t="s">
        <v>177</v>
      </c>
    </row>
    <row r="273" spans="1:15" x14ac:dyDescent="0.25">
      <c r="A273" t="str">
        <f t="shared" si="17"/>
        <v>WSHOES</v>
      </c>
      <c r="B273" t="str">
        <f t="shared" si="18"/>
        <v>YTD</v>
      </c>
      <c r="C273" t="s">
        <v>261</v>
      </c>
      <c r="D273" t="s">
        <v>263</v>
      </c>
      <c r="E273" t="str">
        <f t="shared" si="21"/>
        <v>grid_YTD_WSHOES.png</v>
      </c>
      <c r="I273" t="s">
        <v>324</v>
      </c>
      <c r="O273" t="s">
        <v>178</v>
      </c>
    </row>
    <row r="274" spans="1:15" x14ac:dyDescent="0.25">
      <c r="A274" t="str">
        <f t="shared" si="17"/>
        <v>WACC</v>
      </c>
      <c r="B274" t="str">
        <f t="shared" si="18"/>
        <v>Day</v>
      </c>
      <c r="C274" t="s">
        <v>258</v>
      </c>
      <c r="D274" t="s">
        <v>264</v>
      </c>
      <c r="E274" t="str">
        <f>"grid_"&amp;C274&amp;"_"&amp;D274&amp;".png"</f>
        <v>grid_Day_WACC.png</v>
      </c>
      <c r="I274" t="s">
        <v>329</v>
      </c>
      <c r="O274" t="s">
        <v>179</v>
      </c>
    </row>
    <row r="275" spans="1:15" x14ac:dyDescent="0.25">
      <c r="A275" t="str">
        <f t="shared" si="17"/>
        <v>WACC</v>
      </c>
      <c r="B275" t="str">
        <f t="shared" si="18"/>
        <v>WTD</v>
      </c>
      <c r="C275" t="s">
        <v>259</v>
      </c>
      <c r="D275" t="s">
        <v>264</v>
      </c>
      <c r="E275" t="str">
        <f t="shared" ref="E275:E277" si="22">"grid_"&amp;C275&amp;"_"&amp;D275&amp;".png"</f>
        <v>grid_WTD_WACC.png</v>
      </c>
      <c r="I275" t="s">
        <v>322</v>
      </c>
      <c r="O275" t="s">
        <v>180</v>
      </c>
    </row>
    <row r="276" spans="1:15" x14ac:dyDescent="0.25">
      <c r="A276" t="str">
        <f t="shared" si="17"/>
        <v>WACC</v>
      </c>
      <c r="B276" t="str">
        <f t="shared" si="18"/>
        <v>MTD</v>
      </c>
      <c r="C276" t="s">
        <v>260</v>
      </c>
      <c r="D276" t="s">
        <v>264</v>
      </c>
      <c r="E276" t="str">
        <f t="shared" si="22"/>
        <v>grid_MTD_WACC.png</v>
      </c>
      <c r="I276" t="s">
        <v>323</v>
      </c>
      <c r="O276" t="s">
        <v>181</v>
      </c>
    </row>
    <row r="277" spans="1:15" x14ac:dyDescent="0.25">
      <c r="A277" t="str">
        <f t="shared" si="17"/>
        <v>WACC</v>
      </c>
      <c r="B277" t="str">
        <f t="shared" si="18"/>
        <v>YTD</v>
      </c>
      <c r="C277" t="s">
        <v>261</v>
      </c>
      <c r="D277" t="s">
        <v>264</v>
      </c>
      <c r="E277" t="str">
        <f t="shared" si="22"/>
        <v>grid_YTD_WACC.png</v>
      </c>
      <c r="I277" t="s">
        <v>324</v>
      </c>
      <c r="O277" t="s">
        <v>182</v>
      </c>
    </row>
    <row r="278" spans="1:15" x14ac:dyDescent="0.25">
      <c r="A278" t="str">
        <f t="shared" si="17"/>
        <v>WnJ</v>
      </c>
      <c r="B278" t="str">
        <f t="shared" si="18"/>
        <v>Day</v>
      </c>
      <c r="C278" t="s">
        <v>258</v>
      </c>
      <c r="D278" t="s">
        <v>265</v>
      </c>
      <c r="E278" t="str">
        <f>"grid_"&amp;C278&amp;"_"&amp;D278&amp;".png"</f>
        <v>grid_Day_WnJ.png</v>
      </c>
      <c r="I278" t="s">
        <v>330</v>
      </c>
      <c r="O278" t="s">
        <v>183</v>
      </c>
    </row>
    <row r="279" spans="1:15" x14ac:dyDescent="0.25">
      <c r="A279" t="str">
        <f t="shared" si="17"/>
        <v>WnJ</v>
      </c>
      <c r="B279" t="str">
        <f t="shared" si="18"/>
        <v>WTD</v>
      </c>
      <c r="C279" t="s">
        <v>259</v>
      </c>
      <c r="D279" t="s">
        <v>265</v>
      </c>
      <c r="E279" t="str">
        <f t="shared" ref="E279:E281" si="23">"grid_"&amp;C279&amp;"_"&amp;D279&amp;".png"</f>
        <v>grid_WTD_WnJ.png</v>
      </c>
      <c r="I279" t="s">
        <v>322</v>
      </c>
      <c r="O279" t="s">
        <v>184</v>
      </c>
    </row>
    <row r="280" spans="1:15" x14ac:dyDescent="0.25">
      <c r="A280" t="str">
        <f t="shared" si="17"/>
        <v>WnJ</v>
      </c>
      <c r="B280" t="str">
        <f t="shared" si="18"/>
        <v>MTD</v>
      </c>
      <c r="C280" t="s">
        <v>260</v>
      </c>
      <c r="D280" t="s">
        <v>265</v>
      </c>
      <c r="E280" t="str">
        <f t="shared" si="23"/>
        <v>grid_MTD_WnJ.png</v>
      </c>
      <c r="I280" t="s">
        <v>323</v>
      </c>
      <c r="O280" t="s">
        <v>185</v>
      </c>
    </row>
    <row r="281" spans="1:15" x14ac:dyDescent="0.25">
      <c r="A281" t="str">
        <f t="shared" si="17"/>
        <v>WnJ</v>
      </c>
      <c r="B281" t="str">
        <f t="shared" si="18"/>
        <v>YTD</v>
      </c>
      <c r="C281" t="s">
        <v>261</v>
      </c>
      <c r="D281" t="s">
        <v>265</v>
      </c>
      <c r="E281" t="str">
        <f t="shared" si="23"/>
        <v>grid_YTD_WnJ.png</v>
      </c>
      <c r="I281" t="s">
        <v>324</v>
      </c>
      <c r="O281" t="s">
        <v>186</v>
      </c>
    </row>
    <row r="282" spans="1:15" x14ac:dyDescent="0.25">
      <c r="A282" t="str">
        <f t="shared" si="17"/>
        <v>MENS</v>
      </c>
      <c r="B282" t="str">
        <f t="shared" si="18"/>
        <v>Day</v>
      </c>
      <c r="C282" t="s">
        <v>258</v>
      </c>
      <c r="D282" t="s">
        <v>266</v>
      </c>
      <c r="E282" t="str">
        <f>"grid_"&amp;C282&amp;"_"&amp;D282&amp;".png"</f>
        <v>grid_Day_MENS.png</v>
      </c>
      <c r="I282" t="s">
        <v>331</v>
      </c>
      <c r="O282" t="s">
        <v>187</v>
      </c>
    </row>
    <row r="283" spans="1:15" x14ac:dyDescent="0.25">
      <c r="A283" t="str">
        <f t="shared" si="17"/>
        <v>MENS</v>
      </c>
      <c r="B283" t="str">
        <f t="shared" si="18"/>
        <v>WTD</v>
      </c>
      <c r="C283" t="s">
        <v>259</v>
      </c>
      <c r="D283" t="s">
        <v>266</v>
      </c>
      <c r="E283" t="str">
        <f t="shared" ref="E283:E285" si="24">"grid_"&amp;C283&amp;"_"&amp;D283&amp;".png"</f>
        <v>grid_WTD_MENS.png</v>
      </c>
      <c r="I283" t="s">
        <v>322</v>
      </c>
      <c r="O283" t="s">
        <v>188</v>
      </c>
    </row>
    <row r="284" spans="1:15" x14ac:dyDescent="0.25">
      <c r="A284" t="str">
        <f t="shared" si="17"/>
        <v>MENS</v>
      </c>
      <c r="B284" t="str">
        <f t="shared" si="18"/>
        <v>MTD</v>
      </c>
      <c r="C284" t="s">
        <v>260</v>
      </c>
      <c r="D284" t="s">
        <v>266</v>
      </c>
      <c r="E284" t="str">
        <f t="shared" si="24"/>
        <v>grid_MTD_MENS.png</v>
      </c>
      <c r="I284" t="s">
        <v>323</v>
      </c>
      <c r="O284" t="s">
        <v>189</v>
      </c>
    </row>
    <row r="285" spans="1:15" x14ac:dyDescent="0.25">
      <c r="A285" t="str">
        <f t="shared" si="17"/>
        <v>MENS</v>
      </c>
      <c r="B285" t="str">
        <f t="shared" si="18"/>
        <v>YTD</v>
      </c>
      <c r="C285" t="s">
        <v>261</v>
      </c>
      <c r="D285" t="s">
        <v>266</v>
      </c>
      <c r="E285" t="str">
        <f t="shared" si="24"/>
        <v>grid_YTD_MENS.png</v>
      </c>
      <c r="I285" t="s">
        <v>324</v>
      </c>
      <c r="O285" t="s">
        <v>190</v>
      </c>
    </row>
    <row r="286" spans="1:15" x14ac:dyDescent="0.25">
      <c r="A286" t="str">
        <f t="shared" si="17"/>
        <v>BABY</v>
      </c>
      <c r="B286" t="str">
        <f t="shared" si="18"/>
        <v>Day</v>
      </c>
      <c r="C286" t="s">
        <v>258</v>
      </c>
      <c r="D286" t="s">
        <v>267</v>
      </c>
      <c r="E286" t="str">
        <f>"grid_"&amp;C286&amp;"_"&amp;D286&amp;".png"</f>
        <v>grid_Day_BABY.png</v>
      </c>
      <c r="I286" t="s">
        <v>332</v>
      </c>
      <c r="O286" t="s">
        <v>191</v>
      </c>
    </row>
    <row r="287" spans="1:15" x14ac:dyDescent="0.25">
      <c r="A287" t="str">
        <f t="shared" si="17"/>
        <v>BABY</v>
      </c>
      <c r="B287" t="str">
        <f t="shared" si="18"/>
        <v>WTD</v>
      </c>
      <c r="C287" t="s">
        <v>259</v>
      </c>
      <c r="D287" t="s">
        <v>267</v>
      </c>
      <c r="E287" t="str">
        <f t="shared" ref="E287:E289" si="25">"grid_"&amp;C287&amp;"_"&amp;D287&amp;".png"</f>
        <v>grid_WTD_BABY.png</v>
      </c>
      <c r="I287" t="s">
        <v>322</v>
      </c>
      <c r="O287" t="s">
        <v>192</v>
      </c>
    </row>
    <row r="288" spans="1:15" x14ac:dyDescent="0.25">
      <c r="A288" t="str">
        <f t="shared" si="17"/>
        <v>BABY</v>
      </c>
      <c r="B288" t="str">
        <f t="shared" si="18"/>
        <v>MTD</v>
      </c>
      <c r="C288" t="s">
        <v>260</v>
      </c>
      <c r="D288" t="s">
        <v>267</v>
      </c>
      <c r="E288" t="str">
        <f t="shared" si="25"/>
        <v>grid_MTD_BABY.png</v>
      </c>
      <c r="I288" t="s">
        <v>323</v>
      </c>
      <c r="O288" t="s">
        <v>193</v>
      </c>
    </row>
    <row r="289" spans="1:15" x14ac:dyDescent="0.25">
      <c r="A289" t="str">
        <f t="shared" si="17"/>
        <v>BABY</v>
      </c>
      <c r="B289" t="str">
        <f t="shared" si="18"/>
        <v>YTD</v>
      </c>
      <c r="C289" t="s">
        <v>261</v>
      </c>
      <c r="D289" t="s">
        <v>267</v>
      </c>
      <c r="E289" t="str">
        <f t="shared" si="25"/>
        <v>grid_YTD_BABY.png</v>
      </c>
      <c r="I289" t="s">
        <v>324</v>
      </c>
      <c r="O289" t="s">
        <v>194</v>
      </c>
    </row>
    <row r="290" spans="1:15" x14ac:dyDescent="0.25">
      <c r="A290" t="str">
        <f t="shared" si="17"/>
        <v>STORE</v>
      </c>
      <c r="B290" t="str">
        <f t="shared" si="18"/>
        <v>Day</v>
      </c>
      <c r="C290" t="s">
        <v>258</v>
      </c>
      <c r="D290" t="s">
        <v>268</v>
      </c>
      <c r="E290" t="str">
        <f>"grid_"&amp;C290&amp;"_"&amp;D290&amp;".png"</f>
        <v>grid_Day_STORE.png</v>
      </c>
      <c r="I290" t="s">
        <v>333</v>
      </c>
      <c r="O290" t="s">
        <v>195</v>
      </c>
    </row>
    <row r="291" spans="1:15" x14ac:dyDescent="0.25">
      <c r="A291" t="str">
        <f t="shared" si="17"/>
        <v>STORE</v>
      </c>
      <c r="B291" t="str">
        <f t="shared" si="18"/>
        <v>WTD</v>
      </c>
      <c r="C291" t="s">
        <v>259</v>
      </c>
      <c r="D291" t="s">
        <v>268</v>
      </c>
      <c r="E291" t="str">
        <f t="shared" ref="E291:E293" si="26">"grid_"&amp;C291&amp;"_"&amp;D291&amp;".png"</f>
        <v>grid_WTD_STORE.png</v>
      </c>
      <c r="I291" t="s">
        <v>322</v>
      </c>
      <c r="O291" t="s">
        <v>196</v>
      </c>
    </row>
    <row r="292" spans="1:15" x14ac:dyDescent="0.25">
      <c r="A292" t="str">
        <f t="shared" si="17"/>
        <v>STORE</v>
      </c>
      <c r="B292" t="str">
        <f t="shared" si="18"/>
        <v>MTD</v>
      </c>
      <c r="C292" t="s">
        <v>260</v>
      </c>
      <c r="D292" t="s">
        <v>268</v>
      </c>
      <c r="E292" t="str">
        <f t="shared" si="26"/>
        <v>grid_MTD_STORE.png</v>
      </c>
      <c r="I292" t="s">
        <v>323</v>
      </c>
      <c r="O292" t="s">
        <v>197</v>
      </c>
    </row>
    <row r="293" spans="1:15" x14ac:dyDescent="0.25">
      <c r="A293" t="str">
        <f t="shared" si="17"/>
        <v>STORE</v>
      </c>
      <c r="B293" t="str">
        <f t="shared" si="18"/>
        <v>YTD</v>
      </c>
      <c r="C293" t="s">
        <v>261</v>
      </c>
      <c r="D293" t="s">
        <v>268</v>
      </c>
      <c r="E293" t="str">
        <f t="shared" si="26"/>
        <v>grid_YTD_STORE.png</v>
      </c>
      <c r="I293" t="s">
        <v>324</v>
      </c>
      <c r="O293" t="s">
        <v>198</v>
      </c>
    </row>
    <row r="294" spans="1:15" x14ac:dyDescent="0.2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258</v>
      </c>
      <c r="D294" t="s">
        <v>269</v>
      </c>
      <c r="E294" t="str">
        <f>"grid_"&amp;C294&amp;"_"&amp;D294&amp;".png"</f>
        <v>grid_Day_BusinessUnit.png</v>
      </c>
      <c r="I294" t="s">
        <v>334</v>
      </c>
      <c r="O294" t="s">
        <v>199</v>
      </c>
    </row>
    <row r="295" spans="1:15" x14ac:dyDescent="0.25">
      <c r="A295" t="str">
        <f t="shared" si="27"/>
        <v>BusinessUnit</v>
      </c>
      <c r="B295" t="str">
        <f t="shared" si="28"/>
        <v>WTD</v>
      </c>
      <c r="C295" t="s">
        <v>259</v>
      </c>
      <c r="D295" t="s">
        <v>269</v>
      </c>
      <c r="E295" t="str">
        <f t="shared" ref="E295:E297" si="29">"grid_"&amp;C295&amp;"_"&amp;D295&amp;".png"</f>
        <v>grid_WTD_BusinessUnit.png</v>
      </c>
      <c r="I295" t="s">
        <v>322</v>
      </c>
      <c r="O295" t="s">
        <v>200</v>
      </c>
    </row>
    <row r="296" spans="1:15" x14ac:dyDescent="0.25">
      <c r="A296" t="str">
        <f t="shared" si="27"/>
        <v>BusinessUnit</v>
      </c>
      <c r="B296" t="str">
        <f t="shared" si="28"/>
        <v>MTD</v>
      </c>
      <c r="C296" t="s">
        <v>260</v>
      </c>
      <c r="D296" t="s">
        <v>269</v>
      </c>
      <c r="E296" t="str">
        <f t="shared" si="29"/>
        <v>grid_MTD_BusinessUnit.png</v>
      </c>
      <c r="I296" t="s">
        <v>323</v>
      </c>
      <c r="O296" t="s">
        <v>201</v>
      </c>
    </row>
    <row r="297" spans="1:15" x14ac:dyDescent="0.25">
      <c r="A297" t="str">
        <f t="shared" si="27"/>
        <v>BusinessUnit</v>
      </c>
      <c r="B297" t="str">
        <f t="shared" si="28"/>
        <v>YTD</v>
      </c>
      <c r="C297" t="s">
        <v>261</v>
      </c>
      <c r="D297" t="s">
        <v>269</v>
      </c>
      <c r="E297" t="str">
        <f t="shared" si="29"/>
        <v>grid_YTD_BusinessUnit.png</v>
      </c>
      <c r="I297" t="s">
        <v>324</v>
      </c>
      <c r="O297" t="s">
        <v>202</v>
      </c>
    </row>
    <row r="298" spans="1:15" x14ac:dyDescent="0.25">
      <c r="A298" t="str">
        <f t="shared" si="27"/>
        <v>TopProducts</v>
      </c>
      <c r="B298" t="str">
        <f t="shared" si="28"/>
        <v>Day</v>
      </c>
      <c r="C298" t="s">
        <v>258</v>
      </c>
      <c r="D298" t="s">
        <v>271</v>
      </c>
      <c r="E298" t="str">
        <f>"grid_"&amp;C298&amp;"_"&amp;D298&amp;".png"</f>
        <v>grid_Day_TopProducts.png</v>
      </c>
      <c r="F298" t="s">
        <v>270</v>
      </c>
      <c r="I298" t="s">
        <v>335</v>
      </c>
      <c r="O298" t="s">
        <v>203</v>
      </c>
    </row>
    <row r="299" spans="1:15" x14ac:dyDescent="0.25">
      <c r="A299" t="str">
        <f t="shared" si="27"/>
        <v>TopProducts</v>
      </c>
      <c r="B299" t="str">
        <f t="shared" si="28"/>
        <v>WTD</v>
      </c>
      <c r="C299" t="s">
        <v>259</v>
      </c>
      <c r="D299" t="s">
        <v>271</v>
      </c>
      <c r="E299" t="str">
        <f t="shared" ref="E299:E301" si="30">"grid_"&amp;C299&amp;"_"&amp;D299&amp;".png"</f>
        <v>grid_WTD_TopProducts.png</v>
      </c>
      <c r="I299" t="s">
        <v>322</v>
      </c>
      <c r="O299" t="s">
        <v>204</v>
      </c>
    </row>
    <row r="300" spans="1:15" x14ac:dyDescent="0.25">
      <c r="A300" t="str">
        <f t="shared" si="27"/>
        <v>TopProducts</v>
      </c>
      <c r="B300" t="str">
        <f t="shared" si="28"/>
        <v>MTD</v>
      </c>
      <c r="C300" t="s">
        <v>260</v>
      </c>
      <c r="D300" t="s">
        <v>271</v>
      </c>
      <c r="E300" t="str">
        <f t="shared" si="30"/>
        <v>grid_MTD_TopProducts.png</v>
      </c>
      <c r="I300" t="s">
        <v>323</v>
      </c>
    </row>
    <row r="301" spans="1:15" x14ac:dyDescent="0.25">
      <c r="A301" t="str">
        <f t="shared" si="27"/>
        <v>TopProducts</v>
      </c>
      <c r="B301" t="str">
        <f t="shared" si="28"/>
        <v>YTD</v>
      </c>
      <c r="C301" t="s">
        <v>261</v>
      </c>
      <c r="D301" t="s">
        <v>271</v>
      </c>
      <c r="E301" t="str">
        <f t="shared" si="30"/>
        <v>grid_YTD_TopProducts.png</v>
      </c>
      <c r="I301" t="s">
        <v>324</v>
      </c>
    </row>
    <row r="302" spans="1:15" x14ac:dyDescent="0.25">
      <c r="A302" t="str">
        <f t="shared" si="27"/>
        <v>TopProducts</v>
      </c>
      <c r="B302" t="str">
        <f t="shared" si="28"/>
        <v>YTD</v>
      </c>
      <c r="E302" t="s">
        <v>250</v>
      </c>
      <c r="F302" t="s">
        <v>272</v>
      </c>
      <c r="I302" t="s">
        <v>336</v>
      </c>
    </row>
    <row r="303" spans="1:15" x14ac:dyDescent="0.25">
      <c r="A303" t="str">
        <f t="shared" si="27"/>
        <v>TopProducts</v>
      </c>
      <c r="B303" t="str">
        <f t="shared" si="28"/>
        <v>YTD</v>
      </c>
      <c r="E303" t="s">
        <v>251</v>
      </c>
      <c r="I303" t="s">
        <v>337</v>
      </c>
    </row>
    <row r="304" spans="1:15" x14ac:dyDescent="0.25">
      <c r="A304" t="str">
        <f t="shared" si="27"/>
        <v/>
      </c>
      <c r="B304" t="str">
        <f t="shared" si="28"/>
        <v/>
      </c>
      <c r="I304" t="s">
        <v>338</v>
      </c>
    </row>
    <row r="305" spans="1:5" x14ac:dyDescent="0.25">
      <c r="A305" t="str">
        <f t="shared" si="27"/>
        <v/>
      </c>
      <c r="B305" t="str">
        <f t="shared" si="28"/>
        <v/>
      </c>
    </row>
    <row r="306" spans="1:5" x14ac:dyDescent="0.25">
      <c r="A306" t="str">
        <f t="shared" si="27"/>
        <v>clkSelectionIcon</v>
      </c>
      <c r="B306" t="str">
        <f t="shared" si="28"/>
        <v/>
      </c>
      <c r="D306" t="s">
        <v>273</v>
      </c>
      <c r="E306" t="s">
        <v>288</v>
      </c>
    </row>
    <row r="307" spans="1:5" x14ac:dyDescent="0.25">
      <c r="A307" t="str">
        <f t="shared" si="27"/>
        <v>clkSelectionIcon_Store_Grouping</v>
      </c>
      <c r="B307" t="str">
        <f t="shared" si="28"/>
        <v/>
      </c>
      <c r="D307" t="s">
        <v>274</v>
      </c>
      <c r="E307" t="s">
        <v>289</v>
      </c>
    </row>
    <row r="308" spans="1:5" x14ac:dyDescent="0.25">
      <c r="A308" t="str">
        <f t="shared" si="27"/>
        <v>clkSelectionIcon_Country</v>
      </c>
      <c r="B308" t="str">
        <f t="shared" si="28"/>
        <v/>
      </c>
      <c r="D308" t="s">
        <v>275</v>
      </c>
      <c r="E308" t="s">
        <v>290</v>
      </c>
    </row>
    <row r="309" spans="1:5" x14ac:dyDescent="0.25">
      <c r="A309" t="str">
        <f t="shared" si="27"/>
        <v>clkZONE</v>
      </c>
      <c r="B309" t="str">
        <f t="shared" si="28"/>
        <v/>
      </c>
      <c r="D309" t="s">
        <v>276</v>
      </c>
      <c r="E309" t="s">
        <v>291</v>
      </c>
    </row>
    <row r="310" spans="1:5" x14ac:dyDescent="0.25">
      <c r="A310" t="str">
        <f t="shared" si="27"/>
        <v>clkBusinessUnit_ALL</v>
      </c>
      <c r="B310" t="str">
        <f t="shared" si="28"/>
        <v/>
      </c>
      <c r="D310" t="s">
        <v>277</v>
      </c>
      <c r="E310" t="s">
        <v>292</v>
      </c>
    </row>
    <row r="311" spans="1:5" x14ac:dyDescent="0.25">
      <c r="A311" t="str">
        <f t="shared" si="27"/>
        <v>clkExpandWomenUniverse</v>
      </c>
      <c r="B311" t="str">
        <f t="shared" si="28"/>
        <v/>
      </c>
      <c r="D311" t="s">
        <v>278</v>
      </c>
      <c r="E311" t="s">
        <v>293</v>
      </c>
    </row>
    <row r="312" spans="1:5" x14ac:dyDescent="0.25">
      <c r="A312" t="str">
        <f t="shared" si="27"/>
        <v>clkBusinessUnit_ALL</v>
      </c>
      <c r="B312" t="str">
        <f t="shared" si="28"/>
        <v/>
      </c>
      <c r="D312" t="s">
        <v>277</v>
      </c>
      <c r="E312" t="s">
        <v>292</v>
      </c>
    </row>
    <row r="313" spans="1:5" x14ac:dyDescent="0.25">
      <c r="A313" t="str">
        <f t="shared" si="27"/>
        <v>clkExpandWomenUniverse</v>
      </c>
      <c r="B313" t="str">
        <f t="shared" si="28"/>
        <v/>
      </c>
      <c r="D313" t="s">
        <v>278</v>
      </c>
      <c r="E313" t="s">
        <v>293</v>
      </c>
    </row>
    <row r="314" spans="1:5" x14ac:dyDescent="0.25">
      <c r="A314" t="str">
        <f t="shared" si="27"/>
        <v>clkBackWBags</v>
      </c>
      <c r="B314" t="str">
        <f t="shared" si="28"/>
        <v/>
      </c>
      <c r="D314" t="s">
        <v>279</v>
      </c>
      <c r="E314" t="s">
        <v>294</v>
      </c>
    </row>
    <row r="315" spans="1:5" x14ac:dyDescent="0.25">
      <c r="A315" t="str">
        <f t="shared" si="27"/>
        <v>clkBackWSLG</v>
      </c>
      <c r="B315" t="str">
        <f t="shared" si="28"/>
        <v/>
      </c>
      <c r="D315" t="s">
        <v>280</v>
      </c>
      <c r="E315" t="s">
        <v>295</v>
      </c>
    </row>
    <row r="316" spans="1:5" x14ac:dyDescent="0.25">
      <c r="A316" t="str">
        <f t="shared" si="27"/>
        <v>clkBackWRTW</v>
      </c>
      <c r="B316" t="str">
        <f t="shared" si="28"/>
        <v/>
      </c>
      <c r="D316" t="s">
        <v>281</v>
      </c>
      <c r="E316" t="s">
        <v>296</v>
      </c>
    </row>
    <row r="317" spans="1:5" x14ac:dyDescent="0.25">
      <c r="A317" t="str">
        <f t="shared" si="27"/>
        <v>clkBackWShoes</v>
      </c>
      <c r="B317" t="str">
        <f t="shared" si="28"/>
        <v/>
      </c>
      <c r="D317" t="s">
        <v>282</v>
      </c>
      <c r="E317" t="s">
        <v>297</v>
      </c>
    </row>
    <row r="318" spans="1:5" x14ac:dyDescent="0.25">
      <c r="A318" t="str">
        <f t="shared" si="27"/>
        <v>clkBackWJ</v>
      </c>
      <c r="B318" t="str">
        <f t="shared" si="28"/>
        <v/>
      </c>
      <c r="D318" t="s">
        <v>283</v>
      </c>
      <c r="E318" t="s">
        <v>298</v>
      </c>
    </row>
    <row r="319" spans="1:5" x14ac:dyDescent="0.25">
      <c r="A319" t="str">
        <f t="shared" si="27"/>
        <v>clkMens</v>
      </c>
      <c r="B319" t="str">
        <f t="shared" si="28"/>
        <v/>
      </c>
      <c r="D319" t="s">
        <v>284</v>
      </c>
      <c r="E319" t="s">
        <v>299</v>
      </c>
    </row>
    <row r="320" spans="1:5" x14ac:dyDescent="0.25">
      <c r="A320" t="str">
        <f t="shared" si="27"/>
        <v>clkBackMens</v>
      </c>
      <c r="B320" t="str">
        <f t="shared" si="28"/>
        <v/>
      </c>
      <c r="D320" t="s">
        <v>285</v>
      </c>
      <c r="E320" t="s">
        <v>300</v>
      </c>
    </row>
    <row r="321" spans="1:5" x14ac:dyDescent="0.25">
      <c r="A321" t="str">
        <f t="shared" si="27"/>
        <v>clkBaby</v>
      </c>
      <c r="B321" t="str">
        <f t="shared" si="28"/>
        <v/>
      </c>
      <c r="D321" t="s">
        <v>286</v>
      </c>
      <c r="E321" t="s">
        <v>301</v>
      </c>
    </row>
    <row r="322" spans="1:5" x14ac:dyDescent="0.25">
      <c r="A322" t="str">
        <f t="shared" si="27"/>
        <v>clkCloseLabel</v>
      </c>
      <c r="B322" t="str">
        <f t="shared" si="28"/>
        <v/>
      </c>
      <c r="D322" t="s">
        <v>287</v>
      </c>
      <c r="E322" t="s">
        <v>302</v>
      </c>
    </row>
    <row r="323" spans="1:5" x14ac:dyDescent="0.25">
      <c r="A323" t="str">
        <f t="shared" si="27"/>
        <v/>
      </c>
      <c r="B323" t="str">
        <f t="shared" si="28"/>
        <v/>
      </c>
    </row>
    <row r="324" spans="1:5" x14ac:dyDescent="0.25">
      <c r="A324" t="str">
        <f t="shared" si="27"/>
        <v/>
      </c>
      <c r="B324" t="str">
        <f t="shared" si="28"/>
        <v/>
      </c>
    </row>
    <row r="325" spans="1:5" x14ac:dyDescent="0.25">
      <c r="A325" t="str">
        <f t="shared" si="27"/>
        <v/>
      </c>
      <c r="B325" t="str">
        <f t="shared" si="28"/>
        <v/>
      </c>
    </row>
    <row r="326" spans="1:5" x14ac:dyDescent="0.25">
      <c r="A326" t="str">
        <f t="shared" si="27"/>
        <v/>
      </c>
      <c r="B326" t="str">
        <f t="shared" si="28"/>
        <v/>
      </c>
    </row>
    <row r="327" spans="1:5" x14ac:dyDescent="0.25">
      <c r="A327" t="str">
        <f t="shared" si="27"/>
        <v/>
      </c>
      <c r="B327" t="str">
        <f t="shared" si="28"/>
        <v/>
      </c>
    </row>
    <row r="328" spans="1:5" x14ac:dyDescent="0.25">
      <c r="A328" t="str">
        <f t="shared" si="27"/>
        <v/>
      </c>
      <c r="B328" t="str">
        <f t="shared" si="28"/>
        <v/>
      </c>
    </row>
    <row r="329" spans="1:5" x14ac:dyDescent="0.25">
      <c r="A329" t="str">
        <f t="shared" si="27"/>
        <v/>
      </c>
      <c r="B329" t="str">
        <f t="shared" si="28"/>
        <v/>
      </c>
    </row>
    <row r="330" spans="1:5" x14ac:dyDescent="0.25">
      <c r="A330" t="str">
        <f t="shared" si="27"/>
        <v/>
      </c>
      <c r="B330" t="str">
        <f t="shared" si="28"/>
        <v/>
      </c>
    </row>
    <row r="331" spans="1:5" x14ac:dyDescent="0.25">
      <c r="A331" t="str">
        <f t="shared" si="27"/>
        <v/>
      </c>
      <c r="B331" t="str">
        <f t="shared" si="28"/>
        <v/>
      </c>
    </row>
    <row r="332" spans="1:5" x14ac:dyDescent="0.25">
      <c r="A332" t="str">
        <f t="shared" si="27"/>
        <v/>
      </c>
      <c r="B332" t="str">
        <f t="shared" si="28"/>
        <v/>
      </c>
    </row>
    <row r="333" spans="1:5" x14ac:dyDescent="0.25">
      <c r="A333" t="str">
        <f t="shared" si="27"/>
        <v/>
      </c>
      <c r="B333" t="str">
        <f t="shared" si="28"/>
        <v/>
      </c>
    </row>
    <row r="334" spans="1:5" x14ac:dyDescent="0.25">
      <c r="A334" t="str">
        <f t="shared" si="27"/>
        <v/>
      </c>
      <c r="B334" t="str">
        <f t="shared" si="28"/>
        <v/>
      </c>
    </row>
    <row r="335" spans="1:5" x14ac:dyDescent="0.25">
      <c r="A335" t="str">
        <f t="shared" si="27"/>
        <v/>
      </c>
      <c r="B335" t="str">
        <f t="shared" si="28"/>
        <v/>
      </c>
    </row>
    <row r="336" spans="1:5" x14ac:dyDescent="0.25">
      <c r="A336" t="str">
        <f t="shared" si="27"/>
        <v/>
      </c>
      <c r="B336" t="str">
        <f t="shared" si="28"/>
        <v/>
      </c>
    </row>
    <row r="337" spans="1:2" x14ac:dyDescent="0.25">
      <c r="A337" t="str">
        <f t="shared" si="27"/>
        <v/>
      </c>
      <c r="B337" t="str">
        <f t="shared" si="28"/>
        <v/>
      </c>
    </row>
    <row r="338" spans="1:2" x14ac:dyDescent="0.25">
      <c r="A338" t="str">
        <f t="shared" si="27"/>
        <v/>
      </c>
      <c r="B338" t="str">
        <f t="shared" si="28"/>
        <v/>
      </c>
    </row>
    <row r="339" spans="1:2" x14ac:dyDescent="0.25">
      <c r="A339" t="str">
        <f t="shared" si="27"/>
        <v/>
      </c>
      <c r="B339" t="str">
        <f t="shared" si="28"/>
        <v/>
      </c>
    </row>
    <row r="340" spans="1:2" x14ac:dyDescent="0.25">
      <c r="A340" t="str">
        <f t="shared" si="27"/>
        <v/>
      </c>
      <c r="B340" t="str">
        <f t="shared" si="28"/>
        <v/>
      </c>
    </row>
    <row r="341" spans="1:2" x14ac:dyDescent="0.25">
      <c r="A341" t="str">
        <f t="shared" si="27"/>
        <v/>
      </c>
      <c r="B341" t="str">
        <f t="shared" si="28"/>
        <v/>
      </c>
    </row>
    <row r="342" spans="1:2" x14ac:dyDescent="0.25">
      <c r="A342" t="str">
        <f t="shared" si="27"/>
        <v/>
      </c>
      <c r="B342" t="str">
        <f t="shared" si="28"/>
        <v/>
      </c>
    </row>
    <row r="343" spans="1:2" x14ac:dyDescent="0.25">
      <c r="A343" t="str">
        <f t="shared" si="27"/>
        <v/>
      </c>
      <c r="B343" t="str">
        <f t="shared" si="28"/>
        <v/>
      </c>
    </row>
    <row r="344" spans="1:2" x14ac:dyDescent="0.25">
      <c r="A344" t="str">
        <f t="shared" si="27"/>
        <v/>
      </c>
      <c r="B344" t="str">
        <f t="shared" si="28"/>
        <v/>
      </c>
    </row>
    <row r="345" spans="1:2" x14ac:dyDescent="0.25">
      <c r="A345" t="str">
        <f t="shared" si="27"/>
        <v/>
      </c>
      <c r="B345" t="str">
        <f t="shared" si="28"/>
        <v/>
      </c>
    </row>
    <row r="346" spans="1:2" x14ac:dyDescent="0.25">
      <c r="A346" t="str">
        <f t="shared" si="27"/>
        <v/>
      </c>
      <c r="B346" t="str">
        <f t="shared" si="28"/>
        <v/>
      </c>
    </row>
    <row r="347" spans="1:2" x14ac:dyDescent="0.25">
      <c r="A347" t="str">
        <f t="shared" si="27"/>
        <v/>
      </c>
      <c r="B347" t="str">
        <f t="shared" si="28"/>
        <v/>
      </c>
    </row>
    <row r="348" spans="1:2" x14ac:dyDescent="0.25">
      <c r="A348" t="str">
        <f t="shared" si="27"/>
        <v/>
      </c>
      <c r="B348" t="str">
        <f t="shared" si="28"/>
        <v/>
      </c>
    </row>
    <row r="349" spans="1:2" x14ac:dyDescent="0.25">
      <c r="A349" t="str">
        <f t="shared" si="27"/>
        <v/>
      </c>
      <c r="B349" t="str">
        <f t="shared" si="28"/>
        <v/>
      </c>
    </row>
    <row r="350" spans="1:2" x14ac:dyDescent="0.25">
      <c r="A350" t="str">
        <f t="shared" si="27"/>
        <v/>
      </c>
      <c r="B350" t="str">
        <f t="shared" si="28"/>
        <v/>
      </c>
    </row>
    <row r="351" spans="1:2" x14ac:dyDescent="0.25">
      <c r="A351" t="str">
        <f t="shared" si="27"/>
        <v/>
      </c>
      <c r="B351" t="str">
        <f t="shared" si="28"/>
        <v/>
      </c>
    </row>
    <row r="352" spans="1:2" x14ac:dyDescent="0.25">
      <c r="A352" t="str">
        <f t="shared" si="27"/>
        <v/>
      </c>
      <c r="B352" t="str">
        <f t="shared" si="28"/>
        <v/>
      </c>
    </row>
    <row r="353" spans="1:2" x14ac:dyDescent="0.25">
      <c r="A353" t="str">
        <f t="shared" si="27"/>
        <v/>
      </c>
      <c r="B353" t="str">
        <f t="shared" si="28"/>
        <v/>
      </c>
    </row>
    <row r="354" spans="1:2" x14ac:dyDescent="0.25">
      <c r="A354" t="str">
        <f t="shared" si="27"/>
        <v/>
      </c>
      <c r="B354" t="str">
        <f t="shared" si="28"/>
        <v/>
      </c>
    </row>
    <row r="355" spans="1:2" x14ac:dyDescent="0.25">
      <c r="A355" t="str">
        <f t="shared" si="27"/>
        <v/>
      </c>
      <c r="B355" t="str">
        <f t="shared" si="28"/>
        <v/>
      </c>
    </row>
    <row r="356" spans="1:2" x14ac:dyDescent="0.25">
      <c r="A356" t="str">
        <f t="shared" si="27"/>
        <v/>
      </c>
      <c r="B356" t="str">
        <f t="shared" si="28"/>
        <v/>
      </c>
    </row>
    <row r="357" spans="1:2" x14ac:dyDescent="0.25">
      <c r="A357" t="str">
        <f t="shared" si="27"/>
        <v/>
      </c>
      <c r="B357" t="str">
        <f t="shared" si="28"/>
        <v/>
      </c>
    </row>
    <row r="358" spans="1:2" x14ac:dyDescent="0.25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 x14ac:dyDescent="0.25">
      <c r="A359" t="str">
        <f t="shared" si="31"/>
        <v/>
      </c>
      <c r="B359" t="str">
        <f t="shared" si="32"/>
        <v/>
      </c>
    </row>
    <row r="360" spans="1:2" x14ac:dyDescent="0.25">
      <c r="A360" t="str">
        <f t="shared" si="31"/>
        <v/>
      </c>
      <c r="B360" t="str">
        <f t="shared" si="32"/>
        <v/>
      </c>
    </row>
    <row r="361" spans="1:2" x14ac:dyDescent="0.25">
      <c r="A361" t="str">
        <f t="shared" si="31"/>
        <v/>
      </c>
      <c r="B361" t="str">
        <f t="shared" si="32"/>
        <v/>
      </c>
    </row>
    <row r="362" spans="1:2" x14ac:dyDescent="0.25">
      <c r="A362" t="str">
        <f t="shared" si="31"/>
        <v/>
      </c>
      <c r="B362" t="str">
        <f t="shared" si="32"/>
        <v/>
      </c>
    </row>
    <row r="363" spans="1:2" x14ac:dyDescent="0.25">
      <c r="A363" t="str">
        <f t="shared" si="31"/>
        <v/>
      </c>
      <c r="B363" t="str">
        <f t="shared" si="32"/>
        <v/>
      </c>
    </row>
    <row r="364" spans="1:2" x14ac:dyDescent="0.25">
      <c r="A364" t="str">
        <f t="shared" si="31"/>
        <v/>
      </c>
      <c r="B364" t="str">
        <f t="shared" si="32"/>
        <v/>
      </c>
    </row>
    <row r="365" spans="1:2" x14ac:dyDescent="0.25">
      <c r="A365" t="str">
        <f t="shared" si="31"/>
        <v/>
      </c>
      <c r="B365" t="str">
        <f t="shared" si="32"/>
        <v/>
      </c>
    </row>
    <row r="366" spans="1:2" x14ac:dyDescent="0.25">
      <c r="A366" t="str">
        <f t="shared" si="31"/>
        <v/>
      </c>
      <c r="B366" t="str">
        <f t="shared" si="32"/>
        <v/>
      </c>
    </row>
    <row r="367" spans="1:2" x14ac:dyDescent="0.25">
      <c r="A367" t="str">
        <f t="shared" si="31"/>
        <v/>
      </c>
      <c r="B367" t="str">
        <f t="shared" si="32"/>
        <v/>
      </c>
    </row>
    <row r="368" spans="1:2" x14ac:dyDescent="0.25">
      <c r="A368" t="str">
        <f t="shared" si="31"/>
        <v/>
      </c>
      <c r="B368" t="str">
        <f t="shared" si="32"/>
        <v/>
      </c>
    </row>
    <row r="369" spans="1:2" x14ac:dyDescent="0.25">
      <c r="A369" t="str">
        <f t="shared" si="31"/>
        <v/>
      </c>
      <c r="B369" t="str">
        <f t="shared" si="32"/>
        <v/>
      </c>
    </row>
    <row r="370" spans="1:2" x14ac:dyDescent="0.25">
      <c r="A370" t="str">
        <f t="shared" si="31"/>
        <v/>
      </c>
      <c r="B370" t="str">
        <f t="shared" si="32"/>
        <v/>
      </c>
    </row>
    <row r="371" spans="1:2" x14ac:dyDescent="0.25">
      <c r="A371" t="str">
        <f t="shared" si="31"/>
        <v/>
      </c>
      <c r="B371" t="str">
        <f t="shared" si="32"/>
        <v/>
      </c>
    </row>
    <row r="372" spans="1:2" x14ac:dyDescent="0.25">
      <c r="A372" t="str">
        <f t="shared" si="31"/>
        <v/>
      </c>
      <c r="B372" t="str">
        <f t="shared" si="32"/>
        <v/>
      </c>
    </row>
    <row r="373" spans="1:2" x14ac:dyDescent="0.25">
      <c r="A373" t="str">
        <f t="shared" si="31"/>
        <v/>
      </c>
      <c r="B373" t="str">
        <f t="shared" si="32"/>
        <v/>
      </c>
    </row>
    <row r="374" spans="1:2" x14ac:dyDescent="0.25">
      <c r="A374" t="str">
        <f t="shared" si="31"/>
        <v/>
      </c>
      <c r="B374" t="str">
        <f t="shared" si="32"/>
        <v/>
      </c>
    </row>
    <row r="375" spans="1:2" x14ac:dyDescent="0.25">
      <c r="A375" t="str">
        <f t="shared" si="31"/>
        <v/>
      </c>
      <c r="B375" t="str">
        <f t="shared" si="32"/>
        <v/>
      </c>
    </row>
    <row r="376" spans="1:2" x14ac:dyDescent="0.25">
      <c r="A376" t="str">
        <f t="shared" si="31"/>
        <v/>
      </c>
      <c r="B376" t="str">
        <f t="shared" si="32"/>
        <v/>
      </c>
    </row>
    <row r="377" spans="1:2" x14ac:dyDescent="0.25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 x14ac:dyDescent="0.25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 x14ac:dyDescent="0.25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 x14ac:dyDescent="0.25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 x14ac:dyDescent="0.25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 x14ac:dyDescent="0.25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 x14ac:dyDescent="0.25">
      <c r="A11" t="s">
        <v>15</v>
      </c>
      <c r="B11" s="3" t="s">
        <v>358</v>
      </c>
      <c r="C11" t="s">
        <v>360</v>
      </c>
      <c r="D11" t="s">
        <v>362</v>
      </c>
      <c r="E11" s="3" t="s">
        <v>432</v>
      </c>
    </row>
    <row r="12" spans="1:16" x14ac:dyDescent="0.25">
      <c r="C12" t="s">
        <v>253</v>
      </c>
      <c r="D12" t="s">
        <v>361</v>
      </c>
    </row>
    <row r="13" spans="1:16" x14ac:dyDescent="0.25">
      <c r="C13" t="s">
        <v>365</v>
      </c>
      <c r="D13" t="s">
        <v>363</v>
      </c>
    </row>
    <row r="14" spans="1:16" x14ac:dyDescent="0.25">
      <c r="C14" t="s">
        <v>367</v>
      </c>
      <c r="D14" t="s">
        <v>359</v>
      </c>
    </row>
    <row r="15" spans="1:16" x14ac:dyDescent="0.25">
      <c r="C15" t="s">
        <v>36</v>
      </c>
      <c r="D15" t="b">
        <v>0</v>
      </c>
    </row>
    <row r="16" spans="1:16" x14ac:dyDescent="0.25">
      <c r="C16" t="s">
        <v>459</v>
      </c>
      <c r="D16" t="s">
        <v>473</v>
      </c>
      <c r="E16" s="5" t="s">
        <v>457</v>
      </c>
    </row>
    <row r="17" spans="1:15" x14ac:dyDescent="0.25">
      <c r="C17" t="s">
        <v>460</v>
      </c>
      <c r="D17" t="s">
        <v>461</v>
      </c>
      <c r="E17" s="6" t="s">
        <v>458</v>
      </c>
    </row>
    <row r="19" spans="1:15" x14ac:dyDescent="0.2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 x14ac:dyDescent="0.25">
      <c r="C20" t="s">
        <v>93</v>
      </c>
      <c r="D20" t="s">
        <v>23</v>
      </c>
    </row>
    <row r="22" spans="1:15" x14ac:dyDescent="0.2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 x14ac:dyDescent="0.25">
      <c r="C23" t="s">
        <v>470</v>
      </c>
      <c r="J23" t="s">
        <v>77</v>
      </c>
      <c r="O23" t="s">
        <v>91</v>
      </c>
    </row>
    <row r="24" spans="1:15" x14ac:dyDescent="0.25">
      <c r="C24" t="s">
        <v>471</v>
      </c>
      <c r="J24" t="s">
        <v>78</v>
      </c>
      <c r="O24" t="s">
        <v>76</v>
      </c>
    </row>
    <row r="25" spans="1:15" x14ac:dyDescent="0.25">
      <c r="C25" t="s">
        <v>472</v>
      </c>
      <c r="J25" t="s">
        <v>85</v>
      </c>
      <c r="O25" t="s">
        <v>77</v>
      </c>
    </row>
    <row r="26" spans="1:15" x14ac:dyDescent="0.25">
      <c r="O26" t="s">
        <v>78</v>
      </c>
    </row>
    <row r="27" spans="1:15" x14ac:dyDescent="0.25">
      <c r="O27" t="s">
        <v>85</v>
      </c>
    </row>
    <row r="28" spans="1:15" x14ac:dyDescent="0.25">
      <c r="O28" t="s">
        <v>79</v>
      </c>
    </row>
    <row r="29" spans="1:15" x14ac:dyDescent="0.25">
      <c r="O29" t="s">
        <v>86</v>
      </c>
    </row>
    <row r="30" spans="1:15" x14ac:dyDescent="0.25">
      <c r="O30" t="s">
        <v>80</v>
      </c>
    </row>
    <row r="31" spans="1:15" x14ac:dyDescent="0.25">
      <c r="O31" t="s">
        <v>87</v>
      </c>
    </row>
    <row r="32" spans="1:15" x14ac:dyDescent="0.25">
      <c r="O32" t="s">
        <v>81</v>
      </c>
    </row>
    <row r="33" spans="1:15" x14ac:dyDescent="0.25">
      <c r="O33" t="s">
        <v>88</v>
      </c>
    </row>
    <row r="34" spans="1:15" x14ac:dyDescent="0.25">
      <c r="O34" t="s">
        <v>82</v>
      </c>
    </row>
    <row r="35" spans="1:15" x14ac:dyDescent="0.25">
      <c r="O35" t="s">
        <v>89</v>
      </c>
    </row>
    <row r="36" spans="1:15" x14ac:dyDescent="0.25">
      <c r="O36" t="s">
        <v>83</v>
      </c>
    </row>
    <row r="37" spans="1:15" x14ac:dyDescent="0.25">
      <c r="O37" t="s">
        <v>90</v>
      </c>
    </row>
    <row r="39" spans="1:15" x14ac:dyDescent="0.25">
      <c r="A39" t="s">
        <v>16</v>
      </c>
      <c r="B39" t="s">
        <v>67</v>
      </c>
      <c r="C39" t="s">
        <v>68</v>
      </c>
    </row>
    <row r="40" spans="1:15" x14ac:dyDescent="0.25">
      <c r="C40" t="s">
        <v>69</v>
      </c>
    </row>
    <row r="42" spans="1:15" x14ac:dyDescent="0.25">
      <c r="A42" t="s">
        <v>15</v>
      </c>
      <c r="B42" t="s">
        <v>405</v>
      </c>
      <c r="C42" t="s">
        <v>406</v>
      </c>
      <c r="E42" s="3" t="s">
        <v>436</v>
      </c>
    </row>
    <row r="44" spans="1:15" x14ac:dyDescent="0.25">
      <c r="A44" t="s">
        <v>16</v>
      </c>
      <c r="B44" t="s">
        <v>464</v>
      </c>
      <c r="C44" t="s">
        <v>462</v>
      </c>
      <c r="E44" t="s">
        <v>463</v>
      </c>
    </row>
    <row r="45" spans="1:15" x14ac:dyDescent="0.25">
      <c r="A45" t="s">
        <v>16</v>
      </c>
      <c r="B45" s="3" t="s">
        <v>25</v>
      </c>
      <c r="C45" t="s">
        <v>434</v>
      </c>
      <c r="E45" t="s">
        <v>148</v>
      </c>
    </row>
    <row r="46" spans="1:15" x14ac:dyDescent="0.25">
      <c r="B46" s="3"/>
      <c r="C46" t="s">
        <v>435</v>
      </c>
      <c r="D46" s="3"/>
    </row>
    <row r="47" spans="1:15" x14ac:dyDescent="0.25">
      <c r="C47" t="s">
        <v>0</v>
      </c>
    </row>
    <row r="48" spans="1:15" x14ac:dyDescent="0.25">
      <c r="C48" t="s">
        <v>95</v>
      </c>
    </row>
    <row r="49" spans="1:11" x14ac:dyDescent="0.25">
      <c r="C49" t="s">
        <v>370</v>
      </c>
      <c r="E49" t="s">
        <v>371</v>
      </c>
    </row>
    <row r="50" spans="1:11" x14ac:dyDescent="0.25">
      <c r="C50" t="s">
        <v>1</v>
      </c>
    </row>
    <row r="51" spans="1:11" x14ac:dyDescent="0.25">
      <c r="C51" t="s">
        <v>147</v>
      </c>
      <c r="K51" t="str">
        <f ca="1">_xlfn.CONCAT("createPDF:imagelist,./Output/Images/,./Output/APAC_Daily_Sales_",K53,".pdf")</f>
        <v>createPDF:imagelist,./Output/Images/,./Output/APAC_Daily_Sales_20221204093512.pdf</v>
      </c>
    </row>
    <row r="52" spans="1:11" x14ac:dyDescent="0.25">
      <c r="C52" t="s">
        <v>438</v>
      </c>
      <c r="E52" t="s">
        <v>437</v>
      </c>
    </row>
    <row r="53" spans="1:11" x14ac:dyDescent="0.25">
      <c r="A53" t="s">
        <v>16</v>
      </c>
      <c r="B53" t="s">
        <v>147</v>
      </c>
      <c r="C53" t="s">
        <v>366</v>
      </c>
      <c r="E53" t="s">
        <v>71</v>
      </c>
      <c r="K53" s="4" t="str">
        <f ca="1">TEXT(NOW(),"YYYYMMDDHHMMSS")</f>
        <v>20221204093512</v>
      </c>
    </row>
    <row r="57" spans="1:11" x14ac:dyDescent="0.25">
      <c r="A57" t="s">
        <v>16</v>
      </c>
      <c r="B57" s="3" t="s">
        <v>0</v>
      </c>
      <c r="C57" t="s">
        <v>21</v>
      </c>
      <c r="D57" s="2"/>
      <c r="E57" t="s">
        <v>398</v>
      </c>
    </row>
    <row r="58" spans="1:11" x14ac:dyDescent="0.25">
      <c r="C58" t="s">
        <v>1</v>
      </c>
    </row>
    <row r="59" spans="1:11" x14ac:dyDescent="0.25">
      <c r="C59" t="s">
        <v>339</v>
      </c>
      <c r="E59" t="s">
        <v>104</v>
      </c>
    </row>
    <row r="60" spans="1:11" x14ac:dyDescent="0.25">
      <c r="C60" t="s">
        <v>107</v>
      </c>
      <c r="E60" t="s">
        <v>108</v>
      </c>
    </row>
    <row r="61" spans="1:11" x14ac:dyDescent="0.25">
      <c r="A61" t="s">
        <v>16</v>
      </c>
      <c r="B61" s="1" t="s">
        <v>107</v>
      </c>
      <c r="C61" t="s">
        <v>440</v>
      </c>
      <c r="E61" s="1" t="s">
        <v>344</v>
      </c>
    </row>
    <row r="62" spans="1:11" x14ac:dyDescent="0.25">
      <c r="B62" s="1"/>
      <c r="C62" t="s">
        <v>22</v>
      </c>
      <c r="E62" s="1" t="s">
        <v>105</v>
      </c>
    </row>
    <row r="63" spans="1:11" x14ac:dyDescent="0.25">
      <c r="C63" t="s">
        <v>34</v>
      </c>
      <c r="E63" t="s">
        <v>106</v>
      </c>
    </row>
    <row r="64" spans="1:11" x14ac:dyDescent="0.25">
      <c r="C64" t="s">
        <v>412</v>
      </c>
      <c r="E64" t="s">
        <v>38</v>
      </c>
    </row>
    <row r="65" spans="1:5" x14ac:dyDescent="0.25">
      <c r="C65" t="s">
        <v>7</v>
      </c>
      <c r="E65" t="s">
        <v>110</v>
      </c>
    </row>
    <row r="66" spans="1:5" x14ac:dyDescent="0.25">
      <c r="C66" t="s">
        <v>449</v>
      </c>
      <c r="E66" t="s">
        <v>450</v>
      </c>
    </row>
    <row r="67" spans="1:5" x14ac:dyDescent="0.25">
      <c r="C67" t="s">
        <v>452</v>
      </c>
      <c r="E67" t="s">
        <v>453</v>
      </c>
    </row>
    <row r="68" spans="1:5" x14ac:dyDescent="0.25">
      <c r="C68" t="s">
        <v>345</v>
      </c>
      <c r="E68" t="s">
        <v>111</v>
      </c>
    </row>
    <row r="70" spans="1:5" x14ac:dyDescent="0.25">
      <c r="A70" t="s">
        <v>16</v>
      </c>
      <c r="B70" t="s">
        <v>411</v>
      </c>
      <c r="C70" t="s">
        <v>37</v>
      </c>
    </row>
    <row r="71" spans="1:5" x14ac:dyDescent="0.25">
      <c r="C71" t="s">
        <v>456</v>
      </c>
      <c r="E71" t="s">
        <v>455</v>
      </c>
    </row>
    <row r="72" spans="1:5" x14ac:dyDescent="0.25">
      <c r="C72" t="s">
        <v>27</v>
      </c>
    </row>
    <row r="74" spans="1:5" x14ac:dyDescent="0.25">
      <c r="A74" t="s">
        <v>16</v>
      </c>
      <c r="B74" t="s">
        <v>451</v>
      </c>
      <c r="C74" t="s">
        <v>454</v>
      </c>
      <c r="E74" t="s">
        <v>455</v>
      </c>
    </row>
    <row r="75" spans="1:5" x14ac:dyDescent="0.25">
      <c r="C75" t="s">
        <v>27</v>
      </c>
    </row>
    <row r="77" spans="1:5" x14ac:dyDescent="0.25">
      <c r="A77" t="s">
        <v>16</v>
      </c>
      <c r="B77" s="3" t="s">
        <v>95</v>
      </c>
      <c r="C77" t="s">
        <v>94</v>
      </c>
    </row>
    <row r="78" spans="1:5" x14ac:dyDescent="0.25">
      <c r="C78" t="s">
        <v>1</v>
      </c>
    </row>
    <row r="79" spans="1:5" x14ac:dyDescent="0.25">
      <c r="C79" t="s">
        <v>339</v>
      </c>
      <c r="E79" t="s">
        <v>104</v>
      </c>
    </row>
    <row r="80" spans="1:5" x14ac:dyDescent="0.25">
      <c r="C80" t="s">
        <v>114</v>
      </c>
    </row>
    <row r="81" spans="1:5" x14ac:dyDescent="0.25">
      <c r="A81" t="s">
        <v>16</v>
      </c>
      <c r="B81" t="s">
        <v>114</v>
      </c>
      <c r="C81" t="s">
        <v>448</v>
      </c>
      <c r="E81" t="s">
        <v>115</v>
      </c>
    </row>
    <row r="83" spans="1:5" x14ac:dyDescent="0.25">
      <c r="A83" t="s">
        <v>16</v>
      </c>
      <c r="B83" s="3" t="s">
        <v>32</v>
      </c>
      <c r="C83" t="s">
        <v>400</v>
      </c>
    </row>
    <row r="84" spans="1:5" x14ac:dyDescent="0.25">
      <c r="B84" s="3"/>
      <c r="C84" t="s">
        <v>118</v>
      </c>
    </row>
    <row r="85" spans="1:5" x14ac:dyDescent="0.25">
      <c r="C85" t="s">
        <v>122</v>
      </c>
    </row>
    <row r="86" spans="1:5" x14ac:dyDescent="0.25">
      <c r="C86" t="s">
        <v>57</v>
      </c>
    </row>
    <row r="87" spans="1:5" x14ac:dyDescent="0.25">
      <c r="C87" t="s">
        <v>56</v>
      </c>
    </row>
    <row r="88" spans="1:5" x14ac:dyDescent="0.25">
      <c r="C88" t="s">
        <v>377</v>
      </c>
    </row>
    <row r="89" spans="1:5" x14ac:dyDescent="0.25">
      <c r="C89" t="s">
        <v>401</v>
      </c>
      <c r="D89" t="s">
        <v>401</v>
      </c>
      <c r="E89" t="s">
        <v>64</v>
      </c>
    </row>
    <row r="90" spans="1:5" x14ac:dyDescent="0.25">
      <c r="C90" t="s">
        <v>58</v>
      </c>
    </row>
    <row r="91" spans="1:5" x14ac:dyDescent="0.25">
      <c r="C91" t="s">
        <v>377</v>
      </c>
    </row>
    <row r="92" spans="1:5" x14ac:dyDescent="0.25">
      <c r="C92" t="s">
        <v>402</v>
      </c>
      <c r="D92" t="s">
        <v>402</v>
      </c>
    </row>
    <row r="93" spans="1:5" x14ac:dyDescent="0.25">
      <c r="A93" t="s">
        <v>16</v>
      </c>
      <c r="B93" t="s">
        <v>118</v>
      </c>
      <c r="C93" t="s">
        <v>399</v>
      </c>
      <c r="D93" t="s">
        <v>29</v>
      </c>
      <c r="E93" t="s">
        <v>117</v>
      </c>
    </row>
    <row r="94" spans="1:5" x14ac:dyDescent="0.25">
      <c r="C94" t="s">
        <v>441</v>
      </c>
    </row>
    <row r="95" spans="1:5" x14ac:dyDescent="0.25">
      <c r="A95" t="s">
        <v>16</v>
      </c>
      <c r="B95" t="s">
        <v>441</v>
      </c>
      <c r="C95" t="s">
        <v>442</v>
      </c>
    </row>
    <row r="96" spans="1:5" x14ac:dyDescent="0.25">
      <c r="A96" t="s">
        <v>16</v>
      </c>
      <c r="B96" t="s">
        <v>122</v>
      </c>
      <c r="C96" t="s">
        <v>348</v>
      </c>
      <c r="E96" t="s">
        <v>126</v>
      </c>
    </row>
    <row r="97" spans="1:5" x14ac:dyDescent="0.25">
      <c r="C97" t="s">
        <v>349</v>
      </c>
      <c r="E97" t="s">
        <v>127</v>
      </c>
    </row>
    <row r="98" spans="1:5" x14ac:dyDescent="0.25">
      <c r="A98" t="s">
        <v>16</v>
      </c>
      <c r="B98" t="s">
        <v>124</v>
      </c>
      <c r="C98" t="s">
        <v>350</v>
      </c>
      <c r="E98" t="s">
        <v>128</v>
      </c>
    </row>
    <row r="99" spans="1:5" x14ac:dyDescent="0.25">
      <c r="C99" t="s">
        <v>2</v>
      </c>
    </row>
    <row r="100" spans="1:5" x14ac:dyDescent="0.25">
      <c r="C100" t="s">
        <v>129</v>
      </c>
    </row>
    <row r="101" spans="1:5" x14ac:dyDescent="0.25">
      <c r="C101" t="s">
        <v>120</v>
      </c>
      <c r="E101" t="s">
        <v>131</v>
      </c>
    </row>
    <row r="102" spans="1:5" x14ac:dyDescent="0.25">
      <c r="C102" t="s">
        <v>121</v>
      </c>
      <c r="E102" t="s">
        <v>132</v>
      </c>
    </row>
    <row r="103" spans="1:5" x14ac:dyDescent="0.25">
      <c r="C103" t="s">
        <v>351</v>
      </c>
      <c r="E103" t="s">
        <v>133</v>
      </c>
    </row>
    <row r="104" spans="1:5" x14ac:dyDescent="0.25">
      <c r="A104" t="s">
        <v>16</v>
      </c>
      <c r="B104" t="s">
        <v>134</v>
      </c>
      <c r="C104" t="s">
        <v>27</v>
      </c>
    </row>
    <row r="106" spans="1:5" x14ac:dyDescent="0.25">
      <c r="A106" t="s">
        <v>16</v>
      </c>
      <c r="B106" t="s">
        <v>57</v>
      </c>
      <c r="C106" t="s">
        <v>61</v>
      </c>
      <c r="E106" t="s">
        <v>99</v>
      </c>
    </row>
    <row r="107" spans="1:5" x14ac:dyDescent="0.25">
      <c r="A107" t="s">
        <v>16</v>
      </c>
      <c r="B107" t="s">
        <v>56</v>
      </c>
      <c r="C107" t="s">
        <v>60</v>
      </c>
      <c r="E107" t="s">
        <v>100</v>
      </c>
    </row>
    <row r="108" spans="1:5" x14ac:dyDescent="0.25">
      <c r="A108" t="s">
        <v>16</v>
      </c>
      <c r="B108" t="s">
        <v>58</v>
      </c>
      <c r="C108" t="s">
        <v>59</v>
      </c>
      <c r="E108" t="s">
        <v>101</v>
      </c>
    </row>
    <row r="109" spans="1:5" x14ac:dyDescent="0.25">
      <c r="A109" t="s">
        <v>16</v>
      </c>
      <c r="B109" t="s">
        <v>63</v>
      </c>
      <c r="C109" t="s">
        <v>342</v>
      </c>
      <c r="E109" t="s">
        <v>102</v>
      </c>
    </row>
    <row r="111" spans="1:5" x14ac:dyDescent="0.25">
      <c r="A111" t="s">
        <v>16</v>
      </c>
      <c r="B111" t="s">
        <v>377</v>
      </c>
      <c r="C111" t="s">
        <v>340</v>
      </c>
      <c r="E111" t="s">
        <v>143</v>
      </c>
    </row>
    <row r="112" spans="1:5" x14ac:dyDescent="0.25">
      <c r="C112" t="s">
        <v>447</v>
      </c>
    </row>
    <row r="113" spans="1:5" x14ac:dyDescent="0.25">
      <c r="C113" t="s">
        <v>63</v>
      </c>
      <c r="E113" t="s">
        <v>144</v>
      </c>
    </row>
    <row r="114" spans="1:5" x14ac:dyDescent="0.25">
      <c r="C114" t="s">
        <v>17</v>
      </c>
      <c r="E114" t="s">
        <v>439</v>
      </c>
    </row>
    <row r="115" spans="1:5" x14ac:dyDescent="0.25">
      <c r="A115" t="s">
        <v>16</v>
      </c>
      <c r="B115" t="s">
        <v>17</v>
      </c>
      <c r="C115" t="s">
        <v>443</v>
      </c>
    </row>
    <row r="116" spans="1:5" x14ac:dyDescent="0.25">
      <c r="C116" t="s">
        <v>3</v>
      </c>
      <c r="E116" t="s">
        <v>97</v>
      </c>
    </row>
    <row r="117" spans="1:5" x14ac:dyDescent="0.25">
      <c r="C117" t="s">
        <v>444</v>
      </c>
      <c r="E117" t="s">
        <v>355</v>
      </c>
    </row>
    <row r="118" spans="1:5" x14ac:dyDescent="0.25">
      <c r="C118" t="s">
        <v>4</v>
      </c>
      <c r="E118" t="s">
        <v>96</v>
      </c>
    </row>
    <row r="119" spans="1:5" x14ac:dyDescent="0.25">
      <c r="C119" t="s">
        <v>445</v>
      </c>
    </row>
    <row r="120" spans="1:5" x14ac:dyDescent="0.25">
      <c r="C120" t="s">
        <v>5</v>
      </c>
    </row>
    <row r="121" spans="1:5" x14ac:dyDescent="0.25">
      <c r="C121" t="s">
        <v>446</v>
      </c>
    </row>
    <row r="122" spans="1:5" x14ac:dyDescent="0.25">
      <c r="C122" t="s">
        <v>6</v>
      </c>
    </row>
    <row r="123" spans="1:5" x14ac:dyDescent="0.25">
      <c r="C123" t="s">
        <v>24</v>
      </c>
      <c r="E123" t="s">
        <v>146</v>
      </c>
    </row>
    <row r="124" spans="1:5" x14ac:dyDescent="0.25">
      <c r="C124" t="s">
        <v>341</v>
      </c>
      <c r="E124" t="s">
        <v>145</v>
      </c>
    </row>
    <row r="125" spans="1:5" x14ac:dyDescent="0.25">
      <c r="C125" t="s">
        <v>65</v>
      </c>
      <c r="E125" t="s">
        <v>137</v>
      </c>
    </row>
    <row r="126" spans="1:5" x14ac:dyDescent="0.25">
      <c r="A126" t="s">
        <v>16</v>
      </c>
      <c r="B126" t="s">
        <v>378</v>
      </c>
      <c r="C126" t="s">
        <v>382</v>
      </c>
    </row>
    <row r="127" spans="1:5" x14ac:dyDescent="0.25">
      <c r="C127" t="s">
        <v>3</v>
      </c>
      <c r="E127" t="s">
        <v>97</v>
      </c>
    </row>
    <row r="128" spans="1:5" x14ac:dyDescent="0.25">
      <c r="C128" t="s">
        <v>383</v>
      </c>
      <c r="E128" t="s">
        <v>355</v>
      </c>
    </row>
    <row r="129" spans="1:7" x14ac:dyDescent="0.25">
      <c r="C129" t="s">
        <v>379</v>
      </c>
      <c r="E129" t="s">
        <v>380</v>
      </c>
      <c r="G129" t="s">
        <v>381</v>
      </c>
    </row>
    <row r="130" spans="1:7" x14ac:dyDescent="0.25">
      <c r="C130" t="s">
        <v>384</v>
      </c>
    </row>
    <row r="131" spans="1:7" x14ac:dyDescent="0.25">
      <c r="C131" t="s">
        <v>5</v>
      </c>
    </row>
    <row r="132" spans="1:7" x14ac:dyDescent="0.25">
      <c r="C132" t="s">
        <v>385</v>
      </c>
    </row>
    <row r="133" spans="1:7" x14ac:dyDescent="0.25">
      <c r="C133" t="s">
        <v>6</v>
      </c>
    </row>
    <row r="134" spans="1:7" x14ac:dyDescent="0.25">
      <c r="C134" t="s">
        <v>24</v>
      </c>
      <c r="E134" t="s">
        <v>146</v>
      </c>
    </row>
    <row r="135" spans="1:7" x14ac:dyDescent="0.25">
      <c r="C135" t="s">
        <v>341</v>
      </c>
      <c r="E135" t="s">
        <v>386</v>
      </c>
    </row>
    <row r="136" spans="1:7" x14ac:dyDescent="0.25">
      <c r="C136" t="s">
        <v>65</v>
      </c>
      <c r="E136" t="s">
        <v>137</v>
      </c>
    </row>
    <row r="138" spans="1:7" x14ac:dyDescent="0.25">
      <c r="A138" t="s">
        <v>16</v>
      </c>
      <c r="B138" t="s">
        <v>429</v>
      </c>
      <c r="C138" t="s">
        <v>425</v>
      </c>
    </row>
    <row r="139" spans="1:7" x14ac:dyDescent="0.25">
      <c r="C139" t="s">
        <v>428</v>
      </c>
    </row>
    <row r="140" spans="1:7" x14ac:dyDescent="0.25">
      <c r="C140" t="s">
        <v>129</v>
      </c>
    </row>
    <row r="141" spans="1:7" x14ac:dyDescent="0.25">
      <c r="C141" t="s">
        <v>427</v>
      </c>
    </row>
    <row r="142" spans="1:7" x14ac:dyDescent="0.25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 x14ac:dyDescent="0.2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 x14ac:dyDescent="0.25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 x14ac:dyDescent="0.25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 x14ac:dyDescent="0.25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 x14ac:dyDescent="0.25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 x14ac:dyDescent="0.25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 x14ac:dyDescent="0.25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 x14ac:dyDescent="0.25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 x14ac:dyDescent="0.25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 x14ac:dyDescent="0.25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 x14ac:dyDescent="0.25">
      <c r="A12" s="7" t="str">
        <f t="shared" si="3"/>
        <v/>
      </c>
      <c r="B12" s="7" t="str">
        <f t="shared" si="0"/>
        <v/>
      </c>
    </row>
    <row r="13" spans="1:14" x14ac:dyDescent="0.25">
      <c r="A13" s="7" t="str">
        <f t="shared" si="3"/>
        <v/>
      </c>
      <c r="B13" s="7" t="str">
        <f t="shared" si="0"/>
        <v/>
      </c>
    </row>
    <row r="14" spans="1:14" x14ac:dyDescent="0.25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358</v>
      </c>
      <c r="E14" t="s">
        <v>360</v>
      </c>
      <c r="F14" t="s">
        <v>362</v>
      </c>
    </row>
    <row r="15" spans="1:14" x14ac:dyDescent="0.25">
      <c r="A15" s="7" t="str">
        <f t="shared" si="3"/>
        <v>constants</v>
      </c>
      <c r="B15" s="7" t="str">
        <f t="shared" si="0"/>
        <v>key</v>
      </c>
      <c r="E15" t="s">
        <v>253</v>
      </c>
      <c r="F15" t="s">
        <v>361</v>
      </c>
    </row>
    <row r="16" spans="1:14" x14ac:dyDescent="0.25">
      <c r="A16" s="7" t="str">
        <f t="shared" si="3"/>
        <v>constants</v>
      </c>
      <c r="B16" s="7" t="str">
        <f t="shared" si="0"/>
        <v>key</v>
      </c>
      <c r="E16" t="s">
        <v>365</v>
      </c>
      <c r="F16" t="s">
        <v>363</v>
      </c>
    </row>
    <row r="17" spans="1:13" x14ac:dyDescent="0.25">
      <c r="A17" s="7" t="str">
        <f t="shared" si="3"/>
        <v>constants</v>
      </c>
      <c r="B17" s="7" t="str">
        <f t="shared" si="0"/>
        <v>key</v>
      </c>
      <c r="E17" t="s">
        <v>367</v>
      </c>
      <c r="F17" t="s">
        <v>359</v>
      </c>
    </row>
    <row r="18" spans="1:13" x14ac:dyDescent="0.25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 x14ac:dyDescent="0.25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 x14ac:dyDescent="0.25">
      <c r="A20" s="7" t="str">
        <f t="shared" si="3"/>
        <v/>
      </c>
      <c r="B20" s="7" t="str">
        <f t="shared" si="0"/>
        <v/>
      </c>
    </row>
    <row r="21" spans="1:13" x14ac:dyDescent="0.25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372</v>
      </c>
      <c r="G21" t="s">
        <v>148</v>
      </c>
    </row>
    <row r="22" spans="1:13" x14ac:dyDescent="0.25">
      <c r="A22" s="7" t="str">
        <f t="shared" si="3"/>
        <v>main</v>
      </c>
      <c r="B22" s="7" t="str">
        <f t="shared" si="0"/>
        <v>list</v>
      </c>
      <c r="D22" s="3"/>
      <c r="E22" t="s">
        <v>374</v>
      </c>
      <c r="F22" s="3"/>
    </row>
    <row r="23" spans="1:13" x14ac:dyDescent="0.25">
      <c r="A23" s="7" t="str">
        <f t="shared" si="3"/>
        <v>main</v>
      </c>
      <c r="B23" s="7" t="str">
        <f t="shared" si="0"/>
        <v>list</v>
      </c>
      <c r="D23" s="3"/>
      <c r="E23" t="s">
        <v>375</v>
      </c>
      <c r="F23" s="3" t="s">
        <v>373</v>
      </c>
    </row>
    <row r="24" spans="1:13" x14ac:dyDescent="0.25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 x14ac:dyDescent="0.25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 x14ac:dyDescent="0.25">
      <c r="A26" s="7" t="str">
        <f t="shared" si="3"/>
        <v>main</v>
      </c>
      <c r="B26" s="7" t="str">
        <f t="shared" si="0"/>
        <v>list</v>
      </c>
      <c r="E26" t="s">
        <v>370</v>
      </c>
      <c r="G26" t="s">
        <v>371</v>
      </c>
    </row>
    <row r="27" spans="1:13" x14ac:dyDescent="0.25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 x14ac:dyDescent="0.25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createPDF:imagelist,./Output/Images/,./Output/APAC_Daily_Sales_20221204093512.pdf</v>
      </c>
    </row>
    <row r="29" spans="1:13" x14ac:dyDescent="0.25">
      <c r="A29" s="7" t="str">
        <f t="shared" si="3"/>
        <v>main</v>
      </c>
      <c r="B29" s="7" t="str">
        <f t="shared" si="0"/>
        <v>list</v>
      </c>
      <c r="E29" t="s">
        <v>364</v>
      </c>
      <c r="G29" t="s">
        <v>150</v>
      </c>
    </row>
    <row r="30" spans="1:13" x14ac:dyDescent="0.25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366</v>
      </c>
      <c r="G30" t="s">
        <v>71</v>
      </c>
      <c r="M30" s="4" t="str">
        <f ca="1">TEXT(NOW(),"YYYYMMDDHHMMSS")</f>
        <v>20221204093512</v>
      </c>
    </row>
    <row r="31" spans="1:13" x14ac:dyDescent="0.25">
      <c r="A31" s="7" t="str">
        <f t="shared" si="3"/>
        <v/>
      </c>
      <c r="B31" s="7" t="str">
        <f t="shared" si="0"/>
        <v/>
      </c>
    </row>
    <row r="32" spans="1:13" x14ac:dyDescent="0.25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 x14ac:dyDescent="0.25">
      <c r="A33" s="7" t="str">
        <f t="shared" si="3"/>
        <v>logon_OKTA</v>
      </c>
      <c r="B33" s="7" t="str">
        <f t="shared" si="0"/>
        <v>list</v>
      </c>
      <c r="E33" t="s">
        <v>376</v>
      </c>
    </row>
    <row r="34" spans="1:7" x14ac:dyDescent="0.25">
      <c r="A34" s="7" t="str">
        <f t="shared" si="3"/>
        <v>logon_OKTA</v>
      </c>
      <c r="B34" s="7" t="str">
        <f t="shared" si="0"/>
        <v>list</v>
      </c>
      <c r="E34" t="s">
        <v>339</v>
      </c>
      <c r="G34" t="s">
        <v>104</v>
      </c>
    </row>
    <row r="35" spans="1:7" x14ac:dyDescent="0.25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 x14ac:dyDescent="0.25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343</v>
      </c>
      <c r="G36" s="1" t="s">
        <v>344</v>
      </c>
    </row>
    <row r="37" spans="1:7" x14ac:dyDescent="0.25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 x14ac:dyDescent="0.25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 x14ac:dyDescent="0.25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 x14ac:dyDescent="0.25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 x14ac:dyDescent="0.25">
      <c r="A41" s="7" t="str">
        <f t="shared" si="3"/>
        <v>logon_OKTA2</v>
      </c>
      <c r="B41" s="7" t="str">
        <f t="shared" si="0"/>
        <v>list</v>
      </c>
      <c r="E41" t="s">
        <v>345</v>
      </c>
      <c r="G41" t="s">
        <v>111</v>
      </c>
    </row>
    <row r="42" spans="1:7" x14ac:dyDescent="0.25">
      <c r="A42" s="7" t="str">
        <f t="shared" si="3"/>
        <v/>
      </c>
      <c r="B42" s="7" t="str">
        <f t="shared" si="0"/>
        <v/>
      </c>
    </row>
    <row r="43" spans="1:7" x14ac:dyDescent="0.25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 x14ac:dyDescent="0.25">
      <c r="A44" s="7" t="str">
        <f t="shared" si="3"/>
        <v/>
      </c>
      <c r="B44" s="7" t="str">
        <f t="shared" si="0"/>
        <v/>
      </c>
    </row>
    <row r="45" spans="1:7" x14ac:dyDescent="0.25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 x14ac:dyDescent="0.25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 x14ac:dyDescent="0.25">
      <c r="A47" s="7" t="str">
        <f t="shared" si="3"/>
        <v>logon_DCLICK</v>
      </c>
      <c r="B47" s="7" t="str">
        <f t="shared" si="0"/>
        <v>list</v>
      </c>
      <c r="E47" t="s">
        <v>339</v>
      </c>
      <c r="G47" t="s">
        <v>104</v>
      </c>
    </row>
    <row r="48" spans="1:7" x14ac:dyDescent="0.25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 x14ac:dyDescent="0.25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346</v>
      </c>
      <c r="G49" t="s">
        <v>115</v>
      </c>
    </row>
    <row r="50" spans="1:7" x14ac:dyDescent="0.25">
      <c r="A50" s="7" t="str">
        <f t="shared" si="3"/>
        <v/>
      </c>
      <c r="B50" s="7" t="str">
        <f t="shared" si="0"/>
        <v/>
      </c>
    </row>
    <row r="51" spans="1:7" x14ac:dyDescent="0.25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 x14ac:dyDescent="0.25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 x14ac:dyDescent="0.25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 x14ac:dyDescent="0.25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347</v>
      </c>
    </row>
    <row r="55" spans="1:7" x14ac:dyDescent="0.25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 x14ac:dyDescent="0.25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 x14ac:dyDescent="0.25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 x14ac:dyDescent="0.25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 x14ac:dyDescent="0.25">
      <c r="A59" s="7" t="str">
        <f t="shared" si="3"/>
        <v>openPages2</v>
      </c>
      <c r="B59" s="7" t="str">
        <f t="shared" si="0"/>
        <v>list</v>
      </c>
      <c r="E59" t="s">
        <v>368</v>
      </c>
      <c r="G59" t="s">
        <v>64</v>
      </c>
    </row>
    <row r="60" spans="1:7" x14ac:dyDescent="0.25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 x14ac:dyDescent="0.25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 x14ac:dyDescent="0.25">
      <c r="A62" s="7" t="str">
        <f t="shared" si="3"/>
        <v>openPages2</v>
      </c>
      <c r="B62" s="7" t="str">
        <f t="shared" si="0"/>
        <v>list</v>
      </c>
      <c r="E62" t="s">
        <v>369</v>
      </c>
    </row>
    <row r="63" spans="1:7" x14ac:dyDescent="0.25">
      <c r="A63" s="7" t="str">
        <f t="shared" si="3"/>
        <v/>
      </c>
      <c r="B63" s="7" t="str">
        <f t="shared" si="0"/>
        <v/>
      </c>
    </row>
    <row r="64" spans="1:7" x14ac:dyDescent="0.25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348</v>
      </c>
      <c r="G64" t="s">
        <v>126</v>
      </c>
    </row>
    <row r="65" spans="1:7" x14ac:dyDescent="0.25">
      <c r="A65" s="7" t="str">
        <f t="shared" si="3"/>
        <v>CheckIfTouchOff</v>
      </c>
      <c r="B65" s="7" t="str">
        <f t="shared" si="0"/>
        <v>list</v>
      </c>
      <c r="E65" t="s">
        <v>349</v>
      </c>
      <c r="G65" t="s">
        <v>127</v>
      </c>
    </row>
    <row r="66" spans="1:7" x14ac:dyDescent="0.25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350</v>
      </c>
      <c r="G66" t="s">
        <v>128</v>
      </c>
    </row>
    <row r="67" spans="1:7" x14ac:dyDescent="0.25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 x14ac:dyDescent="0.25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 x14ac:dyDescent="0.25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 x14ac:dyDescent="0.25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 x14ac:dyDescent="0.25">
      <c r="A71" s="7" t="str">
        <f t="shared" si="5"/>
        <v>disableTouchOn</v>
      </c>
      <c r="B71" s="7" t="str">
        <f t="shared" si="4"/>
        <v>list</v>
      </c>
      <c r="E71" t="s">
        <v>351</v>
      </c>
      <c r="G71" t="s">
        <v>133</v>
      </c>
    </row>
    <row r="72" spans="1:7" x14ac:dyDescent="0.25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 x14ac:dyDescent="0.25">
      <c r="A73" s="7" t="str">
        <f t="shared" si="5"/>
        <v/>
      </c>
      <c r="B73" s="7" t="str">
        <f t="shared" si="4"/>
        <v/>
      </c>
    </row>
    <row r="74" spans="1:7" x14ac:dyDescent="0.25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 x14ac:dyDescent="0.25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 x14ac:dyDescent="0.25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 x14ac:dyDescent="0.25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342</v>
      </c>
      <c r="G77" t="s">
        <v>102</v>
      </c>
    </row>
    <row r="78" spans="1:7" x14ac:dyDescent="0.25">
      <c r="A78" s="7" t="str">
        <f t="shared" si="5"/>
        <v/>
      </c>
      <c r="B78" s="7" t="str">
        <f t="shared" si="4"/>
        <v/>
      </c>
    </row>
    <row r="79" spans="1:7" x14ac:dyDescent="0.25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340</v>
      </c>
      <c r="G79" t="s">
        <v>143</v>
      </c>
    </row>
    <row r="80" spans="1:7" x14ac:dyDescent="0.25">
      <c r="E80" t="s">
        <v>352</v>
      </c>
    </row>
    <row r="81" spans="1:7" x14ac:dyDescent="0.25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 x14ac:dyDescent="0.25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 x14ac:dyDescent="0.25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353</v>
      </c>
    </row>
    <row r="84" spans="1:7" x14ac:dyDescent="0.25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 x14ac:dyDescent="0.25">
      <c r="A85" s="7" t="str">
        <f t="shared" si="5"/>
        <v>DownloadImage2</v>
      </c>
      <c r="B85" s="7" t="str">
        <f t="shared" si="4"/>
        <v>list</v>
      </c>
      <c r="E85" t="s">
        <v>354</v>
      </c>
      <c r="G85" t="s">
        <v>355</v>
      </c>
    </row>
    <row r="86" spans="1:7" x14ac:dyDescent="0.25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 x14ac:dyDescent="0.25">
      <c r="A87" s="7" t="str">
        <f t="shared" si="5"/>
        <v>DownloadImage2</v>
      </c>
      <c r="B87" s="7" t="str">
        <f t="shared" si="4"/>
        <v>list</v>
      </c>
      <c r="E87" t="s">
        <v>356</v>
      </c>
    </row>
    <row r="88" spans="1:7" x14ac:dyDescent="0.25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 x14ac:dyDescent="0.25">
      <c r="A89" s="7" t="str">
        <f t="shared" si="5"/>
        <v>DownloadImage2</v>
      </c>
      <c r="B89" s="7" t="str">
        <f t="shared" si="4"/>
        <v>list</v>
      </c>
      <c r="E89" t="s">
        <v>357</v>
      </c>
    </row>
    <row r="90" spans="1:7" x14ac:dyDescent="0.25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 x14ac:dyDescent="0.25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 x14ac:dyDescent="0.25">
      <c r="A92" s="7" t="str">
        <f t="shared" si="5"/>
        <v>DownloadImage2</v>
      </c>
      <c r="B92" s="7" t="str">
        <f t="shared" si="4"/>
        <v>list</v>
      </c>
      <c r="E92" t="s">
        <v>341</v>
      </c>
      <c r="G92" t="s">
        <v>145</v>
      </c>
    </row>
    <row r="93" spans="1:7" x14ac:dyDescent="0.25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 x14ac:dyDescent="0.25">
      <c r="A94" s="7" t="str">
        <f t="shared" si="5"/>
        <v/>
      </c>
      <c r="B94" s="7" t="str">
        <f t="shared" si="4"/>
        <v/>
      </c>
    </row>
    <row r="95" spans="1:7" x14ac:dyDescent="0.25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 x14ac:dyDescent="0.25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 x14ac:dyDescent="0.2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 x14ac:dyDescent="0.2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 x14ac:dyDescent="0.2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 x14ac:dyDescent="0.2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 x14ac:dyDescent="0.2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 x14ac:dyDescent="0.2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 x14ac:dyDescent="0.2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 x14ac:dyDescent="0.2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 x14ac:dyDescent="0.2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 x14ac:dyDescent="0.2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 x14ac:dyDescent="0.2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 x14ac:dyDescent="0.2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 x14ac:dyDescent="0.2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 x14ac:dyDescent="0.2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 x14ac:dyDescent="0.2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 x14ac:dyDescent="0.2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 x14ac:dyDescent="0.25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 x14ac:dyDescent="0.25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 x14ac:dyDescent="0.25">
      <c r="A115" s="7" t="str">
        <f t="shared" si="5"/>
        <v/>
      </c>
      <c r="B115" s="7" t="str">
        <f t="shared" si="4"/>
        <v/>
      </c>
    </row>
    <row r="116" spans="1:7" x14ac:dyDescent="0.25">
      <c r="A116" s="7" t="str">
        <f t="shared" si="5"/>
        <v/>
      </c>
      <c r="B116" s="7" t="str">
        <f t="shared" si="4"/>
        <v/>
      </c>
    </row>
    <row r="117" spans="1:7" x14ac:dyDescent="0.25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 x14ac:dyDescent="0.25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 x14ac:dyDescent="0.25">
      <c r="A119" s="7" t="str">
        <f t="shared" si="5"/>
        <v/>
      </c>
      <c r="B119" s="7" t="str">
        <f t="shared" si="4"/>
        <v/>
      </c>
    </row>
    <row r="120" spans="1:7" x14ac:dyDescent="0.25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 x14ac:dyDescent="0.25">
      <c r="A121" s="7" t="str">
        <f t="shared" si="5"/>
        <v/>
      </c>
      <c r="B121" s="7" t="str">
        <f t="shared" si="4"/>
        <v/>
      </c>
    </row>
    <row r="122" spans="1:7" x14ac:dyDescent="0.25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 x14ac:dyDescent="0.25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 x14ac:dyDescent="0.25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 x14ac:dyDescent="0.25">
      <c r="A125" s="7" t="str">
        <f t="shared" si="5"/>
        <v/>
      </c>
      <c r="B125" s="7" t="str">
        <f t="shared" si="4"/>
        <v/>
      </c>
    </row>
    <row r="126" spans="1:7" x14ac:dyDescent="0.25">
      <c r="A126" s="7" t="str">
        <f t="shared" si="5"/>
        <v/>
      </c>
      <c r="B126" s="7" t="str">
        <f t="shared" si="4"/>
        <v/>
      </c>
    </row>
    <row r="127" spans="1:7" x14ac:dyDescent="0.25">
      <c r="A127" s="7" t="str">
        <f t="shared" si="5"/>
        <v/>
      </c>
      <c r="B127" s="7" t="str">
        <f t="shared" si="4"/>
        <v/>
      </c>
    </row>
    <row r="128" spans="1:7" x14ac:dyDescent="0.25">
      <c r="A128" s="7" t="str">
        <f t="shared" si="5"/>
        <v/>
      </c>
      <c r="B128" s="7" t="str">
        <f t="shared" si="4"/>
        <v/>
      </c>
    </row>
    <row r="129" spans="1:2" x14ac:dyDescent="0.25">
      <c r="A129" s="7" t="str">
        <f t="shared" si="5"/>
        <v/>
      </c>
      <c r="B129" s="7" t="str">
        <f t="shared" si="4"/>
        <v/>
      </c>
    </row>
    <row r="130" spans="1:2" x14ac:dyDescent="0.25">
      <c r="A130" s="7" t="str">
        <f t="shared" si="5"/>
        <v/>
      </c>
      <c r="B130" s="7" t="str">
        <f t="shared" ref="B130:B193" si="6">IF(C130="",IF(E130="","",B129),C130)</f>
        <v/>
      </c>
    </row>
    <row r="131" spans="1:2" x14ac:dyDescent="0.25">
      <c r="A131" s="7" t="str">
        <f t="shared" ref="A131:A194" si="7">IF(D131="",IF(E131="","",A130),D131)</f>
        <v/>
      </c>
      <c r="B131" s="7" t="str">
        <f t="shared" si="6"/>
        <v/>
      </c>
    </row>
    <row r="132" spans="1:2" x14ac:dyDescent="0.25">
      <c r="A132" s="7" t="str">
        <f t="shared" si="7"/>
        <v/>
      </c>
      <c r="B132" s="7" t="str">
        <f t="shared" si="6"/>
        <v/>
      </c>
    </row>
    <row r="133" spans="1:2" x14ac:dyDescent="0.25">
      <c r="A133" s="7" t="str">
        <f t="shared" si="7"/>
        <v/>
      </c>
      <c r="B133" s="7" t="str">
        <f t="shared" si="6"/>
        <v/>
      </c>
    </row>
    <row r="134" spans="1:2" x14ac:dyDescent="0.25">
      <c r="A134" s="7" t="str">
        <f t="shared" si="7"/>
        <v/>
      </c>
      <c r="B134" s="7" t="str">
        <f t="shared" si="6"/>
        <v/>
      </c>
    </row>
    <row r="135" spans="1:2" x14ac:dyDescent="0.25">
      <c r="A135" s="7" t="str">
        <f t="shared" si="7"/>
        <v/>
      </c>
      <c r="B135" s="7" t="str">
        <f t="shared" si="6"/>
        <v/>
      </c>
    </row>
    <row r="136" spans="1:2" x14ac:dyDescent="0.25">
      <c r="A136" s="7" t="str">
        <f t="shared" si="7"/>
        <v/>
      </c>
      <c r="B136" s="7" t="str">
        <f t="shared" si="6"/>
        <v/>
      </c>
    </row>
    <row r="137" spans="1:2" x14ac:dyDescent="0.25">
      <c r="A137" s="7" t="str">
        <f t="shared" si="7"/>
        <v/>
      </c>
      <c r="B137" s="7" t="str">
        <f t="shared" si="6"/>
        <v/>
      </c>
    </row>
    <row r="138" spans="1:2" x14ac:dyDescent="0.25">
      <c r="A138" s="7" t="str">
        <f t="shared" si="7"/>
        <v/>
      </c>
      <c r="B138" s="7" t="str">
        <f t="shared" si="6"/>
        <v/>
      </c>
    </row>
    <row r="139" spans="1:2" x14ac:dyDescent="0.25">
      <c r="A139" s="7" t="str">
        <f t="shared" si="7"/>
        <v/>
      </c>
      <c r="B139" s="7" t="str">
        <f t="shared" si="6"/>
        <v/>
      </c>
    </row>
    <row r="140" spans="1:2" x14ac:dyDescent="0.25">
      <c r="A140" s="7" t="str">
        <f t="shared" si="7"/>
        <v/>
      </c>
      <c r="B140" s="7" t="str">
        <f t="shared" si="6"/>
        <v/>
      </c>
    </row>
    <row r="141" spans="1:2" x14ac:dyDescent="0.25">
      <c r="A141" s="7" t="str">
        <f t="shared" si="7"/>
        <v/>
      </c>
      <c r="B141" s="7" t="str">
        <f t="shared" si="6"/>
        <v/>
      </c>
    </row>
    <row r="142" spans="1:2" x14ac:dyDescent="0.25">
      <c r="A142" s="7" t="str">
        <f t="shared" si="7"/>
        <v/>
      </c>
      <c r="B142" s="7" t="str">
        <f t="shared" si="6"/>
        <v/>
      </c>
    </row>
    <row r="143" spans="1:2" x14ac:dyDescent="0.25">
      <c r="A143" s="7" t="str">
        <f t="shared" si="7"/>
        <v/>
      </c>
      <c r="B143" s="7" t="str">
        <f t="shared" si="6"/>
        <v/>
      </c>
    </row>
    <row r="144" spans="1:2" x14ac:dyDescent="0.25">
      <c r="A144" s="7" t="str">
        <f t="shared" si="7"/>
        <v/>
      </c>
      <c r="B144" s="7" t="str">
        <f t="shared" si="6"/>
        <v/>
      </c>
    </row>
    <row r="145" spans="1:2" x14ac:dyDescent="0.25">
      <c r="A145" s="7" t="str">
        <f t="shared" si="7"/>
        <v/>
      </c>
      <c r="B145" s="7" t="str">
        <f t="shared" si="6"/>
        <v/>
      </c>
    </row>
    <row r="146" spans="1:2" x14ac:dyDescent="0.25">
      <c r="A146" s="7" t="str">
        <f t="shared" si="7"/>
        <v/>
      </c>
      <c r="B146" s="7" t="str">
        <f t="shared" si="6"/>
        <v/>
      </c>
    </row>
    <row r="147" spans="1:2" x14ac:dyDescent="0.25">
      <c r="A147" s="7" t="str">
        <f t="shared" si="7"/>
        <v/>
      </c>
      <c r="B147" s="7" t="str">
        <f t="shared" si="6"/>
        <v/>
      </c>
    </row>
    <row r="148" spans="1:2" x14ac:dyDescent="0.25">
      <c r="A148" s="7" t="str">
        <f t="shared" si="7"/>
        <v/>
      </c>
      <c r="B148" s="7" t="str">
        <f t="shared" si="6"/>
        <v/>
      </c>
    </row>
    <row r="149" spans="1:2" x14ac:dyDescent="0.25">
      <c r="A149" s="7" t="str">
        <f t="shared" si="7"/>
        <v/>
      </c>
      <c r="B149" s="7" t="str">
        <f t="shared" si="6"/>
        <v/>
      </c>
    </row>
    <row r="150" spans="1:2" x14ac:dyDescent="0.25">
      <c r="A150" s="7" t="str">
        <f t="shared" si="7"/>
        <v/>
      </c>
      <c r="B150" s="7" t="str">
        <f t="shared" si="6"/>
        <v/>
      </c>
    </row>
    <row r="151" spans="1:2" x14ac:dyDescent="0.25">
      <c r="A151" s="7" t="str">
        <f t="shared" si="7"/>
        <v/>
      </c>
      <c r="B151" s="7" t="str">
        <f t="shared" si="6"/>
        <v/>
      </c>
    </row>
    <row r="152" spans="1:2" x14ac:dyDescent="0.25">
      <c r="A152" s="7" t="str">
        <f t="shared" si="7"/>
        <v/>
      </c>
      <c r="B152" s="7" t="str">
        <f t="shared" si="6"/>
        <v/>
      </c>
    </row>
    <row r="153" spans="1:2" x14ac:dyDescent="0.25">
      <c r="A153" s="7" t="str">
        <f t="shared" si="7"/>
        <v/>
      </c>
      <c r="B153" s="7" t="str">
        <f t="shared" si="6"/>
        <v/>
      </c>
    </row>
    <row r="154" spans="1:2" x14ac:dyDescent="0.25">
      <c r="A154" s="7" t="str">
        <f t="shared" si="7"/>
        <v/>
      </c>
      <c r="B154" s="7" t="str">
        <f t="shared" si="6"/>
        <v/>
      </c>
    </row>
    <row r="155" spans="1:2" x14ac:dyDescent="0.25">
      <c r="A155" s="7" t="str">
        <f t="shared" si="7"/>
        <v/>
      </c>
      <c r="B155" s="7" t="str">
        <f t="shared" si="6"/>
        <v/>
      </c>
    </row>
    <row r="156" spans="1:2" x14ac:dyDescent="0.25">
      <c r="A156" s="7" t="str">
        <f t="shared" si="7"/>
        <v/>
      </c>
      <c r="B156" s="7" t="str">
        <f t="shared" si="6"/>
        <v/>
      </c>
    </row>
    <row r="157" spans="1:2" x14ac:dyDescent="0.25">
      <c r="A157" s="7" t="str">
        <f t="shared" si="7"/>
        <v/>
      </c>
      <c r="B157" s="7" t="str">
        <f t="shared" si="6"/>
        <v/>
      </c>
    </row>
    <row r="158" spans="1:2" x14ac:dyDescent="0.25">
      <c r="A158" s="7" t="str">
        <f t="shared" si="7"/>
        <v/>
      </c>
      <c r="B158" s="7" t="str">
        <f t="shared" si="6"/>
        <v/>
      </c>
    </row>
    <row r="159" spans="1:2" x14ac:dyDescent="0.25">
      <c r="A159" s="7" t="str">
        <f t="shared" si="7"/>
        <v/>
      </c>
      <c r="B159" s="7" t="str">
        <f t="shared" si="6"/>
        <v/>
      </c>
    </row>
    <row r="160" spans="1:2" x14ac:dyDescent="0.25">
      <c r="A160" s="7" t="str">
        <f t="shared" si="7"/>
        <v/>
      </c>
      <c r="B160" s="7" t="str">
        <f t="shared" si="6"/>
        <v/>
      </c>
    </row>
    <row r="161" spans="1:2" x14ac:dyDescent="0.25">
      <c r="A161" s="7" t="str">
        <f t="shared" si="7"/>
        <v/>
      </c>
      <c r="B161" s="7" t="str">
        <f t="shared" si="6"/>
        <v/>
      </c>
    </row>
    <row r="162" spans="1:2" x14ac:dyDescent="0.25">
      <c r="A162" s="7" t="str">
        <f t="shared" si="7"/>
        <v/>
      </c>
      <c r="B162" s="7" t="str">
        <f t="shared" si="6"/>
        <v/>
      </c>
    </row>
    <row r="163" spans="1:2" x14ac:dyDescent="0.25">
      <c r="A163" s="7" t="str">
        <f t="shared" si="7"/>
        <v/>
      </c>
      <c r="B163" s="7" t="str">
        <f t="shared" si="6"/>
        <v/>
      </c>
    </row>
    <row r="164" spans="1:2" x14ac:dyDescent="0.25">
      <c r="A164" s="7" t="str">
        <f t="shared" si="7"/>
        <v/>
      </c>
      <c r="B164" s="7" t="str">
        <f t="shared" si="6"/>
        <v/>
      </c>
    </row>
    <row r="165" spans="1:2" x14ac:dyDescent="0.25">
      <c r="A165" s="7" t="str">
        <f t="shared" si="7"/>
        <v/>
      </c>
      <c r="B165" s="7" t="str">
        <f t="shared" si="6"/>
        <v/>
      </c>
    </row>
    <row r="166" spans="1:2" x14ac:dyDescent="0.25">
      <c r="A166" s="7" t="str">
        <f t="shared" si="7"/>
        <v/>
      </c>
      <c r="B166" s="7" t="str">
        <f t="shared" si="6"/>
        <v/>
      </c>
    </row>
    <row r="167" spans="1:2" x14ac:dyDescent="0.25">
      <c r="A167" s="7" t="str">
        <f t="shared" si="7"/>
        <v/>
      </c>
      <c r="B167" s="7" t="str">
        <f t="shared" si="6"/>
        <v/>
      </c>
    </row>
    <row r="168" spans="1:2" x14ac:dyDescent="0.25">
      <c r="A168" s="7" t="str">
        <f t="shared" si="7"/>
        <v/>
      </c>
      <c r="B168" s="7" t="str">
        <f t="shared" si="6"/>
        <v/>
      </c>
    </row>
    <row r="169" spans="1:2" x14ac:dyDescent="0.25">
      <c r="A169" s="7" t="str">
        <f t="shared" si="7"/>
        <v/>
      </c>
      <c r="B169" s="7" t="str">
        <f t="shared" si="6"/>
        <v/>
      </c>
    </row>
    <row r="170" spans="1:2" x14ac:dyDescent="0.25">
      <c r="A170" s="7" t="str">
        <f t="shared" si="7"/>
        <v/>
      </c>
      <c r="B170" s="7" t="str">
        <f t="shared" si="6"/>
        <v/>
      </c>
    </row>
    <row r="171" spans="1:2" x14ac:dyDescent="0.25">
      <c r="A171" s="7" t="str">
        <f t="shared" si="7"/>
        <v/>
      </c>
      <c r="B171" s="7" t="str">
        <f t="shared" si="6"/>
        <v/>
      </c>
    </row>
    <row r="172" spans="1:2" x14ac:dyDescent="0.25">
      <c r="A172" s="7" t="str">
        <f t="shared" si="7"/>
        <v/>
      </c>
      <c r="B172" s="7" t="str">
        <f t="shared" si="6"/>
        <v/>
      </c>
    </row>
    <row r="173" spans="1:2" x14ac:dyDescent="0.25">
      <c r="A173" s="7" t="str">
        <f t="shared" si="7"/>
        <v/>
      </c>
      <c r="B173" s="7" t="str">
        <f t="shared" si="6"/>
        <v/>
      </c>
    </row>
    <row r="174" spans="1:2" x14ac:dyDescent="0.25">
      <c r="A174" s="7" t="str">
        <f t="shared" si="7"/>
        <v/>
      </c>
      <c r="B174" s="7" t="str">
        <f t="shared" si="6"/>
        <v/>
      </c>
    </row>
    <row r="175" spans="1:2" x14ac:dyDescent="0.25">
      <c r="A175" s="7" t="str">
        <f t="shared" si="7"/>
        <v/>
      </c>
      <c r="B175" s="7" t="str">
        <f t="shared" si="6"/>
        <v/>
      </c>
    </row>
    <row r="176" spans="1:2" x14ac:dyDescent="0.25">
      <c r="A176" s="7" t="str">
        <f t="shared" si="7"/>
        <v/>
      </c>
      <c r="B176" s="7" t="str">
        <f t="shared" si="6"/>
        <v/>
      </c>
    </row>
    <row r="177" spans="1:2" x14ac:dyDescent="0.25">
      <c r="A177" s="7" t="str">
        <f t="shared" si="7"/>
        <v/>
      </c>
      <c r="B177" s="7" t="str">
        <f t="shared" si="6"/>
        <v/>
      </c>
    </row>
    <row r="178" spans="1:2" x14ac:dyDescent="0.25">
      <c r="A178" s="7" t="str">
        <f t="shared" si="7"/>
        <v/>
      </c>
      <c r="B178" s="7" t="str">
        <f t="shared" si="6"/>
        <v/>
      </c>
    </row>
    <row r="179" spans="1:2" x14ac:dyDescent="0.25">
      <c r="A179" s="7" t="str">
        <f t="shared" si="7"/>
        <v/>
      </c>
      <c r="B179" s="7" t="str">
        <f t="shared" si="6"/>
        <v/>
      </c>
    </row>
    <row r="180" spans="1:2" x14ac:dyDescent="0.25">
      <c r="A180" s="7" t="str">
        <f t="shared" si="7"/>
        <v/>
      </c>
      <c r="B180" s="7" t="str">
        <f t="shared" si="6"/>
        <v/>
      </c>
    </row>
    <row r="181" spans="1:2" x14ac:dyDescent="0.25">
      <c r="A181" s="7" t="str">
        <f t="shared" si="7"/>
        <v/>
      </c>
      <c r="B181" s="7" t="str">
        <f t="shared" si="6"/>
        <v/>
      </c>
    </row>
    <row r="182" spans="1:2" x14ac:dyDescent="0.25">
      <c r="A182" s="7" t="str">
        <f t="shared" si="7"/>
        <v/>
      </c>
      <c r="B182" s="7" t="str">
        <f t="shared" si="6"/>
        <v/>
      </c>
    </row>
    <row r="183" spans="1:2" x14ac:dyDescent="0.25">
      <c r="A183" s="7" t="str">
        <f t="shared" si="7"/>
        <v/>
      </c>
      <c r="B183" s="7" t="str">
        <f t="shared" si="6"/>
        <v/>
      </c>
    </row>
    <row r="184" spans="1:2" x14ac:dyDescent="0.25">
      <c r="A184" s="7" t="str">
        <f t="shared" si="7"/>
        <v/>
      </c>
      <c r="B184" s="7" t="str">
        <f t="shared" si="6"/>
        <v/>
      </c>
    </row>
    <row r="185" spans="1:2" x14ac:dyDescent="0.25">
      <c r="A185" s="7" t="str">
        <f t="shared" si="7"/>
        <v/>
      </c>
      <c r="B185" s="7" t="str">
        <f t="shared" si="6"/>
        <v/>
      </c>
    </row>
    <row r="186" spans="1:2" x14ac:dyDescent="0.25">
      <c r="A186" s="7" t="str">
        <f t="shared" si="7"/>
        <v/>
      </c>
      <c r="B186" s="7" t="str">
        <f t="shared" si="6"/>
        <v/>
      </c>
    </row>
    <row r="187" spans="1:2" x14ac:dyDescent="0.25">
      <c r="A187" s="7" t="str">
        <f t="shared" si="7"/>
        <v/>
      </c>
      <c r="B187" s="7" t="str">
        <f t="shared" si="6"/>
        <v/>
      </c>
    </row>
    <row r="188" spans="1:2" x14ac:dyDescent="0.25">
      <c r="A188" s="7" t="str">
        <f t="shared" si="7"/>
        <v/>
      </c>
      <c r="B188" s="7" t="str">
        <f t="shared" si="6"/>
        <v/>
      </c>
    </row>
    <row r="189" spans="1:2" x14ac:dyDescent="0.25">
      <c r="A189" s="7" t="str">
        <f t="shared" si="7"/>
        <v/>
      </c>
      <c r="B189" s="7" t="str">
        <f t="shared" si="6"/>
        <v/>
      </c>
    </row>
    <row r="190" spans="1:2" x14ac:dyDescent="0.25">
      <c r="A190" s="7" t="str">
        <f t="shared" si="7"/>
        <v/>
      </c>
      <c r="B190" s="7" t="str">
        <f t="shared" si="6"/>
        <v/>
      </c>
    </row>
    <row r="191" spans="1:2" x14ac:dyDescent="0.25">
      <c r="A191" s="7" t="str">
        <f t="shared" si="7"/>
        <v/>
      </c>
      <c r="B191" s="7" t="str">
        <f t="shared" si="6"/>
        <v/>
      </c>
    </row>
    <row r="192" spans="1:2" x14ac:dyDescent="0.25">
      <c r="A192" s="7" t="str">
        <f t="shared" si="7"/>
        <v/>
      </c>
      <c r="B192" s="7" t="str">
        <f t="shared" si="6"/>
        <v/>
      </c>
    </row>
    <row r="193" spans="1:2" x14ac:dyDescent="0.25">
      <c r="A193" s="7" t="str">
        <f t="shared" si="7"/>
        <v/>
      </c>
      <c r="B193" s="7" t="str">
        <f t="shared" si="6"/>
        <v/>
      </c>
    </row>
    <row r="194" spans="1:2" x14ac:dyDescent="0.25">
      <c r="A194" s="7" t="str">
        <f t="shared" si="7"/>
        <v/>
      </c>
      <c r="B194" s="7" t="str">
        <f t="shared" ref="B194:B233" si="8">IF(C194="",IF(E194="","",B193),C194)</f>
        <v/>
      </c>
    </row>
    <row r="195" spans="1:2" x14ac:dyDescent="0.25">
      <c r="A195" s="7" t="str">
        <f t="shared" ref="A195:A233" si="9">IF(D195="",IF(E195="","",A194),D195)</f>
        <v/>
      </c>
      <c r="B195" s="7" t="str">
        <f t="shared" si="8"/>
        <v/>
      </c>
    </row>
    <row r="196" spans="1:2" x14ac:dyDescent="0.25">
      <c r="A196" s="7" t="str">
        <f t="shared" si="9"/>
        <v/>
      </c>
      <c r="B196" s="7" t="str">
        <f t="shared" si="8"/>
        <v/>
      </c>
    </row>
    <row r="197" spans="1:2" x14ac:dyDescent="0.25">
      <c r="A197" s="7" t="str">
        <f t="shared" si="9"/>
        <v/>
      </c>
      <c r="B197" s="7" t="str">
        <f t="shared" si="8"/>
        <v/>
      </c>
    </row>
    <row r="198" spans="1:2" x14ac:dyDescent="0.25">
      <c r="A198" s="7" t="str">
        <f t="shared" si="9"/>
        <v/>
      </c>
      <c r="B198" s="7" t="str">
        <f t="shared" si="8"/>
        <v/>
      </c>
    </row>
    <row r="199" spans="1:2" x14ac:dyDescent="0.25">
      <c r="A199" s="7" t="str">
        <f t="shared" si="9"/>
        <v/>
      </c>
      <c r="B199" s="7" t="str">
        <f t="shared" si="8"/>
        <v/>
      </c>
    </row>
    <row r="200" spans="1:2" x14ac:dyDescent="0.25">
      <c r="A200" s="7" t="str">
        <f t="shared" si="9"/>
        <v/>
      </c>
      <c r="B200" s="7" t="str">
        <f t="shared" si="8"/>
        <v/>
      </c>
    </row>
    <row r="201" spans="1:2" x14ac:dyDescent="0.25">
      <c r="A201" s="7" t="str">
        <f t="shared" si="9"/>
        <v/>
      </c>
      <c r="B201" s="7" t="str">
        <f t="shared" si="8"/>
        <v/>
      </c>
    </row>
    <row r="202" spans="1:2" x14ac:dyDescent="0.25">
      <c r="A202" s="7" t="str">
        <f t="shared" si="9"/>
        <v/>
      </c>
      <c r="B202" s="7" t="str">
        <f t="shared" si="8"/>
        <v/>
      </c>
    </row>
    <row r="203" spans="1:2" x14ac:dyDescent="0.25">
      <c r="A203" s="7" t="str">
        <f t="shared" si="9"/>
        <v/>
      </c>
      <c r="B203" s="7" t="str">
        <f t="shared" si="8"/>
        <v/>
      </c>
    </row>
    <row r="204" spans="1:2" x14ac:dyDescent="0.25">
      <c r="A204" s="7" t="str">
        <f t="shared" si="9"/>
        <v/>
      </c>
      <c r="B204" s="7" t="str">
        <f t="shared" si="8"/>
        <v/>
      </c>
    </row>
    <row r="205" spans="1:2" x14ac:dyDescent="0.25">
      <c r="A205" s="7" t="str">
        <f t="shared" si="9"/>
        <v/>
      </c>
      <c r="B205" s="7" t="str">
        <f t="shared" si="8"/>
        <v/>
      </c>
    </row>
    <row r="206" spans="1:2" x14ac:dyDescent="0.25">
      <c r="A206" s="7" t="str">
        <f t="shared" si="9"/>
        <v/>
      </c>
      <c r="B206" s="7" t="str">
        <f t="shared" si="8"/>
        <v/>
      </c>
    </row>
    <row r="207" spans="1:2" x14ac:dyDescent="0.25">
      <c r="A207" s="7" t="str">
        <f t="shared" si="9"/>
        <v/>
      </c>
      <c r="B207" s="7" t="str">
        <f t="shared" si="8"/>
        <v/>
      </c>
    </row>
    <row r="208" spans="1:2" x14ac:dyDescent="0.25">
      <c r="A208" s="7" t="str">
        <f t="shared" si="9"/>
        <v/>
      </c>
      <c r="B208" s="7" t="str">
        <f t="shared" si="8"/>
        <v/>
      </c>
    </row>
    <row r="209" spans="1:2" x14ac:dyDescent="0.25">
      <c r="A209" s="7" t="str">
        <f t="shared" si="9"/>
        <v/>
      </c>
      <c r="B209" s="7" t="str">
        <f t="shared" si="8"/>
        <v/>
      </c>
    </row>
    <row r="210" spans="1:2" x14ac:dyDescent="0.25">
      <c r="A210" s="7" t="str">
        <f t="shared" si="9"/>
        <v/>
      </c>
      <c r="B210" s="7" t="str">
        <f t="shared" si="8"/>
        <v/>
      </c>
    </row>
    <row r="211" spans="1:2" x14ac:dyDescent="0.25">
      <c r="A211" s="7" t="str">
        <f t="shared" si="9"/>
        <v/>
      </c>
      <c r="B211" s="7" t="str">
        <f t="shared" si="8"/>
        <v/>
      </c>
    </row>
    <row r="212" spans="1:2" x14ac:dyDescent="0.25">
      <c r="A212" s="7" t="str">
        <f t="shared" si="9"/>
        <v/>
      </c>
      <c r="B212" s="7" t="str">
        <f t="shared" si="8"/>
        <v/>
      </c>
    </row>
    <row r="213" spans="1:2" x14ac:dyDescent="0.25">
      <c r="A213" s="7" t="str">
        <f t="shared" si="9"/>
        <v/>
      </c>
      <c r="B213" s="7" t="str">
        <f t="shared" si="8"/>
        <v/>
      </c>
    </row>
    <row r="214" spans="1:2" x14ac:dyDescent="0.25">
      <c r="A214" s="7" t="str">
        <f t="shared" si="9"/>
        <v/>
      </c>
      <c r="B214" s="7" t="str">
        <f t="shared" si="8"/>
        <v/>
      </c>
    </row>
    <row r="215" spans="1:2" x14ac:dyDescent="0.25">
      <c r="A215" s="7" t="str">
        <f t="shared" si="9"/>
        <v/>
      </c>
      <c r="B215" s="7" t="str">
        <f t="shared" si="8"/>
        <v/>
      </c>
    </row>
    <row r="216" spans="1:2" x14ac:dyDescent="0.25">
      <c r="A216" s="7" t="str">
        <f t="shared" si="9"/>
        <v/>
      </c>
      <c r="B216" s="7" t="str">
        <f t="shared" si="8"/>
        <v/>
      </c>
    </row>
    <row r="217" spans="1:2" x14ac:dyDescent="0.25">
      <c r="A217" s="7" t="str">
        <f t="shared" si="9"/>
        <v/>
      </c>
      <c r="B217" s="7" t="str">
        <f t="shared" si="8"/>
        <v/>
      </c>
    </row>
    <row r="218" spans="1:2" x14ac:dyDescent="0.25">
      <c r="A218" s="7" t="str">
        <f t="shared" si="9"/>
        <v/>
      </c>
      <c r="B218" s="7" t="str">
        <f t="shared" si="8"/>
        <v/>
      </c>
    </row>
    <row r="219" spans="1:2" x14ac:dyDescent="0.25">
      <c r="A219" s="7" t="str">
        <f t="shared" si="9"/>
        <v/>
      </c>
      <c r="B219" s="7" t="str">
        <f t="shared" si="8"/>
        <v/>
      </c>
    </row>
    <row r="220" spans="1:2" x14ac:dyDescent="0.25">
      <c r="A220" s="7" t="str">
        <f t="shared" si="9"/>
        <v/>
      </c>
      <c r="B220" s="7" t="str">
        <f t="shared" si="8"/>
        <v/>
      </c>
    </row>
    <row r="221" spans="1:2" x14ac:dyDescent="0.25">
      <c r="A221" s="7" t="str">
        <f t="shared" si="9"/>
        <v/>
      </c>
      <c r="B221" s="7" t="str">
        <f t="shared" si="8"/>
        <v/>
      </c>
    </row>
    <row r="222" spans="1:2" x14ac:dyDescent="0.25">
      <c r="A222" s="7" t="str">
        <f t="shared" si="9"/>
        <v/>
      </c>
      <c r="B222" s="7" t="str">
        <f t="shared" si="8"/>
        <v/>
      </c>
    </row>
    <row r="223" spans="1:2" x14ac:dyDescent="0.25">
      <c r="A223" s="7" t="str">
        <f t="shared" si="9"/>
        <v/>
      </c>
      <c r="B223" s="7" t="str">
        <f t="shared" si="8"/>
        <v/>
      </c>
    </row>
    <row r="224" spans="1:2" x14ac:dyDescent="0.25">
      <c r="A224" s="7" t="str">
        <f t="shared" si="9"/>
        <v/>
      </c>
      <c r="B224" s="7" t="str">
        <f t="shared" si="8"/>
        <v/>
      </c>
    </row>
    <row r="225" spans="1:2" x14ac:dyDescent="0.25">
      <c r="A225" s="7" t="str">
        <f t="shared" si="9"/>
        <v/>
      </c>
      <c r="B225" s="7" t="str">
        <f t="shared" si="8"/>
        <v/>
      </c>
    </row>
    <row r="226" spans="1:2" x14ac:dyDescent="0.25">
      <c r="A226" s="7" t="str">
        <f t="shared" si="9"/>
        <v/>
      </c>
      <c r="B226" s="7" t="str">
        <f t="shared" si="8"/>
        <v/>
      </c>
    </row>
    <row r="227" spans="1:2" x14ac:dyDescent="0.25">
      <c r="A227" s="7" t="str">
        <f t="shared" si="9"/>
        <v/>
      </c>
      <c r="B227" s="7" t="str">
        <f t="shared" si="8"/>
        <v/>
      </c>
    </row>
    <row r="228" spans="1:2" x14ac:dyDescent="0.25">
      <c r="A228" s="7" t="str">
        <f t="shared" si="9"/>
        <v/>
      </c>
      <c r="B228" s="7" t="str">
        <f t="shared" si="8"/>
        <v/>
      </c>
    </row>
    <row r="229" spans="1:2" x14ac:dyDescent="0.25">
      <c r="A229" s="7" t="str">
        <f t="shared" si="9"/>
        <v/>
      </c>
      <c r="B229" s="7" t="str">
        <f t="shared" si="8"/>
        <v/>
      </c>
    </row>
    <row r="230" spans="1:2" x14ac:dyDescent="0.25">
      <c r="A230" s="7" t="str">
        <f t="shared" si="9"/>
        <v/>
      </c>
      <c r="B230" s="7" t="str">
        <f t="shared" si="8"/>
        <v/>
      </c>
    </row>
    <row r="231" spans="1:2" x14ac:dyDescent="0.25">
      <c r="A231" s="7" t="str">
        <f t="shared" si="9"/>
        <v/>
      </c>
      <c r="B231" s="7" t="str">
        <f t="shared" si="8"/>
        <v/>
      </c>
    </row>
    <row r="232" spans="1:2" x14ac:dyDescent="0.25">
      <c r="A232" s="7" t="str">
        <f t="shared" si="9"/>
        <v/>
      </c>
      <c r="B232" s="7" t="str">
        <f t="shared" si="8"/>
        <v/>
      </c>
    </row>
    <row r="233" spans="1:2" x14ac:dyDescent="0.25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 x14ac:dyDescent="0.25">
      <c r="C3" t="s">
        <v>467</v>
      </c>
      <c r="D3" t="s">
        <v>468</v>
      </c>
      <c r="E3" t="s">
        <v>92</v>
      </c>
    </row>
    <row r="4" spans="1:5" x14ac:dyDescent="0.25">
      <c r="C4" t="s">
        <v>43</v>
      </c>
      <c r="D4" s="2" t="s">
        <v>474</v>
      </c>
      <c r="E4" t="s">
        <v>92</v>
      </c>
    </row>
    <row r="6" spans="1:5" x14ac:dyDescent="0.25">
      <c r="A6" t="s">
        <v>15</v>
      </c>
      <c r="B6" s="3" t="s">
        <v>358</v>
      </c>
      <c r="C6" t="s">
        <v>360</v>
      </c>
      <c r="D6" t="s">
        <v>362</v>
      </c>
      <c r="E6" s="3" t="s">
        <v>432</v>
      </c>
    </row>
    <row r="7" spans="1:5" x14ac:dyDescent="0.25">
      <c r="C7" t="s">
        <v>253</v>
      </c>
      <c r="D7" t="s">
        <v>662</v>
      </c>
    </row>
    <row r="8" spans="1:5" x14ac:dyDescent="0.25">
      <c r="C8" t="s">
        <v>365</v>
      </c>
      <c r="D8" t="s">
        <v>363</v>
      </c>
    </row>
    <row r="9" spans="1:5" x14ac:dyDescent="0.25">
      <c r="C9" t="s">
        <v>367</v>
      </c>
      <c r="D9" t="s">
        <v>359</v>
      </c>
    </row>
    <row r="10" spans="1:5" x14ac:dyDescent="0.25">
      <c r="C10" t="s">
        <v>36</v>
      </c>
      <c r="D10" t="b">
        <v>0</v>
      </c>
    </row>
    <row r="11" spans="1:5" x14ac:dyDescent="0.25">
      <c r="C11" t="s">
        <v>459</v>
      </c>
      <c r="D11" t="s">
        <v>531</v>
      </c>
    </row>
    <row r="12" spans="1:5" x14ac:dyDescent="0.25">
      <c r="C12" t="s">
        <v>460</v>
      </c>
      <c r="D12" t="s">
        <v>461</v>
      </c>
    </row>
    <row r="13" spans="1:5" x14ac:dyDescent="0.25">
      <c r="C13" t="s">
        <v>532</v>
      </c>
      <c r="D13" t="s">
        <v>534</v>
      </c>
      <c r="E13" s="6"/>
    </row>
    <row r="14" spans="1:5" x14ac:dyDescent="0.25">
      <c r="C14" t="s">
        <v>533</v>
      </c>
      <c r="D14" t="s">
        <v>536</v>
      </c>
      <c r="E14" s="6"/>
    </row>
    <row r="16" spans="1:5" x14ac:dyDescent="0.2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 x14ac:dyDescent="0.25">
      <c r="C17" t="s">
        <v>93</v>
      </c>
      <c r="D17" t="s">
        <v>23</v>
      </c>
    </row>
    <row r="19" spans="1:5" x14ac:dyDescent="0.25">
      <c r="A19" t="s">
        <v>16</v>
      </c>
      <c r="B19" t="s">
        <v>66</v>
      </c>
      <c r="C19" t="s">
        <v>469</v>
      </c>
      <c r="E19" t="s">
        <v>136</v>
      </c>
    </row>
    <row r="20" spans="1:5" x14ac:dyDescent="0.25">
      <c r="C20" t="s">
        <v>470</v>
      </c>
    </row>
    <row r="21" spans="1:5" x14ac:dyDescent="0.25">
      <c r="C21" t="s">
        <v>471</v>
      </c>
    </row>
    <row r="23" spans="1:5" x14ac:dyDescent="0.25">
      <c r="A23" t="s">
        <v>16</v>
      </c>
      <c r="B23" t="s">
        <v>67</v>
      </c>
      <c r="C23" t="s">
        <v>68</v>
      </c>
    </row>
    <row r="24" spans="1:5" x14ac:dyDescent="0.25">
      <c r="C24" t="s">
        <v>69</v>
      </c>
    </row>
    <row r="26" spans="1:5" x14ac:dyDescent="0.25">
      <c r="A26" t="s">
        <v>15</v>
      </c>
      <c r="B26" t="s">
        <v>405</v>
      </c>
      <c r="C26" t="s">
        <v>406</v>
      </c>
      <c r="E26" s="3" t="s">
        <v>436</v>
      </c>
    </row>
    <row r="27" spans="1:5" x14ac:dyDescent="0.25">
      <c r="E27" s="3"/>
    </row>
    <row r="28" spans="1:5" x14ac:dyDescent="0.25">
      <c r="A28" t="s">
        <v>16</v>
      </c>
      <c r="B28" s="3" t="s">
        <v>25</v>
      </c>
      <c r="C28" t="s">
        <v>434</v>
      </c>
      <c r="E28" t="s">
        <v>148</v>
      </c>
    </row>
    <row r="29" spans="1:5" x14ac:dyDescent="0.25">
      <c r="B29" s="3"/>
      <c r="C29" t="s">
        <v>435</v>
      </c>
      <c r="D29" s="3"/>
    </row>
    <row r="30" spans="1:5" x14ac:dyDescent="0.25">
      <c r="C30" t="s">
        <v>0</v>
      </c>
    </row>
    <row r="31" spans="1:5" x14ac:dyDescent="0.25">
      <c r="C31" t="s">
        <v>95</v>
      </c>
    </row>
    <row r="32" spans="1:5" x14ac:dyDescent="0.25">
      <c r="C32" t="s">
        <v>370</v>
      </c>
      <c r="E32" t="s">
        <v>371</v>
      </c>
    </row>
    <row r="33" spans="1:11" x14ac:dyDescent="0.25">
      <c r="C33" t="s">
        <v>1</v>
      </c>
    </row>
    <row r="34" spans="1:11" x14ac:dyDescent="0.25">
      <c r="C34" t="s">
        <v>147</v>
      </c>
      <c r="K34" t="str">
        <f ca="1">_xlfn.CONCAT("createPDF:imagelist,./Output/Images/,./Output/APAC_Daily_Sales_",K36,".pdf")</f>
        <v>createPDF:imagelist,./Output/Images/,./Output/APAC_Daily_Sales_20221204093512.pdf</v>
      </c>
    </row>
    <row r="35" spans="1:11" x14ac:dyDescent="0.25">
      <c r="C35" t="s">
        <v>438</v>
      </c>
      <c r="E35" t="s">
        <v>437</v>
      </c>
    </row>
    <row r="36" spans="1:11" x14ac:dyDescent="0.25">
      <c r="A36" t="s">
        <v>16</v>
      </c>
      <c r="B36" t="s">
        <v>147</v>
      </c>
      <c r="C36" t="s">
        <v>366</v>
      </c>
      <c r="E36" t="s">
        <v>71</v>
      </c>
      <c r="K36" s="4" t="str">
        <f ca="1">TEXT(NOW(),"YYYYMMDDHHMMSS")</f>
        <v>20221204093512</v>
      </c>
    </row>
    <row r="40" spans="1:11" x14ac:dyDescent="0.25">
      <c r="A40" t="s">
        <v>16</v>
      </c>
      <c r="B40" s="3" t="s">
        <v>0</v>
      </c>
      <c r="C40" t="s">
        <v>21</v>
      </c>
      <c r="D40" s="2"/>
      <c r="E40" t="s">
        <v>398</v>
      </c>
    </row>
    <row r="41" spans="1:11" x14ac:dyDescent="0.25">
      <c r="C41" t="s">
        <v>1</v>
      </c>
    </row>
    <row r="42" spans="1:11" x14ac:dyDescent="0.25">
      <c r="C42" t="s">
        <v>339</v>
      </c>
      <c r="E42" t="s">
        <v>104</v>
      </c>
    </row>
    <row r="43" spans="1:11" x14ac:dyDescent="0.25">
      <c r="C43" t="s">
        <v>107</v>
      </c>
      <c r="E43" t="s">
        <v>108</v>
      </c>
    </row>
    <row r="44" spans="1:11" x14ac:dyDescent="0.25">
      <c r="A44" t="s">
        <v>16</v>
      </c>
      <c r="B44" s="1" t="s">
        <v>107</v>
      </c>
      <c r="C44" t="s">
        <v>440</v>
      </c>
      <c r="E44" s="1" t="s">
        <v>344</v>
      </c>
    </row>
    <row r="45" spans="1:11" x14ac:dyDescent="0.25">
      <c r="B45" s="1"/>
      <c r="C45" t="s">
        <v>22</v>
      </c>
      <c r="E45" s="1" t="s">
        <v>105</v>
      </c>
    </row>
    <row r="46" spans="1:11" x14ac:dyDescent="0.25">
      <c r="C46" t="s">
        <v>34</v>
      </c>
      <c r="E46" t="s">
        <v>106</v>
      </c>
    </row>
    <row r="47" spans="1:11" x14ac:dyDescent="0.25">
      <c r="C47" t="s">
        <v>412</v>
      </c>
      <c r="E47" t="s">
        <v>38</v>
      </c>
    </row>
    <row r="48" spans="1:11" x14ac:dyDescent="0.25">
      <c r="C48" t="s">
        <v>7</v>
      </c>
      <c r="E48" t="s">
        <v>110</v>
      </c>
    </row>
    <row r="49" spans="1:5" x14ac:dyDescent="0.25">
      <c r="C49" t="s">
        <v>449</v>
      </c>
      <c r="E49" t="s">
        <v>450</v>
      </c>
    </row>
    <row r="50" spans="1:5" x14ac:dyDescent="0.25">
      <c r="C50" t="s">
        <v>452</v>
      </c>
      <c r="E50" t="s">
        <v>453</v>
      </c>
    </row>
    <row r="51" spans="1:5" x14ac:dyDescent="0.25">
      <c r="C51" t="s">
        <v>345</v>
      </c>
      <c r="E51" t="s">
        <v>111</v>
      </c>
    </row>
    <row r="52" spans="1:5" x14ac:dyDescent="0.25">
      <c r="A52" t="s">
        <v>16</v>
      </c>
      <c r="B52" t="s">
        <v>411</v>
      </c>
      <c r="C52" t="s">
        <v>37</v>
      </c>
    </row>
    <row r="53" spans="1:5" x14ac:dyDescent="0.25">
      <c r="C53" t="s">
        <v>456</v>
      </c>
      <c r="E53" t="s">
        <v>455</v>
      </c>
    </row>
    <row r="54" spans="1:5" x14ac:dyDescent="0.25">
      <c r="C54" t="s">
        <v>27</v>
      </c>
    </row>
    <row r="55" spans="1:5" x14ac:dyDescent="0.25">
      <c r="A55" t="s">
        <v>16</v>
      </c>
      <c r="B55" t="s">
        <v>451</v>
      </c>
      <c r="C55" t="s">
        <v>454</v>
      </c>
      <c r="E55" t="s">
        <v>455</v>
      </c>
    </row>
    <row r="56" spans="1:5" x14ac:dyDescent="0.25">
      <c r="C56" t="s">
        <v>27</v>
      </c>
    </row>
    <row r="58" spans="1:5" x14ac:dyDescent="0.25">
      <c r="A58" t="s">
        <v>16</v>
      </c>
      <c r="B58" s="3" t="s">
        <v>95</v>
      </c>
      <c r="C58" t="s">
        <v>94</v>
      </c>
    </row>
    <row r="59" spans="1:5" x14ac:dyDescent="0.25">
      <c r="C59" t="s">
        <v>1</v>
      </c>
    </row>
    <row r="60" spans="1:5" x14ac:dyDescent="0.25">
      <c r="C60" t="s">
        <v>339</v>
      </c>
      <c r="E60" t="s">
        <v>104</v>
      </c>
    </row>
    <row r="61" spans="1:5" x14ac:dyDescent="0.25">
      <c r="C61" t="s">
        <v>114</v>
      </c>
    </row>
    <row r="62" spans="1:5" x14ac:dyDescent="0.25">
      <c r="A62" t="s">
        <v>16</v>
      </c>
      <c r="B62" t="s">
        <v>114</v>
      </c>
      <c r="C62" t="s">
        <v>448</v>
      </c>
      <c r="E62" t="s">
        <v>115</v>
      </c>
    </row>
    <row r="64" spans="1:5" x14ac:dyDescent="0.25">
      <c r="A64" t="s">
        <v>16</v>
      </c>
      <c r="B64" s="3" t="s">
        <v>32</v>
      </c>
      <c r="C64" t="s">
        <v>400</v>
      </c>
    </row>
    <row r="65" spans="1:5" x14ac:dyDescent="0.25">
      <c r="B65" s="3"/>
      <c r="C65" t="s">
        <v>118</v>
      </c>
    </row>
    <row r="66" spans="1:5" x14ac:dyDescent="0.25">
      <c r="C66" t="s">
        <v>122</v>
      </c>
    </row>
    <row r="67" spans="1:5" x14ac:dyDescent="0.25">
      <c r="C67" t="s">
        <v>57</v>
      </c>
    </row>
    <row r="68" spans="1:5" x14ac:dyDescent="0.25">
      <c r="C68" t="s">
        <v>56</v>
      </c>
    </row>
    <row r="69" spans="1:5" x14ac:dyDescent="0.25">
      <c r="C69" t="s">
        <v>377</v>
      </c>
    </row>
    <row r="70" spans="1:5" x14ac:dyDescent="0.25">
      <c r="C70" t="s">
        <v>401</v>
      </c>
      <c r="D70" t="s">
        <v>401</v>
      </c>
      <c r="E70" t="s">
        <v>64</v>
      </c>
    </row>
    <row r="71" spans="1:5" x14ac:dyDescent="0.25">
      <c r="C71" t="s">
        <v>58</v>
      </c>
    </row>
    <row r="72" spans="1:5" x14ac:dyDescent="0.25">
      <c r="C72" t="s">
        <v>377</v>
      </c>
    </row>
    <row r="73" spans="1:5" x14ac:dyDescent="0.25">
      <c r="C73" t="s">
        <v>402</v>
      </c>
      <c r="D73" t="s">
        <v>402</v>
      </c>
    </row>
    <row r="74" spans="1:5" x14ac:dyDescent="0.25">
      <c r="A74" t="s">
        <v>16</v>
      </c>
      <c r="B74" t="s">
        <v>118</v>
      </c>
      <c r="C74" t="s">
        <v>399</v>
      </c>
      <c r="D74" t="s">
        <v>29</v>
      </c>
      <c r="E74" t="s">
        <v>117</v>
      </c>
    </row>
    <row r="75" spans="1:5" x14ac:dyDescent="0.25">
      <c r="C75" t="s">
        <v>441</v>
      </c>
    </row>
    <row r="76" spans="1:5" x14ac:dyDescent="0.25">
      <c r="A76" t="s">
        <v>16</v>
      </c>
      <c r="B76" t="s">
        <v>441</v>
      </c>
      <c r="C76" t="s">
        <v>442</v>
      </c>
    </row>
    <row r="77" spans="1:5" x14ac:dyDescent="0.25">
      <c r="A77" t="s">
        <v>16</v>
      </c>
      <c r="B77" t="s">
        <v>122</v>
      </c>
      <c r="C77" t="s">
        <v>348</v>
      </c>
      <c r="E77" t="s">
        <v>126</v>
      </c>
    </row>
    <row r="78" spans="1:5" x14ac:dyDescent="0.25">
      <c r="C78" t="s">
        <v>349</v>
      </c>
      <c r="E78" t="s">
        <v>127</v>
      </c>
    </row>
    <row r="79" spans="1:5" x14ac:dyDescent="0.25">
      <c r="A79" t="s">
        <v>16</v>
      </c>
      <c r="B79" t="s">
        <v>124</v>
      </c>
      <c r="C79" t="s">
        <v>350</v>
      </c>
      <c r="E79" t="s">
        <v>128</v>
      </c>
    </row>
    <row r="80" spans="1:5" x14ac:dyDescent="0.25">
      <c r="C80" t="s">
        <v>2</v>
      </c>
    </row>
    <row r="81" spans="1:5" x14ac:dyDescent="0.25">
      <c r="C81" t="s">
        <v>129</v>
      </c>
    </row>
    <row r="82" spans="1:5" x14ac:dyDescent="0.25">
      <c r="C82" t="s">
        <v>120</v>
      </c>
      <c r="E82" t="s">
        <v>131</v>
      </c>
    </row>
    <row r="83" spans="1:5" x14ac:dyDescent="0.25">
      <c r="C83" t="s">
        <v>121</v>
      </c>
      <c r="E83" t="s">
        <v>132</v>
      </c>
    </row>
    <row r="84" spans="1:5" x14ac:dyDescent="0.25">
      <c r="C84" t="s">
        <v>351</v>
      </c>
      <c r="E84" t="s">
        <v>133</v>
      </c>
    </row>
    <row r="85" spans="1:5" x14ac:dyDescent="0.25">
      <c r="A85" t="s">
        <v>16</v>
      </c>
      <c r="B85" t="s">
        <v>134</v>
      </c>
      <c r="C85" t="s">
        <v>27</v>
      </c>
    </row>
    <row r="87" spans="1:5" x14ac:dyDescent="0.25">
      <c r="A87" t="s">
        <v>16</v>
      </c>
      <c r="B87" t="s">
        <v>57</v>
      </c>
      <c r="C87" t="s">
        <v>61</v>
      </c>
      <c r="E87" t="s">
        <v>99</v>
      </c>
    </row>
    <row r="88" spans="1:5" x14ac:dyDescent="0.25">
      <c r="A88" t="s">
        <v>16</v>
      </c>
      <c r="B88" t="s">
        <v>56</v>
      </c>
      <c r="C88" t="s">
        <v>60</v>
      </c>
      <c r="E88" t="s">
        <v>100</v>
      </c>
    </row>
    <row r="89" spans="1:5" x14ac:dyDescent="0.25">
      <c r="A89" t="s">
        <v>16</v>
      </c>
      <c r="B89" t="s">
        <v>58</v>
      </c>
      <c r="C89" t="s">
        <v>59</v>
      </c>
      <c r="E89" t="s">
        <v>101</v>
      </c>
    </row>
    <row r="90" spans="1:5" x14ac:dyDescent="0.25">
      <c r="A90" t="s">
        <v>16</v>
      </c>
      <c r="B90" t="s">
        <v>63</v>
      </c>
      <c r="C90" t="s">
        <v>342</v>
      </c>
      <c r="E90" t="s">
        <v>102</v>
      </c>
    </row>
    <row r="92" spans="1:5" x14ac:dyDescent="0.25">
      <c r="A92" t="s">
        <v>16</v>
      </c>
      <c r="B92" t="s">
        <v>377</v>
      </c>
      <c r="C92" t="s">
        <v>340</v>
      </c>
      <c r="E92" t="s">
        <v>143</v>
      </c>
    </row>
    <row r="93" spans="1:5" x14ac:dyDescent="0.25">
      <c r="C93" t="s">
        <v>447</v>
      </c>
    </row>
    <row r="94" spans="1:5" x14ac:dyDescent="0.25">
      <c r="C94" t="s">
        <v>63</v>
      </c>
      <c r="E94" t="s">
        <v>144</v>
      </c>
    </row>
    <row r="95" spans="1:5" x14ac:dyDescent="0.25">
      <c r="C95" t="s">
        <v>17</v>
      </c>
      <c r="E95" t="s">
        <v>439</v>
      </c>
    </row>
    <row r="96" spans="1:5" x14ac:dyDescent="0.25">
      <c r="A96" t="s">
        <v>16</v>
      </c>
      <c r="B96" t="s">
        <v>17</v>
      </c>
      <c r="C96" t="s">
        <v>443</v>
      </c>
    </row>
    <row r="97" spans="1:7" x14ac:dyDescent="0.25">
      <c r="C97" t="s">
        <v>3</v>
      </c>
      <c r="E97" t="s">
        <v>97</v>
      </c>
    </row>
    <row r="98" spans="1:7" x14ac:dyDescent="0.25">
      <c r="C98" t="s">
        <v>444</v>
      </c>
      <c r="E98" t="s">
        <v>355</v>
      </c>
    </row>
    <row r="99" spans="1:7" x14ac:dyDescent="0.25">
      <c r="C99" t="s">
        <v>4</v>
      </c>
      <c r="E99" t="s">
        <v>96</v>
      </c>
    </row>
    <row r="100" spans="1:7" x14ac:dyDescent="0.25">
      <c r="C100" t="s">
        <v>445</v>
      </c>
    </row>
    <row r="101" spans="1:7" x14ac:dyDescent="0.25">
      <c r="C101" t="s">
        <v>5</v>
      </c>
    </row>
    <row r="102" spans="1:7" x14ac:dyDescent="0.25">
      <c r="C102" t="s">
        <v>446</v>
      </c>
    </row>
    <row r="103" spans="1:7" x14ac:dyDescent="0.25">
      <c r="C103" t="s">
        <v>6</v>
      </c>
    </row>
    <row r="104" spans="1:7" x14ac:dyDescent="0.25">
      <c r="C104" t="s">
        <v>24</v>
      </c>
      <c r="E104" t="s">
        <v>146</v>
      </c>
    </row>
    <row r="105" spans="1:7" x14ac:dyDescent="0.25">
      <c r="C105" t="s">
        <v>341</v>
      </c>
      <c r="E105" t="s">
        <v>145</v>
      </c>
    </row>
    <row r="106" spans="1:7" x14ac:dyDescent="0.25">
      <c r="C106" t="s">
        <v>65</v>
      </c>
      <c r="E106" t="s">
        <v>137</v>
      </c>
    </row>
    <row r="107" spans="1:7" x14ac:dyDescent="0.25">
      <c r="A107" t="s">
        <v>16</v>
      </c>
      <c r="B107" t="s">
        <v>378</v>
      </c>
      <c r="C107" t="s">
        <v>382</v>
      </c>
    </row>
    <row r="108" spans="1:7" x14ac:dyDescent="0.25">
      <c r="C108" t="s">
        <v>3</v>
      </c>
      <c r="E108" t="s">
        <v>97</v>
      </c>
    </row>
    <row r="109" spans="1:7" x14ac:dyDescent="0.25">
      <c r="C109" t="s">
        <v>383</v>
      </c>
      <c r="E109" t="s">
        <v>355</v>
      </c>
    </row>
    <row r="110" spans="1:7" x14ac:dyDescent="0.25">
      <c r="C110" t="s">
        <v>379</v>
      </c>
      <c r="E110" t="s">
        <v>380</v>
      </c>
      <c r="G110" t="s">
        <v>381</v>
      </c>
    </row>
    <row r="111" spans="1:7" x14ac:dyDescent="0.25">
      <c r="C111" t="s">
        <v>384</v>
      </c>
    </row>
    <row r="112" spans="1:7" x14ac:dyDescent="0.25">
      <c r="C112" t="s">
        <v>5</v>
      </c>
    </row>
    <row r="113" spans="3:5" x14ac:dyDescent="0.25">
      <c r="C113" t="s">
        <v>385</v>
      </c>
    </row>
    <row r="114" spans="3:5" x14ac:dyDescent="0.25">
      <c r="C114" t="s">
        <v>6</v>
      </c>
    </row>
    <row r="115" spans="3:5" x14ac:dyDescent="0.25">
      <c r="C115" t="s">
        <v>24</v>
      </c>
      <c r="E115" t="s">
        <v>146</v>
      </c>
    </row>
    <row r="116" spans="3:5" x14ac:dyDescent="0.25">
      <c r="C116" t="s">
        <v>341</v>
      </c>
      <c r="E116" t="s">
        <v>386</v>
      </c>
    </row>
    <row r="117" spans="3:5" x14ac:dyDescent="0.2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AC32E4-8691-4EE6-B560-535D9F81B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C9E6A0-095E-4BAC-833C-87B455E2EA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ReadMe</vt:lpstr>
      <vt:lpstr>CheckFiles</vt:lpstr>
      <vt:lpstr>main</vt:lpstr>
      <vt:lpstr>DCLICK_MGT</vt:lpstr>
      <vt:lpstr>DCLICK_MGT (2)</vt:lpstr>
      <vt:lpstr>DCLICK_MGT_2</vt:lpstr>
      <vt:lpstr>DCLICK_MGT_PDF</vt:lpstr>
      <vt:lpstr>DCLICK_CAT</vt:lpstr>
      <vt:lpstr>BAK DCLICK_MGT</vt:lpstr>
      <vt:lpstr>DeleteDCLICK_MGT_CAT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  <vt:lpstr>const_now</vt:lpstr>
      <vt:lpstr>const_VM</vt:lpstr>
      <vt:lpstr>runDClick_CAT</vt:lpstr>
      <vt:lpstr>runDClick_MGT</vt:lpstr>
      <vt:lpstr>runDClick_MGT_PDF</vt:lpstr>
      <vt:lpstr>runiCristal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2022-12-04T01:35:12Z</dcterms:modified>
</cp:coreProperties>
</file>